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cofiles\Condivisione\AMBIENTE\raccolta dati AIA\raccolta dati AIA 2024\documentazione inviata via PEC\"/>
    </mc:Choice>
  </mc:AlternateContent>
  <xr:revisionPtr revIDLastSave="0" documentId="8_{25FE4CDD-0F25-40CF-B145-A603C74AA6EF}" xr6:coauthVersionLast="47" xr6:coauthVersionMax="47" xr10:uidLastSave="{00000000-0000-0000-0000-000000000000}"/>
  <bookViews>
    <workbookView xWindow="-108" yWindow="-108" windowWidth="23256" windowHeight="12456" tabRatio="934" xr2:uid="{00000000-000D-0000-FFFF-FFFF00000000}"/>
  </bookViews>
  <sheets>
    <sheet name="ANAGRAFICA AZIENDA" sheetId="11" r:id="rId1"/>
    <sheet name="MATERIE PRIME" sheetId="1" r:id="rId2"/>
    <sheet name="ACQUA ED ENERGIA" sheetId="10" r:id="rId3"/>
    <sheet name="EMISSIONI IN ARIA" sheetId="3" r:id="rId4"/>
    <sheet name="EMISSIONI IN ACQUA" sheetId="5" r:id="rId5"/>
    <sheet name="RUMORE" sheetId="17" r:id="rId6"/>
    <sheet name="RIFIUTI" sheetId="6" r:id="rId7"/>
    <sheet name="SUOLO E SOTTOSUOLO" sheetId="13" r:id="rId8"/>
    <sheet name="GESTIONALE" sheetId="12" r:id="rId9"/>
    <sheet name="INDICATORI DI PRESTAZIONE" sheetId="9" r:id="rId10"/>
    <sheet name="ALTRE DICHIARAZIONI" sheetId="16" r:id="rId11"/>
    <sheet name="Foglio1" sheetId="18" r:id="rId12"/>
  </sheets>
  <definedNames>
    <definedName name="_xlnm.Print_Area" localSheetId="2">'ACQUA ED ENERGIA'!$A$1:$AE$132</definedName>
    <definedName name="_xlnm.Print_Area" localSheetId="0">'ANAGRAFICA AZIENDA'!$A$1:$N$48</definedName>
    <definedName name="_xlnm.Print_Area" localSheetId="4">'EMISSIONI IN ACQUA'!$A$1:$Q$23</definedName>
    <definedName name="_xlnm.Print_Area" localSheetId="3">'EMISSIONI IN ARIA'!$A$1:$Q$50</definedName>
    <definedName name="_xlnm.Print_Area" localSheetId="8">GESTIONALE!$A$1:$N$58</definedName>
    <definedName name="_xlnm.Print_Area" localSheetId="9">'INDICATORI DI PRESTAZIONE'!$A$5:$D$34</definedName>
    <definedName name="_xlnm.Print_Area" localSheetId="1">'MATERIE PRIME'!$A$1:$R$142</definedName>
    <definedName name="_xlnm.Print_Area" localSheetId="6">RIFIUTI!$A$19:$T$56</definedName>
    <definedName name="_xlnm.Print_Area" localSheetId="7">'SUOLO E SOTTOSUOLO'!$A$1:$N$31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9" l="1"/>
  <c r="H38" i="1" l="1"/>
  <c r="J37" i="1"/>
  <c r="M40" i="1"/>
  <c r="J35" i="1"/>
  <c r="M35" i="1"/>
  <c r="B32" i="1"/>
  <c r="E32" i="1"/>
  <c r="G32" i="1"/>
  <c r="J32" i="1"/>
  <c r="K32" i="1"/>
  <c r="M32" i="1"/>
  <c r="L32" i="1"/>
  <c r="I32" i="1"/>
  <c r="H32" i="1"/>
  <c r="F32" i="1"/>
  <c r="I86" i="3"/>
  <c r="B16" i="9" l="1"/>
  <c r="E37" i="1" l="1"/>
  <c r="E36" i="1"/>
  <c r="E34" i="1"/>
  <c r="B35" i="1"/>
  <c r="I19" i="5"/>
  <c r="E19" i="5"/>
  <c r="I18" i="5"/>
  <c r="E18" i="5"/>
  <c r="I17" i="5"/>
  <c r="E17" i="5"/>
  <c r="I16" i="5"/>
  <c r="E16" i="5"/>
  <c r="I15" i="5"/>
  <c r="E15" i="5"/>
  <c r="I14" i="5"/>
  <c r="E14" i="5"/>
  <c r="K133" i="3"/>
  <c r="K127" i="3"/>
  <c r="K121" i="3"/>
  <c r="K115" i="3"/>
  <c r="K109" i="3"/>
  <c r="K103" i="3"/>
  <c r="K97" i="3"/>
  <c r="K91" i="3"/>
  <c r="K85" i="3"/>
  <c r="K79" i="3"/>
  <c r="K73" i="3"/>
  <c r="K67" i="3"/>
  <c r="K61" i="3"/>
  <c r="K55" i="3"/>
  <c r="K49" i="3"/>
  <c r="K43" i="3"/>
  <c r="K37" i="3"/>
  <c r="E133" i="3"/>
  <c r="E127" i="3"/>
  <c r="E121" i="3"/>
  <c r="E115" i="3"/>
  <c r="E109" i="3"/>
  <c r="E103" i="3"/>
  <c r="E97" i="3"/>
  <c r="E91" i="3"/>
  <c r="E85" i="3"/>
  <c r="E79" i="3"/>
  <c r="E73" i="3"/>
  <c r="E67" i="3"/>
  <c r="E61" i="3"/>
  <c r="E55" i="3"/>
  <c r="E49" i="3"/>
  <c r="E43" i="3"/>
  <c r="E37" i="3"/>
  <c r="E31" i="3"/>
  <c r="I133" i="3" l="1"/>
  <c r="I127" i="3"/>
  <c r="I121" i="3"/>
  <c r="I115" i="3"/>
  <c r="I109" i="3"/>
  <c r="I103" i="3"/>
  <c r="I97" i="3"/>
  <c r="I91" i="3"/>
  <c r="I85" i="3"/>
  <c r="I79" i="3"/>
  <c r="I73" i="3"/>
  <c r="I67" i="3"/>
  <c r="I61" i="3"/>
  <c r="I55" i="3"/>
  <c r="I49" i="3"/>
  <c r="I43" i="3"/>
  <c r="I37" i="3"/>
  <c r="I31" i="3"/>
  <c r="I138" i="3"/>
  <c r="E138" i="3"/>
  <c r="I137" i="3"/>
  <c r="E137" i="3"/>
  <c r="I136" i="3"/>
  <c r="E136" i="3"/>
  <c r="I135" i="3"/>
  <c r="E135" i="3"/>
  <c r="I134" i="3"/>
  <c r="E134" i="3"/>
  <c r="I132" i="3"/>
  <c r="E132" i="3"/>
  <c r="I131" i="3"/>
  <c r="E131" i="3"/>
  <c r="I130" i="3"/>
  <c r="E130" i="3"/>
  <c r="I129" i="3"/>
  <c r="E129" i="3"/>
  <c r="I128" i="3"/>
  <c r="E128" i="3"/>
  <c r="I126" i="3"/>
  <c r="E126" i="3"/>
  <c r="I125" i="3"/>
  <c r="E125" i="3"/>
  <c r="I124" i="3"/>
  <c r="E124" i="3"/>
  <c r="I123" i="3"/>
  <c r="E123" i="3"/>
  <c r="I122" i="3"/>
  <c r="E122" i="3"/>
  <c r="I120" i="3"/>
  <c r="E120" i="3"/>
  <c r="I119" i="3"/>
  <c r="E119" i="3"/>
  <c r="I118" i="3"/>
  <c r="E118" i="3"/>
  <c r="I117" i="3"/>
  <c r="E117" i="3"/>
  <c r="I116" i="3"/>
  <c r="E116" i="3"/>
  <c r="I114" i="3"/>
  <c r="E114" i="3"/>
  <c r="I113" i="3"/>
  <c r="E113" i="3"/>
  <c r="I112" i="3"/>
  <c r="E112" i="3"/>
  <c r="I111" i="3"/>
  <c r="E111" i="3"/>
  <c r="I110" i="3"/>
  <c r="E110" i="3"/>
  <c r="I108" i="3"/>
  <c r="E108" i="3"/>
  <c r="I107" i="3"/>
  <c r="E107" i="3"/>
  <c r="I106" i="3"/>
  <c r="E106" i="3"/>
  <c r="I105" i="3"/>
  <c r="E105" i="3"/>
  <c r="I104" i="3"/>
  <c r="E104" i="3"/>
  <c r="I102" i="3"/>
  <c r="E102" i="3"/>
  <c r="I101" i="3"/>
  <c r="E101" i="3"/>
  <c r="I100" i="3"/>
  <c r="E100" i="3"/>
  <c r="I99" i="3"/>
  <c r="E99" i="3"/>
  <c r="I98" i="3"/>
  <c r="E98" i="3"/>
  <c r="I96" i="3"/>
  <c r="E96" i="3"/>
  <c r="I95" i="3"/>
  <c r="E95" i="3"/>
  <c r="I94" i="3"/>
  <c r="E94" i="3"/>
  <c r="I93" i="3"/>
  <c r="E93" i="3"/>
  <c r="I92" i="3"/>
  <c r="E92" i="3"/>
  <c r="I90" i="3"/>
  <c r="E90" i="3"/>
  <c r="I89" i="3"/>
  <c r="E89" i="3"/>
  <c r="I88" i="3"/>
  <c r="E88" i="3"/>
  <c r="I87" i="3"/>
  <c r="E87" i="3"/>
  <c r="E86" i="3"/>
  <c r="I84" i="3"/>
  <c r="E84" i="3"/>
  <c r="I83" i="3"/>
  <c r="E83" i="3"/>
  <c r="I82" i="3"/>
  <c r="E82" i="3"/>
  <c r="I81" i="3"/>
  <c r="E81" i="3"/>
  <c r="I80" i="3"/>
  <c r="E80" i="3"/>
  <c r="I78" i="3"/>
  <c r="E78" i="3"/>
  <c r="I77" i="3"/>
  <c r="E77" i="3"/>
  <c r="I76" i="3"/>
  <c r="E76" i="3"/>
  <c r="I75" i="3"/>
  <c r="E75" i="3"/>
  <c r="I74" i="3"/>
  <c r="E74" i="3"/>
  <c r="I72" i="3"/>
  <c r="E72" i="3"/>
  <c r="I71" i="3"/>
  <c r="E71" i="3"/>
  <c r="I70" i="3"/>
  <c r="E70" i="3"/>
  <c r="I69" i="3"/>
  <c r="E69" i="3"/>
  <c r="I68" i="3"/>
  <c r="E68" i="3"/>
  <c r="I66" i="3"/>
  <c r="E66" i="3"/>
  <c r="I65" i="3"/>
  <c r="E65" i="3"/>
  <c r="I64" i="3"/>
  <c r="E64" i="3"/>
  <c r="I63" i="3"/>
  <c r="E63" i="3"/>
  <c r="I62" i="3"/>
  <c r="E62" i="3"/>
  <c r="I60" i="3"/>
  <c r="E60" i="3"/>
  <c r="I59" i="3"/>
  <c r="E59" i="3"/>
  <c r="I58" i="3"/>
  <c r="E58" i="3"/>
  <c r="I57" i="3"/>
  <c r="E57" i="3"/>
  <c r="I56" i="3"/>
  <c r="E56" i="3"/>
  <c r="I54" i="3"/>
  <c r="E54" i="3"/>
  <c r="I53" i="3"/>
  <c r="E53" i="3"/>
  <c r="I52" i="3"/>
  <c r="E52" i="3"/>
  <c r="I51" i="3"/>
  <c r="E51" i="3"/>
  <c r="I50" i="3"/>
  <c r="E50" i="3"/>
  <c r="I48" i="3"/>
  <c r="E48" i="3"/>
  <c r="I47" i="3"/>
  <c r="E47" i="3"/>
  <c r="I46" i="3"/>
  <c r="E46" i="3"/>
  <c r="I45" i="3"/>
  <c r="E45" i="3"/>
  <c r="I44" i="3"/>
  <c r="E44" i="3"/>
  <c r="I42" i="3"/>
  <c r="E42" i="3"/>
  <c r="I41" i="3"/>
  <c r="E41" i="3"/>
  <c r="I40" i="3"/>
  <c r="E40" i="3"/>
  <c r="I39" i="3"/>
  <c r="E39" i="3"/>
  <c r="I38" i="3"/>
  <c r="E38" i="3"/>
  <c r="I36" i="3"/>
  <c r="E36" i="3"/>
  <c r="I35" i="3"/>
  <c r="E35" i="3"/>
  <c r="I34" i="3"/>
  <c r="E34" i="3"/>
  <c r="I33" i="3"/>
  <c r="E33" i="3"/>
  <c r="I32" i="3"/>
  <c r="E32" i="3"/>
  <c r="O72" i="3"/>
  <c r="O71" i="3"/>
  <c r="O70" i="3"/>
  <c r="O69" i="3"/>
  <c r="O68" i="3"/>
  <c r="O67" i="3"/>
  <c r="K72" i="3"/>
  <c r="K71" i="3"/>
  <c r="K70" i="3"/>
  <c r="K69" i="3"/>
  <c r="K68" i="3"/>
  <c r="R23" i="6" l="1"/>
  <c r="N11" i="10"/>
  <c r="N12" i="10"/>
  <c r="N13" i="10"/>
  <c r="N14" i="10"/>
  <c r="N10" i="10"/>
  <c r="R43" i="6" l="1"/>
  <c r="R44" i="6"/>
  <c r="R50" i="6" l="1"/>
  <c r="R32" i="6"/>
  <c r="N9" i="10"/>
  <c r="N15" i="10"/>
  <c r="N16" i="10"/>
  <c r="N17" i="10"/>
  <c r="N18" i="10"/>
  <c r="N19" i="10"/>
  <c r="N20" i="10"/>
  <c r="C30" i="10"/>
  <c r="E30" i="10"/>
  <c r="G30" i="10"/>
  <c r="I30" i="10"/>
  <c r="K30" i="10"/>
  <c r="M30" i="10"/>
  <c r="O30" i="10"/>
  <c r="Q30" i="10"/>
  <c r="S30" i="10"/>
  <c r="U30" i="10"/>
  <c r="W30" i="10"/>
  <c r="Y30" i="10"/>
  <c r="Z30" i="10"/>
  <c r="C31" i="10"/>
  <c r="E31" i="10"/>
  <c r="G31" i="10"/>
  <c r="I31" i="10"/>
  <c r="K31" i="10"/>
  <c r="M31" i="10"/>
  <c r="O31" i="10"/>
  <c r="Q31" i="10"/>
  <c r="S31" i="10"/>
  <c r="U31" i="10"/>
  <c r="W31" i="10"/>
  <c r="Y31" i="10"/>
  <c r="Z31" i="10"/>
  <c r="AA32" i="10"/>
  <c r="AA33" i="10"/>
  <c r="Z34" i="10"/>
  <c r="AA34" i="10"/>
  <c r="Z35" i="10"/>
  <c r="AA35" i="10"/>
  <c r="Z36" i="10"/>
  <c r="AA36" i="10"/>
  <c r="Z37" i="10"/>
  <c r="AA37" i="10"/>
  <c r="Z38" i="10"/>
  <c r="AA38" i="10"/>
  <c r="Z39" i="10"/>
  <c r="AA39" i="10"/>
  <c r="Z40" i="10"/>
  <c r="AA40" i="10"/>
  <c r="Z41" i="10"/>
  <c r="AA41" i="10"/>
  <c r="D51" i="10"/>
  <c r="F51" i="10"/>
  <c r="H51" i="10"/>
  <c r="J51" i="10"/>
  <c r="L51" i="10"/>
  <c r="N51" i="10"/>
  <c r="P51" i="10"/>
  <c r="R51" i="10"/>
  <c r="T51" i="10"/>
  <c r="V51" i="10"/>
  <c r="X51" i="10"/>
  <c r="Z51" i="10"/>
  <c r="AA51" i="10"/>
  <c r="D52" i="10"/>
  <c r="F52" i="10"/>
  <c r="H52" i="10"/>
  <c r="J52" i="10"/>
  <c r="L52" i="10"/>
  <c r="N52" i="10"/>
  <c r="P52" i="10"/>
  <c r="R52" i="10"/>
  <c r="T52" i="10"/>
  <c r="V52" i="10"/>
  <c r="X52" i="10"/>
  <c r="Z52" i="10"/>
  <c r="AA52" i="10"/>
  <c r="D53" i="10"/>
  <c r="F53" i="10"/>
  <c r="H53" i="10"/>
  <c r="J53" i="10"/>
  <c r="L53" i="10"/>
  <c r="N53" i="10"/>
  <c r="P53" i="10"/>
  <c r="R53" i="10"/>
  <c r="T53" i="10"/>
  <c r="V53" i="10"/>
  <c r="X53" i="10"/>
  <c r="Z53" i="10"/>
  <c r="AA53" i="10"/>
  <c r="AA54" i="10"/>
  <c r="AB54" i="10"/>
  <c r="AA55" i="10"/>
  <c r="AB55" i="10"/>
  <c r="AA56" i="10"/>
  <c r="AB56" i="10"/>
  <c r="AA57" i="10"/>
  <c r="AB57" i="10"/>
  <c r="AA58" i="10"/>
  <c r="AB58" i="10"/>
  <c r="AA59" i="10"/>
  <c r="AB59" i="10"/>
  <c r="AA60" i="10"/>
  <c r="AB60" i="10"/>
  <c r="AA61" i="10"/>
  <c r="AB61" i="10"/>
  <c r="AA62" i="10"/>
  <c r="AB62" i="10"/>
  <c r="K14" i="5"/>
  <c r="O14" i="5"/>
  <c r="K15" i="5"/>
  <c r="O15" i="5"/>
  <c r="K16" i="5"/>
  <c r="O16" i="5"/>
  <c r="K17" i="5"/>
  <c r="O17" i="5"/>
  <c r="K18" i="5"/>
  <c r="O18" i="5"/>
  <c r="K19" i="5"/>
  <c r="O19" i="5"/>
  <c r="K31" i="3"/>
  <c r="O31" i="3"/>
  <c r="K32" i="3"/>
  <c r="O32" i="3"/>
  <c r="K33" i="3"/>
  <c r="O33" i="3"/>
  <c r="K34" i="3"/>
  <c r="O34" i="3"/>
  <c r="K35" i="3"/>
  <c r="O35" i="3"/>
  <c r="K36" i="3"/>
  <c r="O36" i="3"/>
  <c r="O37" i="3"/>
  <c r="K38" i="3"/>
  <c r="O38" i="3"/>
  <c r="K39" i="3"/>
  <c r="O39" i="3"/>
  <c r="K40" i="3"/>
  <c r="O40" i="3"/>
  <c r="K41" i="3"/>
  <c r="O41" i="3"/>
  <c r="K42" i="3"/>
  <c r="O42" i="3"/>
  <c r="O43" i="3"/>
  <c r="K44" i="3"/>
  <c r="O44" i="3"/>
  <c r="K45" i="3"/>
  <c r="O45" i="3"/>
  <c r="K46" i="3"/>
  <c r="O46" i="3"/>
  <c r="K47" i="3"/>
  <c r="O47" i="3"/>
  <c r="K48" i="3"/>
  <c r="O48" i="3"/>
  <c r="O49" i="3"/>
  <c r="K50" i="3"/>
  <c r="O50" i="3"/>
  <c r="K51" i="3"/>
  <c r="O51" i="3"/>
  <c r="K52" i="3"/>
  <c r="O52" i="3"/>
  <c r="K53" i="3"/>
  <c r="O53" i="3"/>
  <c r="K54" i="3"/>
  <c r="O54" i="3"/>
  <c r="O55" i="3"/>
  <c r="K56" i="3"/>
  <c r="O56" i="3"/>
  <c r="K57" i="3"/>
  <c r="O57" i="3"/>
  <c r="K58" i="3"/>
  <c r="O58" i="3"/>
  <c r="K59" i="3"/>
  <c r="O59" i="3"/>
  <c r="K60" i="3"/>
  <c r="O60" i="3"/>
  <c r="O61" i="3"/>
  <c r="K62" i="3"/>
  <c r="O62" i="3"/>
  <c r="K63" i="3"/>
  <c r="O63" i="3"/>
  <c r="K64" i="3"/>
  <c r="O64" i="3"/>
  <c r="K65" i="3"/>
  <c r="O65" i="3"/>
  <c r="K66" i="3"/>
  <c r="O66" i="3"/>
  <c r="O73" i="3"/>
  <c r="K74" i="3"/>
  <c r="O74" i="3"/>
  <c r="K75" i="3"/>
  <c r="O75" i="3"/>
  <c r="K76" i="3"/>
  <c r="O76" i="3"/>
  <c r="K77" i="3"/>
  <c r="O77" i="3"/>
  <c r="K78" i="3"/>
  <c r="O78" i="3"/>
  <c r="O79" i="3"/>
  <c r="K80" i="3"/>
  <c r="O80" i="3"/>
  <c r="K81" i="3"/>
  <c r="O81" i="3"/>
  <c r="K82" i="3"/>
  <c r="O82" i="3"/>
  <c r="K83" i="3"/>
  <c r="O83" i="3"/>
  <c r="K84" i="3"/>
  <c r="O84" i="3"/>
  <c r="O85" i="3"/>
  <c r="K86" i="3"/>
  <c r="O86" i="3"/>
  <c r="K87" i="3"/>
  <c r="O87" i="3"/>
  <c r="K88" i="3"/>
  <c r="O88" i="3"/>
  <c r="K89" i="3"/>
  <c r="O89" i="3"/>
  <c r="K90" i="3"/>
  <c r="O90" i="3"/>
  <c r="O91" i="3"/>
  <c r="K92" i="3"/>
  <c r="O92" i="3"/>
  <c r="K93" i="3"/>
  <c r="O93" i="3"/>
  <c r="K94" i="3"/>
  <c r="O94" i="3"/>
  <c r="K95" i="3"/>
  <c r="O95" i="3"/>
  <c r="K96" i="3"/>
  <c r="O96" i="3"/>
  <c r="O97" i="3"/>
  <c r="K98" i="3"/>
  <c r="O98" i="3"/>
  <c r="K99" i="3"/>
  <c r="O99" i="3"/>
  <c r="K100" i="3"/>
  <c r="O100" i="3"/>
  <c r="K101" i="3"/>
  <c r="O101" i="3"/>
  <c r="K102" i="3"/>
  <c r="O102" i="3"/>
  <c r="O103" i="3"/>
  <c r="K104" i="3"/>
  <c r="O104" i="3"/>
  <c r="K105" i="3"/>
  <c r="O105" i="3"/>
  <c r="K106" i="3"/>
  <c r="O106" i="3"/>
  <c r="K107" i="3"/>
  <c r="O107" i="3"/>
  <c r="K108" i="3"/>
  <c r="O108" i="3"/>
  <c r="O109" i="3"/>
  <c r="K110" i="3"/>
  <c r="O110" i="3"/>
  <c r="K111" i="3"/>
  <c r="O111" i="3"/>
  <c r="K112" i="3"/>
  <c r="O112" i="3"/>
  <c r="K113" i="3"/>
  <c r="O113" i="3"/>
  <c r="K114" i="3"/>
  <c r="O114" i="3"/>
  <c r="O115" i="3"/>
  <c r="K116" i="3"/>
  <c r="O116" i="3"/>
  <c r="K117" i="3"/>
  <c r="O117" i="3"/>
  <c r="K118" i="3"/>
  <c r="O118" i="3"/>
  <c r="K119" i="3"/>
  <c r="O119" i="3"/>
  <c r="K120" i="3"/>
  <c r="O120" i="3"/>
  <c r="O121" i="3"/>
  <c r="K122" i="3"/>
  <c r="O122" i="3"/>
  <c r="K123" i="3"/>
  <c r="O123" i="3"/>
  <c r="K124" i="3"/>
  <c r="O124" i="3"/>
  <c r="K125" i="3"/>
  <c r="O125" i="3"/>
  <c r="K126" i="3"/>
  <c r="O126" i="3"/>
  <c r="O127" i="3"/>
  <c r="K128" i="3"/>
  <c r="O128" i="3"/>
  <c r="K129" i="3"/>
  <c r="O129" i="3"/>
  <c r="K130" i="3"/>
  <c r="O130" i="3"/>
  <c r="K131" i="3"/>
  <c r="O131" i="3"/>
  <c r="K132" i="3"/>
  <c r="O132" i="3"/>
  <c r="O133" i="3"/>
  <c r="K134" i="3"/>
  <c r="O134" i="3"/>
  <c r="K135" i="3"/>
  <c r="O135" i="3"/>
  <c r="K136" i="3"/>
  <c r="O136" i="3"/>
  <c r="K137" i="3"/>
  <c r="O137" i="3"/>
  <c r="K138" i="3"/>
  <c r="O138" i="3"/>
  <c r="N11" i="1"/>
  <c r="R22" i="6"/>
  <c r="R31" i="6"/>
  <c r="R24" i="6"/>
  <c r="R27" i="6"/>
  <c r="R28" i="6"/>
  <c r="R29" i="6"/>
  <c r="R30" i="6"/>
  <c r="R35" i="6"/>
  <c r="R36" i="6"/>
  <c r="R37" i="6"/>
  <c r="R39" i="6"/>
  <c r="R41" i="6"/>
  <c r="R45" i="6"/>
  <c r="R46" i="6"/>
  <c r="R49" i="6"/>
  <c r="R54" i="6"/>
  <c r="R25" i="6"/>
  <c r="R26" i="6"/>
  <c r="R33" i="6"/>
  <c r="R34" i="6"/>
  <c r="R38" i="6"/>
  <c r="R40" i="6"/>
  <c r="R42" i="6"/>
  <c r="R47" i="6"/>
  <c r="R48" i="6"/>
  <c r="R51" i="6"/>
  <c r="R52" i="6"/>
  <c r="R53" i="6"/>
  <c r="R55" i="6"/>
  <c r="R56" i="6"/>
  <c r="R57" i="6"/>
  <c r="R58" i="6"/>
  <c r="R59" i="6"/>
  <c r="R60" i="6"/>
  <c r="R61" i="6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33" i="1"/>
  <c r="N34" i="1"/>
  <c r="N35" i="1"/>
  <c r="N36" i="1"/>
  <c r="N38" i="1"/>
  <c r="N39" i="1"/>
  <c r="N40" i="1"/>
  <c r="N41" i="1"/>
  <c r="N42" i="1"/>
  <c r="N43" i="1"/>
  <c r="N44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Q11" i="6"/>
  <c r="Q12" i="6"/>
  <c r="Q13" i="6"/>
  <c r="Q14" i="6"/>
  <c r="Q15" i="6"/>
  <c r="Q16" i="6"/>
  <c r="Q17" i="6"/>
  <c r="F13" i="13"/>
  <c r="I13" i="13"/>
  <c r="F14" i="13"/>
  <c r="I14" i="13"/>
  <c r="F15" i="13"/>
  <c r="I15" i="13"/>
  <c r="F16" i="13"/>
  <c r="I16" i="13"/>
  <c r="F17" i="13"/>
  <c r="I17" i="13"/>
  <c r="F18" i="13"/>
  <c r="I18" i="13"/>
  <c r="F19" i="13"/>
  <c r="I19" i="13"/>
  <c r="F20" i="13"/>
  <c r="I20" i="13"/>
  <c r="F21" i="13"/>
  <c r="I21" i="13"/>
  <c r="F22" i="13"/>
  <c r="I22" i="13"/>
  <c r="F23" i="13"/>
  <c r="I23" i="13"/>
  <c r="F24" i="13"/>
  <c r="I24" i="13"/>
  <c r="F25" i="13"/>
  <c r="I25" i="13"/>
  <c r="F26" i="13"/>
  <c r="I26" i="13"/>
  <c r="N32" i="1"/>
  <c r="B26" i="9" l="1"/>
  <c r="B27" i="9"/>
  <c r="B14" i="9"/>
  <c r="AA31" i="10"/>
  <c r="N86" i="1"/>
  <c r="B33" i="9" s="1"/>
  <c r="Z32" i="10"/>
  <c r="AB53" i="10"/>
  <c r="AB51" i="10"/>
  <c r="Z33" i="10"/>
  <c r="B13" i="9"/>
  <c r="B32" i="9"/>
  <c r="AB52" i="10"/>
  <c r="B20" i="9"/>
  <c r="R62" i="6"/>
  <c r="Q18" i="6"/>
  <c r="AA30" i="10"/>
  <c r="O21" i="10"/>
  <c r="N37" i="1"/>
  <c r="B25" i="9" l="1"/>
  <c r="B28" i="9"/>
  <c r="AA42" i="10"/>
  <c r="B19" i="9"/>
  <c r="B30" i="9"/>
  <c r="B29" i="9"/>
  <c r="AC63" i="10"/>
  <c r="B65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gmi</author>
  </authors>
  <commentList>
    <comment ref="H17" authorId="0" shapeId="0" xr:uid="{3E87909A-9B75-43F6-88EE-6F0FDA50193F}">
      <text>
        <r>
          <rPr>
            <b/>
            <sz val="8"/>
            <color indexed="81"/>
            <rFont val="Tahoma"/>
            <family val="2"/>
          </rPr>
          <t>gmi:</t>
        </r>
        <r>
          <rPr>
            <sz val="8"/>
            <color indexed="81"/>
            <rFont val="Tahoma"/>
            <family val="2"/>
          </rPr>
          <t xml:space="preserve">
come O2</t>
        </r>
      </text>
    </comment>
    <comment ref="N17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gmi:</t>
        </r>
        <r>
          <rPr>
            <sz val="8"/>
            <color indexed="81"/>
            <rFont val="Tahoma"/>
            <family val="2"/>
          </rPr>
          <t xml:space="preserve">
come O2</t>
        </r>
      </text>
    </comment>
    <comment ref="H18" authorId="0" shapeId="0" xr:uid="{E666A8FD-E69D-4B84-905E-5347C427C4A5}">
      <text>
        <r>
          <rPr>
            <b/>
            <sz val="8"/>
            <color indexed="81"/>
            <rFont val="Tahoma"/>
            <family val="2"/>
          </rPr>
          <t>gmi:</t>
        </r>
        <r>
          <rPr>
            <sz val="8"/>
            <color indexed="81"/>
            <rFont val="Tahoma"/>
            <family val="2"/>
          </rPr>
          <t xml:space="preserve">
come O2</t>
        </r>
      </text>
    </comment>
    <comment ref="N18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gmi:</t>
        </r>
        <r>
          <rPr>
            <sz val="8"/>
            <color indexed="81"/>
            <rFont val="Tahoma"/>
            <family val="2"/>
          </rPr>
          <t xml:space="preserve">
come O2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Pasetto</author>
  </authors>
  <commentList>
    <comment ref="B12" authorId="0" shapeId="0" xr:uid="{74EE1512-53EB-479F-A4C4-8B10A4064920}">
      <text>
        <r>
          <rPr>
            <b/>
            <sz val="9"/>
            <color indexed="81"/>
            <rFont val="Tahoma"/>
            <charset val="1"/>
          </rPr>
          <t>Mauro Pasetto:</t>
        </r>
        <r>
          <rPr>
            <sz val="9"/>
            <color indexed="81"/>
            <rFont val="Tahoma"/>
            <charset val="1"/>
          </rPr>
          <t xml:space="preserve">
Mauro Pasetto:
considerato 1 metro cubo di metano corrispondente a 10,69 KWh </t>
        </r>
      </text>
    </comment>
  </commentList>
</comments>
</file>

<file path=xl/sharedStrings.xml><?xml version="1.0" encoding="utf-8"?>
<sst xmlns="http://schemas.openxmlformats.org/spreadsheetml/2006/main" count="1249" uniqueCount="392">
  <si>
    <t>Materie prime</t>
  </si>
  <si>
    <t>Denominazione</t>
  </si>
  <si>
    <t>UM</t>
  </si>
  <si>
    <t>Punto di emissione</t>
  </si>
  <si>
    <t>Inquinanti</t>
  </si>
  <si>
    <t>Tipologia di approvvigionamento</t>
  </si>
  <si>
    <t>Rifiuti prodotti</t>
  </si>
  <si>
    <t>Codice CER</t>
  </si>
  <si>
    <t>Smaltimento    (codice)</t>
  </si>
  <si>
    <t>Recupero                 (codice)</t>
  </si>
  <si>
    <t>Emissioni</t>
  </si>
  <si>
    <t>Recupero (codice)</t>
  </si>
  <si>
    <t>TEP</t>
  </si>
  <si>
    <t>Autorizzazione Integrata Ambientale - Direttiva IPPC</t>
  </si>
  <si>
    <t>REPORT ANNUALE PER L'INVIO DEI DATI DI AUTOCONTROLLO</t>
  </si>
  <si>
    <t>1 - COMPONENTI AMBIENTALI</t>
  </si>
  <si>
    <t>Tabella 1.1.1. Materie prime</t>
  </si>
  <si>
    <t>U.M.</t>
  </si>
  <si>
    <t>data</t>
  </si>
  <si>
    <t xml:space="preserve">Denominazione </t>
  </si>
  <si>
    <t>1.2. Risorse idriche</t>
  </si>
  <si>
    <t>Tabella 1.2.1. Risorse idriche</t>
  </si>
  <si>
    <t>Descrizione</t>
  </si>
  <si>
    <t>U.M. utilizzata</t>
  </si>
  <si>
    <t>PCI (Gj/t)</t>
  </si>
  <si>
    <t>1.5. Emissioni in aria</t>
  </si>
  <si>
    <t>giorni/anno di funzionamento del camino</t>
  </si>
  <si>
    <t>Tabella 1.5.1. Punti di emissione (dati fisici)</t>
  </si>
  <si>
    <t>ore/giorno di funzionamento del camino</t>
  </si>
  <si>
    <t>Discostamento % dal valore limite di emissione</t>
  </si>
  <si>
    <t>Punto emissione</t>
  </si>
  <si>
    <t>1.6. Emissioni in acqua</t>
  </si>
  <si>
    <t>1.8 - Rifiuti</t>
  </si>
  <si>
    <t>2- GESTIONE DELL'IMPIANTO</t>
  </si>
  <si>
    <t>Sistema di abbattimento</t>
  </si>
  <si>
    <t>Parametri di controllo del processo di abbattimento</t>
  </si>
  <si>
    <t>Tipo di intervento</t>
  </si>
  <si>
    <t>Concentrazione limite da normantiva o autorizzata in AIA [mg/l]</t>
  </si>
  <si>
    <t>1.9 – Suolo e sottosuolo</t>
  </si>
  <si>
    <t>Punto di misura/piezometro</t>
  </si>
  <si>
    <t>inquinante</t>
  </si>
  <si>
    <t>Parametro / inquinante</t>
  </si>
  <si>
    <t>Macchinario</t>
  </si>
  <si>
    <t>Sistema di trattamento (stadio di trattamento)</t>
  </si>
  <si>
    <t>Parametri di controllo del processo di trattamento</t>
  </si>
  <si>
    <t>Data intervento</t>
  </si>
  <si>
    <t>Data del controllo</t>
  </si>
  <si>
    <t>Commenti</t>
  </si>
  <si>
    <t xml:space="preserve">Data del controllo </t>
  </si>
  <si>
    <t>Tipologia di stoccaggio e localizzazione</t>
  </si>
  <si>
    <t>3 – INDICATORI DI PRESTAZIONE</t>
  </si>
  <si>
    <t>Consumi idrici</t>
  </si>
  <si>
    <t>Ragione sociale:</t>
  </si>
  <si>
    <t>Categoria IPPC</t>
  </si>
  <si>
    <t>PIVA</t>
  </si>
  <si>
    <t>Indirizzo impianto:</t>
  </si>
  <si>
    <t>via</t>
  </si>
  <si>
    <t>n°</t>
  </si>
  <si>
    <t>CAP</t>
  </si>
  <si>
    <t>città</t>
  </si>
  <si>
    <t>tel:</t>
  </si>
  <si>
    <t>fax:</t>
  </si>
  <si>
    <t>e-mail:</t>
  </si>
  <si>
    <t xml:space="preserve">ANNO DI RIFERIMENTO </t>
  </si>
  <si>
    <t xml:space="preserve">al </t>
  </si>
  <si>
    <t>dal</t>
  </si>
  <si>
    <t>Compilatore report annuale IPPC:</t>
  </si>
  <si>
    <t>ANAGRAFICA AZIENDA</t>
  </si>
  <si>
    <t>Numero giorni lavorati in un anno</t>
  </si>
  <si>
    <t>GENNAIO</t>
  </si>
  <si>
    <t xml:space="preserve">FEBBRAIO 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</si>
  <si>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</si>
  <si>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</si>
  <si>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</si>
  <si>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</si>
  <si>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</si>
  <si>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</si>
  <si>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</si>
  <si>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</si>
  <si>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</si>
  <si>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</si>
  <si>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 ANNUO</t>
  </si>
  <si>
    <t>FEBBRAIO</t>
  </si>
  <si>
    <t>TOTALE</t>
  </si>
  <si>
    <t>ANNO</t>
  </si>
  <si>
    <t>Durata emissione h/giorno</t>
  </si>
  <si>
    <t>Durata emissione gg/anno</t>
  </si>
  <si>
    <t xml:space="preserve">Concentrazioine </t>
  </si>
  <si>
    <t>mg/l</t>
  </si>
  <si>
    <t>Descrivere le criticità riscontrate</t>
  </si>
  <si>
    <t>Descrivere le criticità riscontrate.</t>
  </si>
  <si>
    <t>Verifica effettuata</t>
  </si>
  <si>
    <t>Indicatore a sua descrizione</t>
  </si>
  <si>
    <t>TOTALE ANNO</t>
  </si>
  <si>
    <t>TOTLAE ANNO</t>
  </si>
  <si>
    <t>LUG.IO</t>
  </si>
  <si>
    <t>E' previsto il controllo analitico delle acque di falda? (SI/NO)</t>
  </si>
  <si>
    <t>TOTALE COMPLESSIVO TEP/ANNO</t>
  </si>
  <si>
    <t>TOTALE TEP/ANNO ENERGIA</t>
  </si>
  <si>
    <t>Analisi del gg/mm/aaaa RdP n. ______</t>
  </si>
  <si>
    <t>Parametri monitorati</t>
  </si>
  <si>
    <t>Flusso di massa</t>
  </si>
  <si>
    <t>kg/anno</t>
  </si>
  <si>
    <t>mg/Nm3</t>
  </si>
  <si>
    <t>Denominazione della MPS</t>
  </si>
  <si>
    <t xml:space="preserve">Rifiuti </t>
  </si>
  <si>
    <t>1.3. Energia</t>
  </si>
  <si>
    <t>1.4. Combustibili</t>
  </si>
  <si>
    <t>Referente IPPC:</t>
  </si>
  <si>
    <t>Carico</t>
  </si>
  <si>
    <t>Modalità stoccaggio</t>
  </si>
  <si>
    <t xml:space="preserve">Gasolio 1 t </t>
  </si>
  <si>
    <t>= 1,08 TEP</t>
  </si>
  <si>
    <t xml:space="preserve">Olio combustibile 1 t </t>
  </si>
  <si>
    <t>= 0,98 TEP</t>
  </si>
  <si>
    <t xml:space="preserve">Gas di petrolio liquefatti (GPL) 1 t </t>
  </si>
  <si>
    <t>= 1,10 TEP</t>
  </si>
  <si>
    <t xml:space="preserve">Carbon fossile 1 t </t>
  </si>
  <si>
    <t>= 0,74 TEP</t>
  </si>
  <si>
    <t xml:space="preserve">Carbone di legna 1 t </t>
  </si>
  <si>
    <t>= 0,75 TEP</t>
  </si>
  <si>
    <t xml:space="preserve">Antracite e prodotti antracinosi 1 t </t>
  </si>
  <si>
    <t>= 0,70 TEP</t>
  </si>
  <si>
    <t xml:space="preserve">Legna da ardere 1 t </t>
  </si>
  <si>
    <t>= 0,45 TEP</t>
  </si>
  <si>
    <t xml:space="preserve">Lignite 1 t </t>
  </si>
  <si>
    <t>= 0,25 TEP</t>
  </si>
  <si>
    <t xml:space="preserve">Gas naturale 1000 Nm3 </t>
  </si>
  <si>
    <t>= 0,82 TEP</t>
  </si>
  <si>
    <t>1 kWh</t>
  </si>
  <si>
    <t xml:space="preserve">EQUIVALENTE ENERGETICO DI ALCUNI PRODOTTI COMBUSTIBILI ED ENERGIA
(Valori indicativi espressi in TEP primari per unità fisica di prodotto)
(da TABELLA A - Circolare M.I.C.A. del 2 marzo 1992 n.219/F e Delibera EEN 3/08)
</t>
  </si>
  <si>
    <t>PROFONDITA' DEL PUNTO DI PRELIEVO</t>
  </si>
  <si>
    <t>Concentrazioine</t>
  </si>
  <si>
    <t>[kg/d]</t>
  </si>
  <si>
    <t>Tabella 1.6.1. Punti di emissione</t>
  </si>
  <si>
    <t>Criticità/Parametro</t>
  </si>
  <si>
    <r>
      <t>= 0,187 X 10</t>
    </r>
    <r>
      <rPr>
        <vertAlign val="superscript"/>
        <sz val="12"/>
        <color indexed="10"/>
        <rFont val="Tahoma"/>
        <family val="2"/>
      </rPr>
      <t>-3</t>
    </r>
  </si>
  <si>
    <t>(escluse le attività IPPC 5 e 6.6 Allegato I e attività Allegato V del D.Lgs.59/2005)</t>
  </si>
  <si>
    <t>data___</t>
  </si>
  <si>
    <t>ALTRE DICHIARAZIONI</t>
  </si>
  <si>
    <t>Tabella 1.8.1 - Rifiuti in ingresso</t>
  </si>
  <si>
    <t>Tabella 1.8.2 - Rifiuti prodotti</t>
  </si>
  <si>
    <r>
      <t xml:space="preserve">Modello generale per </t>
    </r>
    <r>
      <rPr>
        <b/>
        <u/>
        <sz val="12"/>
        <rFont val="Tahoma"/>
        <family val="2"/>
      </rPr>
      <t>tutte le attività</t>
    </r>
    <r>
      <rPr>
        <b/>
        <sz val="12"/>
        <rFont val="Tahoma"/>
        <family val="2"/>
      </rPr>
      <t xml:space="preserve"> dell'allegato I del D.Lgs.59/2005 </t>
    </r>
  </si>
  <si>
    <t>In Ingresso</t>
  </si>
  <si>
    <t>Tabella 1.1.3. Sottoprodotti (art. 183 D.Lgs. 152/2006 s.m.i) e Materie Prime Secondarie</t>
  </si>
  <si>
    <t>Tabella 1.1.4 – Controllo radiometrico</t>
  </si>
  <si>
    <t>In Uscita</t>
  </si>
  <si>
    <t>Tabella 1.1.5. Prodotti finiti</t>
  </si>
  <si>
    <t>Tabella 1.1.6. Sottoprodotti (art. 183 D.Lgs. 152/2006 s.m.i) e Materie Prime Secondarie</t>
  </si>
  <si>
    <t>Tabella 1.1.7 – Controllo radiometrico</t>
  </si>
  <si>
    <t>E' previsto il controllo radiometrico in uscita? (SI/NO)</t>
  </si>
  <si>
    <t>Si calcolino i TEP utilizzando i valori riportati nella tabella di destra.</t>
  </si>
  <si>
    <t>TOTALE TEP/ANNO COMBUSTIBILE</t>
  </si>
  <si>
    <t xml:space="preserve">TOTALE </t>
  </si>
  <si>
    <t>Tabella 1.4.1.  Consumo di combustibili</t>
  </si>
  <si>
    <t>Tabella 1.3.1. Risorse energetiche</t>
  </si>
  <si>
    <r>
      <t>Concentrazione limite da normativa o autorizzata in AIA [mg/Nm</t>
    </r>
    <r>
      <rPr>
        <b/>
        <vertAlign val="superscript"/>
        <sz val="10"/>
        <rFont val="Tahoma"/>
        <family val="2"/>
      </rPr>
      <t>3</t>
    </r>
    <r>
      <rPr>
        <b/>
        <sz val="10"/>
        <rFont val="Tahoma"/>
        <family val="2"/>
      </rPr>
      <t>]</t>
    </r>
  </si>
  <si>
    <r>
      <t>Concentrazione limite da normantiva o autorizzata in AIA</t>
    </r>
    <r>
      <rPr>
        <b/>
        <sz val="10"/>
        <color indexed="10"/>
        <rFont val="Tahoma"/>
        <family val="2"/>
      </rPr>
      <t xml:space="preserve"> </t>
    </r>
  </si>
  <si>
    <t>1.7. Impatto acustico</t>
  </si>
  <si>
    <t>E' previsto il monitoraggio dellimpatto acustico nel PMC? (SI/NO)</t>
  </si>
  <si>
    <t>Se SI, è stato eseguito il monitoraggio durante l'anno di riferimento  (SI/NO)?</t>
  </si>
  <si>
    <t>Valutazione n.</t>
  </si>
  <si>
    <t xml:space="preserve">Condizioni di funzionamento degli impianti </t>
  </si>
  <si>
    <t>Parametro valutato</t>
  </si>
  <si>
    <t>Valore riscontrato</t>
  </si>
  <si>
    <t>Note (*)</t>
  </si>
  <si>
    <t>(*) nel caso in cui le misure non siano presso il ricettore indicare l’algoritmo utilizzato per risalire dalla misura al livello sonoro presso il ricettore.</t>
  </si>
  <si>
    <t>Tabella 1.7.1. Rumore</t>
  </si>
  <si>
    <t>Tabella 1.6.2. Inquinanti monitorati</t>
  </si>
  <si>
    <t>Tabella 1.9.1 – Acque di falda</t>
  </si>
  <si>
    <t>2.1 Controllo fasi critiche, manutenzioni, stoccaggi</t>
  </si>
  <si>
    <r>
      <t xml:space="preserve">Tabella 3.1. </t>
    </r>
    <r>
      <rPr>
        <i/>
        <sz val="11"/>
        <rFont val="Tahoma"/>
        <family val="2"/>
      </rPr>
      <t>Monitoraggio degli indicatori di performance</t>
    </r>
  </si>
  <si>
    <t xml:space="preserve">Tabella 2.1.1 - Sistemi di controllo delle fasi critiche del processo </t>
  </si>
  <si>
    <r>
      <t>Tabella 2.1.3</t>
    </r>
    <r>
      <rPr>
        <b/>
        <sz val="11"/>
        <color indexed="10"/>
        <rFont val="Tahoma"/>
        <family val="2"/>
      </rPr>
      <t xml:space="preserve"> </t>
    </r>
    <r>
      <rPr>
        <b/>
        <sz val="11"/>
        <rFont val="Tahoma"/>
        <family val="2"/>
      </rPr>
      <t>- Sistemi di trattamento fumi: controllo del processo</t>
    </r>
  </si>
  <si>
    <t>Tabella 2.1.5 - Aree di stoccaggio (vasche, serbatoi, bacini di contenimento etc.)</t>
  </si>
  <si>
    <t>Fase di Produzione</t>
  </si>
  <si>
    <t>Attività di controllo/Parametri di Controllo</t>
  </si>
  <si>
    <t>Risultato del controllo</t>
  </si>
  <si>
    <t>Data controllo</t>
  </si>
  <si>
    <t>1.1.  Materie prime e prodotti in ingresso e in uscita</t>
  </si>
  <si>
    <t>Portata (Nm3/h)</t>
  </si>
  <si>
    <t>Portata (m3/d)</t>
  </si>
  <si>
    <t>E' previsto il controllo radiometrico in entrata? (SI/NO)</t>
  </si>
  <si>
    <t xml:space="preserve">Concentrazione </t>
  </si>
  <si>
    <t>Concentrazione</t>
  </si>
  <si>
    <t>E' prevista l'utilizzo di rifiuti nel ciclo produttivo? (SI/NO)</t>
  </si>
  <si>
    <t>Concentrazione limite da normativa [mg/l]</t>
  </si>
  <si>
    <t>Tabella 2.1.4- Sistemi di depurazione: controllo del processo</t>
  </si>
  <si>
    <t xml:space="preserve">Strumentazione usata </t>
  </si>
  <si>
    <t>Strumentazione usata</t>
  </si>
  <si>
    <t>Tipo di manutenzione (Ordinaria o Straordinaria)</t>
  </si>
  <si>
    <t>Tabella 2.1.2 - Interventi di manutenzione ordinaria (e straordinaria) sugli impianti di abbattimento degli inquinanti  (ed eventuali fasi critiche del processo)</t>
  </si>
  <si>
    <t>Valore</t>
  </si>
  <si>
    <t>6.4b</t>
  </si>
  <si>
    <t>Zurlare</t>
  </si>
  <si>
    <t>21</t>
  </si>
  <si>
    <t>37041</t>
  </si>
  <si>
    <t>Coriano Veronese (Comune di Albaredo d'Adige)</t>
  </si>
  <si>
    <t>045 6629125</t>
  </si>
  <si>
    <t>mpasetto@grandimolini.it</t>
  </si>
  <si>
    <t>Mauro Pasetto</t>
  </si>
  <si>
    <t>Grano</t>
  </si>
  <si>
    <t>Farina sfusa (da altri stabilimenti del gruppo)</t>
  </si>
  <si>
    <t>Farina già confezionata (da altri stabilimenti del gruppo)</t>
  </si>
  <si>
    <t>Tabella 1.1.2. - Altre materie e sostanze in ingresso</t>
  </si>
  <si>
    <t>Carta per confezionamento</t>
  </si>
  <si>
    <t>Termosaldato per confezionamento</t>
  </si>
  <si>
    <t>Film estensibile</t>
  </si>
  <si>
    <t>Film termoretraibile</t>
  </si>
  <si>
    <t>Polistirolo</t>
  </si>
  <si>
    <t>Cartone</t>
  </si>
  <si>
    <t>Pallet</t>
  </si>
  <si>
    <t>Colla solida</t>
  </si>
  <si>
    <t>Colla liquida</t>
  </si>
  <si>
    <t>Prodotti usati per la sanificazione degli impianti (disinfestanti)</t>
  </si>
  <si>
    <t>t</t>
  </si>
  <si>
    <t>---</t>
  </si>
  <si>
    <t>Farina</t>
  </si>
  <si>
    <t>Cruscami (crusca pellet+ sfoglia, tritello, farinaccio e germe</t>
  </si>
  <si>
    <t>Farina tipo 1</t>
  </si>
  <si>
    <t>Acquedotto Fase 2 -molino (bagnatura grano)</t>
  </si>
  <si>
    <t>Acquedotto Fase 8 -servizi</t>
  </si>
  <si>
    <r>
      <t>m</t>
    </r>
    <r>
      <rPr>
        <vertAlign val="superscript"/>
        <sz val="10"/>
        <rFont val="Tahoma"/>
        <family val="2"/>
      </rPr>
      <t>3</t>
    </r>
  </si>
  <si>
    <t>Energia importata da rete esterna</t>
  </si>
  <si>
    <t>Kwh</t>
  </si>
  <si>
    <t>Metano - Caldaia produzione aria calda per fase 2 - molino e fase 6 -servizi</t>
  </si>
  <si>
    <t>Metano - n° 2 caldaie per riscaldamento e acqua sanitaria per fase 8-servizi</t>
  </si>
  <si>
    <t>Gasolio per autotrazione per fase 4-alimentazione carrelli elevatori</t>
  </si>
  <si>
    <t>1 - Prepulitura</t>
  </si>
  <si>
    <t>4 - Pulitura</t>
  </si>
  <si>
    <t>3 - Pulitura</t>
  </si>
  <si>
    <t>2 - Lavorazione materiale separato dalla prepulitura</t>
  </si>
  <si>
    <t>5 - Trasporto pneumatico grano al molino</t>
  </si>
  <si>
    <t>6 - Trasporto pneumatico grano al molino</t>
  </si>
  <si>
    <t>8 - essiccazione farine</t>
  </si>
  <si>
    <t>9 - Raffreddamento farine</t>
  </si>
  <si>
    <t>10 - Caldaia produzione vapore</t>
  </si>
  <si>
    <t>11 - Aspirazione silos farina</t>
  </si>
  <si>
    <t>13 - Cubettatrice</t>
  </si>
  <si>
    <t>14 - Aspirazione fossa scarico grano</t>
  </si>
  <si>
    <t>15 - Confezionamento farine</t>
  </si>
  <si>
    <t>18 - Carico rapido cisterna sfarinati</t>
  </si>
  <si>
    <t>19 - Carico rapido cisterna sfarinati</t>
  </si>
  <si>
    <t>20 - Carico rapido cisterna sfarinati</t>
  </si>
  <si>
    <t>21 - Carico rapido cisterna sfarinati</t>
  </si>
  <si>
    <t>Tabella 1.5.2. inquinanti monitorati</t>
  </si>
  <si>
    <t>Polveri</t>
  </si>
  <si>
    <t>045 7025031</t>
  </si>
  <si>
    <t>variabile</t>
  </si>
  <si>
    <t>SF1 - Fase F8 servizi igienici spogliatoi</t>
  </si>
  <si>
    <t>SF2 - Acque meteoriche</t>
  </si>
  <si>
    <t>SI</t>
  </si>
  <si>
    <t>NO</t>
  </si>
  <si>
    <t>/</t>
  </si>
  <si>
    <t>Toner esauriti</t>
  </si>
  <si>
    <t>Scarti di olio</t>
  </si>
  <si>
    <t>Acque oleose</t>
  </si>
  <si>
    <t>Imballaggi in legno</t>
  </si>
  <si>
    <t>Imballaggi metallici</t>
  </si>
  <si>
    <t>Ass. e mat. filtranti diversi da 150202</t>
  </si>
  <si>
    <t>Ferro e acciaio</t>
  </si>
  <si>
    <t>Tubi al neon</t>
  </si>
  <si>
    <t>Scarti inutilizzabili per il consumo o la trasformazione</t>
  </si>
  <si>
    <t>020304</t>
  </si>
  <si>
    <t>080318</t>
  </si>
  <si>
    <t>130205*</t>
  </si>
  <si>
    <t>R13</t>
  </si>
  <si>
    <t>130507*</t>
  </si>
  <si>
    <t>D15</t>
  </si>
  <si>
    <t>150101</t>
  </si>
  <si>
    <t>150103</t>
  </si>
  <si>
    <t>Imballaggi in materiali misti</t>
  </si>
  <si>
    <t>150106</t>
  </si>
  <si>
    <t>Imballaggi contaminati da sostanze pericolose</t>
  </si>
  <si>
    <t>150110*</t>
  </si>
  <si>
    <t>150111*</t>
  </si>
  <si>
    <t>150202*</t>
  </si>
  <si>
    <t>Ass. e mat. filtranti contaminati da sost. Pericolose</t>
  </si>
  <si>
    <t>150203</t>
  </si>
  <si>
    <t>Apparecchiature fuori uso con comp. pericolosi</t>
  </si>
  <si>
    <t>160213*</t>
  </si>
  <si>
    <t>Apparecchiature fuori diverse da 160213</t>
  </si>
  <si>
    <t>160214</t>
  </si>
  <si>
    <t>Sost.chim. di lab. contenenti o costituite da sot. pericolose</t>
  </si>
  <si>
    <t>160506*</t>
  </si>
  <si>
    <t>D14</t>
  </si>
  <si>
    <t>170405</t>
  </si>
  <si>
    <t>R4</t>
  </si>
  <si>
    <t>Rifiuti misti da costruzione</t>
  </si>
  <si>
    <t>170904</t>
  </si>
  <si>
    <t>Soluzioni e fanghi di rigenerazione delle resine</t>
  </si>
  <si>
    <t>190906</t>
  </si>
  <si>
    <t>D09</t>
  </si>
  <si>
    <t>200121*</t>
  </si>
  <si>
    <t>Fanghi delle fosse settiche</t>
  </si>
  <si>
    <t>200304</t>
  </si>
  <si>
    <t>080416</t>
  </si>
  <si>
    <t>Rifiuti liquidi acquosi contenenti sigillanti diversi da 080415</t>
  </si>
  <si>
    <t>140603*</t>
  </si>
  <si>
    <t>altri solventi e miscele di solventi</t>
  </si>
  <si>
    <t>160215*</t>
  </si>
  <si>
    <t>Componenti rimossi da apparecchiature fuori uso</t>
  </si>
  <si>
    <t>160216</t>
  </si>
  <si>
    <t>Componenti pericolosi rimossi da apparecchiature fuori uso</t>
  </si>
  <si>
    <t>170603*</t>
  </si>
  <si>
    <t>Altri materiali isolanti contenenti o costituiti da sost. pericolose</t>
  </si>
  <si>
    <t>Ph</t>
  </si>
  <si>
    <t>Idrocarburi Totali</t>
  </si>
  <si>
    <t>SST</t>
  </si>
  <si>
    <t>COD</t>
  </si>
  <si>
    <t>BOD 5</t>
  </si>
  <si>
    <t>Energia elettrica da rete esterna vs. grano macinato</t>
  </si>
  <si>
    <t>Energia elettrica autoprodotta vs. grano macinato</t>
  </si>
  <si>
    <t>Polveri emesse / grano macinato</t>
  </si>
  <si>
    <t>Acqua utilizzata in bagnatura / farina prodotta</t>
  </si>
  <si>
    <t>Acqua utilizzata in bagnatura / grano macinato</t>
  </si>
  <si>
    <r>
      <t xml:space="preserve">Rifiuti </t>
    </r>
    <r>
      <rPr>
        <b/>
        <strike/>
        <sz val="10"/>
        <rFont val="Tahoma"/>
        <family val="2"/>
      </rPr>
      <t>(sottoprodotti)</t>
    </r>
  </si>
  <si>
    <t>Rifiuti totali (P e NP) vs. grano macinato</t>
  </si>
  <si>
    <r>
      <t xml:space="preserve">Rifiuti </t>
    </r>
    <r>
      <rPr>
        <i/>
        <sz val="10"/>
        <rFont val="Tahoma"/>
        <family val="2"/>
      </rPr>
      <t>non pericolosi</t>
    </r>
    <r>
      <rPr>
        <sz val="10"/>
        <rFont val="Tahoma"/>
        <family val="2"/>
      </rPr>
      <t xml:space="preserve"> vs. grano macinato</t>
    </r>
  </si>
  <si>
    <t>Rifiuti pericolosi vs. grano macinato</t>
  </si>
  <si>
    <t>% rifiuti a recupero vs. rifiuti totali</t>
  </si>
  <si>
    <t>Scarti inutilizzabili per il consumo (CER 020304) / farina prodotta</t>
  </si>
  <si>
    <t>Imballaggi carta e cartone (CER 150101) / farina prodotta</t>
  </si>
  <si>
    <t>Combustibili</t>
  </si>
  <si>
    <t xml:space="preserve">Consumo di metano vs. grano macinato </t>
  </si>
  <si>
    <t>Consumo di metano vs. farina prodotta</t>
  </si>
  <si>
    <t>Kwh/t</t>
  </si>
  <si>
    <t>Kg/t</t>
  </si>
  <si>
    <t>l/t</t>
  </si>
  <si>
    <t>%</t>
  </si>
  <si>
    <r>
      <t>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>/t</t>
    </r>
  </si>
  <si>
    <t xml:space="preserve">Rifiuti plastici derivati da operazioni di costruzione e di demolizione </t>
  </si>
  <si>
    <t>170203</t>
  </si>
  <si>
    <t>R12</t>
  </si>
  <si>
    <t>Promolog Srl</t>
  </si>
  <si>
    <t>01132290295</t>
  </si>
  <si>
    <t>070101*</t>
  </si>
  <si>
    <t>Soluzioni acquose di lavaggio ed acque madri</t>
  </si>
  <si>
    <t>161001*</t>
  </si>
  <si>
    <t>Soluzioni acquose di scarto, contenenti sostanze pericolose</t>
  </si>
  <si>
    <t>Imballaggi di carta e cartone</t>
  </si>
  <si>
    <t>160505</t>
  </si>
  <si>
    <t>Gas in contenitori a pressione, diversi da quelli di cui alla voce 16 05 04</t>
  </si>
  <si>
    <t>5,5-9,5</t>
  </si>
  <si>
    <t>&lt;= 5</t>
  </si>
  <si>
    <t>&lt;= 80</t>
  </si>
  <si>
    <t>&lt;= 160</t>
  </si>
  <si>
    <t>&lt;= 40</t>
  </si>
  <si>
    <t>200101</t>
  </si>
  <si>
    <t>Carta e cartone</t>
  </si>
  <si>
    <t>Olio diatermico</t>
  </si>
  <si>
    <t>130307*</t>
  </si>
  <si>
    <t>150102</t>
  </si>
  <si>
    <t>imballaggi di plastica</t>
  </si>
  <si>
    <t>170604</t>
  </si>
  <si>
    <t>Materiali isolanti diversi da quelli di cui alle voci 1706901 e 170603</t>
  </si>
  <si>
    <t>Rifiuti inorganici, contenenti sostanze pericolose</t>
  </si>
  <si>
    <t>160303*</t>
  </si>
  <si>
    <t>Sostanze chimiche pericolose</t>
  </si>
  <si>
    <t>Produzione energia rinnovabile                    (pannelli fotovoltaici)</t>
  </si>
  <si>
    <t>7 - semolatrici</t>
  </si>
  <si>
    <t>17 - Recupero carta dal confezionamento</t>
  </si>
  <si>
    <t>060102*</t>
  </si>
  <si>
    <t>Acido cloridrico</t>
  </si>
  <si>
    <t>7 - Semolatrici</t>
  </si>
  <si>
    <t>&lt;RL</t>
  </si>
  <si>
    <t>Analisi del 26/03/2024 RdP n. 24/000213869 DEL 15/04/2024</t>
  </si>
  <si>
    <t>7,10+-0,08</t>
  </si>
  <si>
    <t>32,8+-2,8</t>
  </si>
  <si>
    <t>8,0+-3,4</t>
  </si>
  <si>
    <t>MWh/t</t>
  </si>
  <si>
    <t>Consumo specifico di energia                                                       (consumo di energia finale/tasso di attività)</t>
  </si>
  <si>
    <t>Analisi del 16/10/024 RdP n. 24/000655853 DEL 04/11/2024</t>
  </si>
  <si>
    <t>6,84+-0,08</t>
  </si>
  <si>
    <t>34,2+-2,9</t>
  </si>
  <si>
    <t>7,0+-3,4</t>
  </si>
  <si>
    <t>1D</t>
  </si>
  <si>
    <t>nornale</t>
  </si>
  <si>
    <t>La</t>
  </si>
  <si>
    <t>db (A)</t>
  </si>
  <si>
    <t>2D</t>
  </si>
  <si>
    <t>3D</t>
  </si>
  <si>
    <t>4D</t>
  </si>
  <si>
    <t>1N</t>
  </si>
  <si>
    <t>2N</t>
  </si>
  <si>
    <t>3N</t>
  </si>
  <si>
    <t>4N</t>
  </si>
  <si>
    <t>Analisi del 05/11/2024 RdP n. 2310319-002-003-004-005-006-007-008--009-010-011-012-013-018</t>
  </si>
  <si>
    <t>Analisi del 06/11/2024 RdP n. 2310319-014-015-016-017-019</t>
  </si>
  <si>
    <t>D4</t>
  </si>
  <si>
    <t>NOX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</si>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</sst>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\ mmmm\ yyyy"/>
    <numFmt numFmtId="166" formatCode="#,##0.0000"/>
    <numFmt numFmtId="167" formatCode="#,##0.000"/>
    <numFmt numFmtId="168" formatCode="0.0"/>
  </numFmts>
  <fonts count="45" x14ac:knownFonts="1">
    <font>
      <sz val="10"/>
      <name val="Arial"/>
      <family val="2"/>
    </font>
    <font>
      <b/>
      <sz val="10"/>
      <name val="Arial"/>
      <family val="2"/>
    </font>
    <font>
      <u/>
      <sz val="7.5"/>
      <color indexed="12"/>
      <name val="Arial"/>
      <family val="2"/>
    </font>
    <font>
      <sz val="10"/>
      <name val="Arial"/>
      <family val="2"/>
    </font>
    <font>
      <sz val="9"/>
      <color indexed="10"/>
      <name val="Arial"/>
      <family val="2"/>
    </font>
    <font>
      <b/>
      <sz val="11"/>
      <name val="Tahoma"/>
      <family val="2"/>
    </font>
    <font>
      <sz val="11"/>
      <name val="Tahoma"/>
      <family val="2"/>
    </font>
    <font>
      <i/>
      <sz val="11"/>
      <name val="Tahoma"/>
      <family val="2"/>
    </font>
    <font>
      <sz val="8"/>
      <color indexed="8"/>
      <name val="Tahoma"/>
      <family val="2"/>
    </font>
    <font>
      <sz val="12"/>
      <name val="Tahoma"/>
      <family val="2"/>
    </font>
    <font>
      <sz val="12"/>
      <color indexed="10"/>
      <name val="Tahoma"/>
      <family val="2"/>
    </font>
    <font>
      <vertAlign val="superscript"/>
      <sz val="12"/>
      <color indexed="10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b/>
      <sz val="18"/>
      <name val="Tahoma"/>
      <family val="2"/>
    </font>
    <font>
      <sz val="18"/>
      <name val="Tahoma"/>
      <family val="2"/>
    </font>
    <font>
      <b/>
      <sz val="12"/>
      <name val="Tahoma"/>
      <family val="2"/>
    </font>
    <font>
      <b/>
      <u/>
      <sz val="12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i/>
      <sz val="8"/>
      <color indexed="10"/>
      <name val="Tahoma"/>
      <family val="2"/>
    </font>
    <font>
      <u/>
      <sz val="7.5"/>
      <color indexed="12"/>
      <name val="Tahoma"/>
      <family val="2"/>
    </font>
    <font>
      <sz val="9"/>
      <color indexed="10"/>
      <name val="Tahoma"/>
      <family val="2"/>
    </font>
    <font>
      <sz val="10"/>
      <color indexed="10"/>
      <name val="Tahoma"/>
      <family val="2"/>
    </font>
    <font>
      <b/>
      <i/>
      <sz val="14"/>
      <name val="Tahoma"/>
      <family val="2"/>
    </font>
    <font>
      <b/>
      <sz val="12"/>
      <color indexed="46"/>
      <name val="Tahoma"/>
      <family val="2"/>
    </font>
    <font>
      <b/>
      <vertAlign val="superscript"/>
      <sz val="10"/>
      <name val="Tahoma"/>
      <family val="2"/>
    </font>
    <font>
      <b/>
      <sz val="10"/>
      <color indexed="10"/>
      <name val="Tahoma"/>
      <family val="2"/>
    </font>
    <font>
      <b/>
      <sz val="8"/>
      <name val="Tahoma"/>
      <family val="2"/>
    </font>
    <font>
      <sz val="10"/>
      <color indexed="8"/>
      <name val="Tahoma"/>
      <family val="2"/>
    </font>
    <font>
      <b/>
      <sz val="14"/>
      <color indexed="10"/>
      <name val="Tahoma"/>
      <family val="2"/>
    </font>
    <font>
      <sz val="8"/>
      <name val="Tahoma"/>
      <family val="2"/>
    </font>
    <font>
      <i/>
      <sz val="6"/>
      <color indexed="8"/>
      <name val="Tahoma"/>
      <family val="2"/>
    </font>
    <font>
      <sz val="10"/>
      <color indexed="12"/>
      <name val="Tahoma"/>
      <family val="2"/>
    </font>
    <font>
      <b/>
      <sz val="11"/>
      <color indexed="10"/>
      <name val="Tahoma"/>
      <family val="2"/>
    </font>
    <font>
      <b/>
      <sz val="9"/>
      <name val="Tahoma"/>
      <family val="2"/>
    </font>
    <font>
      <b/>
      <sz val="9"/>
      <color indexed="8"/>
      <name val="Tahoma"/>
      <family val="2"/>
    </font>
    <font>
      <strike/>
      <sz val="10"/>
      <name val="Tahoma"/>
      <family val="2"/>
    </font>
    <font>
      <vertAlign val="superscript"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trike/>
      <sz val="10"/>
      <name val="Tahoma"/>
      <family val="2"/>
    </font>
    <font>
      <b/>
      <sz val="10"/>
      <color theme="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solid">
        <fgColor indexed="41"/>
        <b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24"/>
      </patternFill>
    </fill>
    <fill>
      <patternFill patternType="solid">
        <fgColor indexed="46"/>
        <bgColor indexed="2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60"/>
      </patternFill>
    </fill>
    <fill>
      <patternFill patternType="solid">
        <fgColor indexed="10"/>
        <bgColor indexed="60"/>
      </patternFill>
    </fill>
    <fill>
      <patternFill patternType="solid">
        <fgColor indexed="41"/>
        <bgColor indexed="27"/>
      </patternFill>
    </fill>
    <fill>
      <patternFill patternType="solid">
        <fgColor indexed="4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92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4" xfId="1" applyBorder="1" applyAlignment="1" applyProtection="1"/>
    <xf numFmtId="0" fontId="4" fillId="0" borderId="0" xfId="0" applyFont="1"/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0" xfId="0" applyFont="1" applyAlignment="1">
      <alignment horizontal="justify"/>
    </xf>
    <xf numFmtId="0" fontId="6" fillId="0" borderId="0" xfId="0" applyFont="1" applyAlignment="1">
      <alignment horizontal="justify"/>
    </xf>
    <xf numFmtId="0" fontId="9" fillId="0" borderId="0" xfId="0" applyFont="1"/>
    <xf numFmtId="0" fontId="9" fillId="0" borderId="0" xfId="0" applyFont="1" applyAlignment="1">
      <alignment horizontal="justify"/>
    </xf>
    <xf numFmtId="0" fontId="8" fillId="0" borderId="8" xfId="0" applyFont="1" applyBorder="1" applyAlignment="1">
      <alignment horizontal="center" wrapText="1"/>
    </xf>
    <xf numFmtId="0" fontId="8" fillId="0" borderId="9" xfId="0" applyFont="1" applyBorder="1" applyAlignment="1">
      <alignment wrapText="1"/>
    </xf>
    <xf numFmtId="0" fontId="0" fillId="2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0" fontId="13" fillId="0" borderId="0" xfId="0" applyFont="1"/>
    <xf numFmtId="0" fontId="16" fillId="0" borderId="0" xfId="0" applyFont="1"/>
    <xf numFmtId="0" fontId="18" fillId="0" borderId="0" xfId="0" applyFont="1"/>
    <xf numFmtId="0" fontId="18" fillId="0" borderId="0" xfId="0" applyFont="1" applyAlignment="1">
      <alignment vertical="center"/>
    </xf>
    <xf numFmtId="0" fontId="19" fillId="0" borderId="0" xfId="0" applyFont="1"/>
    <xf numFmtId="49" fontId="13" fillId="0" borderId="0" xfId="0" applyNumberFormat="1" applyFont="1" applyAlignment="1">
      <alignment horizontal="right" vertical="center" wrapText="1"/>
    </xf>
    <xf numFmtId="49" fontId="13" fillId="0" borderId="0" xfId="0" applyNumberFormat="1" applyFont="1" applyAlignment="1">
      <alignment horizontal="left" vertical="center" wrapText="1"/>
    </xf>
    <xf numFmtId="49" fontId="13" fillId="0" borderId="15" xfId="0" applyNumberFormat="1" applyFont="1" applyBorder="1" applyAlignment="1">
      <alignment horizontal="left" vertical="center" wrapText="1"/>
    </xf>
    <xf numFmtId="0" fontId="18" fillId="3" borderId="3" xfId="0" applyFont="1" applyFill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49" fontId="13" fillId="0" borderId="0" xfId="0" applyNumberFormat="1" applyFont="1" applyAlignment="1">
      <alignment vertical="center" wrapText="1"/>
    </xf>
    <xf numFmtId="0" fontId="20" fillId="0" borderId="0" xfId="0" applyFont="1"/>
    <xf numFmtId="0" fontId="13" fillId="0" borderId="12" xfId="0" applyFont="1" applyBorder="1"/>
    <xf numFmtId="0" fontId="13" fillId="0" borderId="16" xfId="0" applyFont="1" applyBorder="1"/>
    <xf numFmtId="0" fontId="16" fillId="0" borderId="4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3" fillId="0" borderId="4" xfId="0" applyFont="1" applyBorder="1"/>
    <xf numFmtId="0" fontId="13" fillId="0" borderId="4" xfId="0" applyFont="1" applyBorder="1" applyAlignment="1">
      <alignment horizontal="left" vertical="center" wrapText="1"/>
    </xf>
    <xf numFmtId="0" fontId="13" fillId="0" borderId="0" xfId="0" applyFont="1" applyAlignment="1">
      <alignment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21" fillId="0" borderId="4" xfId="1" applyFont="1" applyBorder="1" applyAlignment="1" applyProtection="1"/>
    <xf numFmtId="0" fontId="21" fillId="0" borderId="0" xfId="1" applyFont="1" applyBorder="1" applyAlignment="1" applyProtection="1"/>
    <xf numFmtId="0" fontId="22" fillId="0" borderId="0" xfId="0" applyFont="1"/>
    <xf numFmtId="0" fontId="13" fillId="7" borderId="4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3" fillId="6" borderId="17" xfId="0" applyFont="1" applyFill="1" applyBorder="1" applyAlignment="1">
      <alignment horizontal="left" vertical="center"/>
    </xf>
    <xf numFmtId="0" fontId="18" fillId="3" borderId="13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3" fillId="0" borderId="5" xfId="0" applyFont="1" applyBorder="1"/>
    <xf numFmtId="0" fontId="13" fillId="0" borderId="1" xfId="0" applyFont="1" applyBorder="1"/>
    <xf numFmtId="0" fontId="13" fillId="0" borderId="19" xfId="0" applyFont="1" applyBorder="1"/>
    <xf numFmtId="0" fontId="13" fillId="0" borderId="9" xfId="0" applyFont="1" applyBorder="1"/>
    <xf numFmtId="0" fontId="13" fillId="0" borderId="6" xfId="0" applyFont="1" applyBorder="1"/>
    <xf numFmtId="0" fontId="13" fillId="0" borderId="20" xfId="0" applyFont="1" applyBorder="1"/>
    <xf numFmtId="0" fontId="13" fillId="0" borderId="7" xfId="0" applyFont="1" applyBorder="1"/>
    <xf numFmtId="0" fontId="2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" fontId="18" fillId="5" borderId="2" xfId="0" applyNumberFormat="1" applyFont="1" applyFill="1" applyBorder="1" applyAlignment="1">
      <alignment horizontal="center" vertical="center" wrapText="1"/>
    </xf>
    <xf numFmtId="16" fontId="18" fillId="4" borderId="21" xfId="0" applyNumberFormat="1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6" borderId="22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6" borderId="23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6" borderId="24" xfId="0" applyFont="1" applyFill="1" applyBorder="1" applyAlignment="1">
      <alignment horizontal="center" vertical="center" wrapText="1"/>
    </xf>
    <xf numFmtId="0" fontId="18" fillId="6" borderId="19" xfId="0" applyFont="1" applyFill="1" applyBorder="1" applyAlignment="1">
      <alignment horizontal="center" vertical="center" wrapText="1"/>
    </xf>
    <xf numFmtId="0" fontId="18" fillId="6" borderId="20" xfId="0" applyFont="1" applyFill="1" applyBorder="1" applyAlignment="1">
      <alignment horizontal="center" vertical="center" wrapText="1"/>
    </xf>
    <xf numFmtId="0" fontId="13" fillId="8" borderId="17" xfId="0" applyFont="1" applyFill="1" applyBorder="1"/>
    <xf numFmtId="0" fontId="18" fillId="0" borderId="0" xfId="0" applyFont="1" applyAlignment="1">
      <alignment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/>
    <xf numFmtId="0" fontId="13" fillId="0" borderId="29" xfId="0" applyFont="1" applyBorder="1" applyAlignment="1">
      <alignment horizontal="center" vertical="center" wrapText="1"/>
    </xf>
    <xf numFmtId="0" fontId="18" fillId="6" borderId="30" xfId="0" applyFont="1" applyFill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3" fillId="0" borderId="32" xfId="0" applyFont="1" applyBorder="1"/>
    <xf numFmtId="0" fontId="23" fillId="0" borderId="0" xfId="0" applyFont="1"/>
    <xf numFmtId="0" fontId="18" fillId="6" borderId="1" xfId="0" applyFont="1" applyFill="1" applyBorder="1" applyAlignment="1">
      <alignment horizontal="center" vertical="center" wrapText="1"/>
    </xf>
    <xf numFmtId="0" fontId="18" fillId="6" borderId="27" xfId="0" applyFont="1" applyFill="1" applyBorder="1" applyAlignment="1">
      <alignment horizontal="center" vertical="center" wrapText="1"/>
    </xf>
    <xf numFmtId="0" fontId="18" fillId="4" borderId="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18" fillId="6" borderId="33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/>
    </xf>
    <xf numFmtId="0" fontId="13" fillId="0" borderId="35" xfId="0" applyFont="1" applyBorder="1"/>
    <xf numFmtId="0" fontId="13" fillId="0" borderId="36" xfId="0" applyFont="1" applyBorder="1"/>
    <xf numFmtId="0" fontId="13" fillId="2" borderId="37" xfId="0" applyFont="1" applyFill="1" applyBorder="1" applyAlignment="1">
      <alignment horizontal="center" vertical="center"/>
    </xf>
    <xf numFmtId="0" fontId="27" fillId="0" borderId="0" xfId="0" applyFont="1"/>
    <xf numFmtId="0" fontId="18" fillId="4" borderId="2" xfId="0" applyFont="1" applyFill="1" applyBorder="1" applyAlignment="1">
      <alignment horizontal="center" vertical="center" wrapText="1"/>
    </xf>
    <xf numFmtId="164" fontId="13" fillId="6" borderId="1" xfId="0" applyNumberFormat="1" applyFont="1" applyFill="1" applyBorder="1"/>
    <xf numFmtId="0" fontId="13" fillId="6" borderId="1" xfId="0" applyFont="1" applyFill="1" applyBorder="1"/>
    <xf numFmtId="0" fontId="13" fillId="0" borderId="1" xfId="0" applyFont="1" applyBorder="1" applyAlignment="1">
      <alignment horizontal="right"/>
    </xf>
    <xf numFmtId="0" fontId="13" fillId="0" borderId="1" xfId="0" applyFont="1" applyBorder="1" applyAlignment="1">
      <alignment horizontal="right" vertical="center"/>
    </xf>
    <xf numFmtId="164" fontId="13" fillId="6" borderId="6" xfId="0" applyNumberFormat="1" applyFont="1" applyFill="1" applyBorder="1"/>
    <xf numFmtId="0" fontId="13" fillId="6" borderId="6" xfId="0" applyFont="1" applyFill="1" applyBorder="1"/>
    <xf numFmtId="0" fontId="13" fillId="0" borderId="0" xfId="0" applyFont="1" applyAlignment="1">
      <alignment horizontal="left" vertical="center" wrapText="1"/>
    </xf>
    <xf numFmtId="0" fontId="13" fillId="0" borderId="1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28" fillId="0" borderId="0" xfId="0" applyFont="1" applyAlignment="1">
      <alignment horizontal="center" vertical="top" wrapText="1"/>
    </xf>
    <xf numFmtId="0" fontId="13" fillId="0" borderId="0" xfId="0" applyFont="1" applyAlignment="1">
      <alignment vertical="top" wrapText="1"/>
    </xf>
    <xf numFmtId="0" fontId="29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30" fillId="0" borderId="0" xfId="0" applyFont="1"/>
    <xf numFmtId="0" fontId="13" fillId="0" borderId="6" xfId="0" applyFont="1" applyBorder="1" applyAlignment="1">
      <alignment horizontal="right" vertical="center"/>
    </xf>
    <xf numFmtId="0" fontId="13" fillId="6" borderId="6" xfId="0" applyFont="1" applyFill="1" applyBorder="1" applyAlignment="1">
      <alignment horizontal="center"/>
    </xf>
    <xf numFmtId="0" fontId="29" fillId="0" borderId="8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29" fillId="0" borderId="5" xfId="0" applyFont="1" applyBorder="1" applyAlignment="1">
      <alignment horizontal="center" vertical="top" wrapText="1"/>
    </xf>
    <xf numFmtId="0" fontId="29" fillId="0" borderId="9" xfId="0" applyFont="1" applyBorder="1" applyAlignment="1">
      <alignment horizontal="center" vertical="top" wrapText="1"/>
    </xf>
    <xf numFmtId="0" fontId="29" fillId="0" borderId="6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0" fontId="29" fillId="0" borderId="7" xfId="0" applyFont="1" applyBorder="1" applyAlignment="1">
      <alignment horizontal="center" vertical="top" wrapText="1"/>
    </xf>
    <xf numFmtId="0" fontId="21" fillId="0" borderId="0" xfId="1" applyFont="1" applyAlignment="1" applyProtection="1"/>
    <xf numFmtId="0" fontId="18" fillId="3" borderId="38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10" borderId="0" xfId="0" applyFont="1" applyFill="1"/>
    <xf numFmtId="0" fontId="16" fillId="0" borderId="0" xfId="0" applyFont="1" applyAlignment="1">
      <alignment vertical="center"/>
    </xf>
    <xf numFmtId="0" fontId="18" fillId="4" borderId="41" xfId="0" applyFont="1" applyFill="1" applyBorder="1" applyAlignment="1">
      <alignment horizontal="center" vertical="center" wrapText="1"/>
    </xf>
    <xf numFmtId="0" fontId="18" fillId="4" borderId="42" xfId="0" applyFont="1" applyFill="1" applyBorder="1" applyAlignment="1">
      <alignment horizontal="center" vertical="center" wrapText="1"/>
    </xf>
    <xf numFmtId="0" fontId="13" fillId="0" borderId="10" xfId="0" applyFont="1" applyBorder="1"/>
    <xf numFmtId="0" fontId="13" fillId="0" borderId="22" xfId="0" applyFont="1" applyBorder="1"/>
    <xf numFmtId="0" fontId="13" fillId="0" borderId="29" xfId="0" applyFont="1" applyBorder="1"/>
    <xf numFmtId="0" fontId="13" fillId="0" borderId="29" xfId="0" applyFont="1" applyBorder="1" applyAlignment="1">
      <alignment horizontal="right"/>
    </xf>
    <xf numFmtId="0" fontId="13" fillId="0" borderId="29" xfId="0" applyFont="1" applyBorder="1" applyAlignment="1">
      <alignment horizontal="right" vertical="center"/>
    </xf>
    <xf numFmtId="0" fontId="13" fillId="0" borderId="31" xfId="0" applyFont="1" applyBorder="1"/>
    <xf numFmtId="0" fontId="18" fillId="4" borderId="43" xfId="0" applyFont="1" applyFill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right" vertical="center"/>
    </xf>
    <xf numFmtId="0" fontId="13" fillId="0" borderId="9" xfId="0" applyFont="1" applyBorder="1" applyAlignment="1">
      <alignment horizontal="right" vertical="center"/>
    </xf>
    <xf numFmtId="0" fontId="31" fillId="0" borderId="1" xfId="0" applyFont="1" applyBorder="1" applyAlignment="1">
      <alignment horizontal="center" wrapText="1"/>
    </xf>
    <xf numFmtId="0" fontId="31" fillId="0" borderId="5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31" fillId="0" borderId="9" xfId="0" applyFont="1" applyBorder="1" applyAlignment="1">
      <alignment horizontal="center" wrapText="1"/>
    </xf>
    <xf numFmtId="0" fontId="31" fillId="0" borderId="6" xfId="0" applyFont="1" applyBorder="1" applyAlignment="1">
      <alignment horizontal="center" wrapText="1"/>
    </xf>
    <xf numFmtId="0" fontId="31" fillId="0" borderId="7" xfId="0" applyFont="1" applyBorder="1" applyAlignment="1">
      <alignment wrapText="1"/>
    </xf>
    <xf numFmtId="0" fontId="13" fillId="11" borderId="8" xfId="0" applyFont="1" applyFill="1" applyBorder="1" applyAlignment="1">
      <alignment horizontal="center" vertical="top" wrapText="1"/>
    </xf>
    <xf numFmtId="0" fontId="13" fillId="11" borderId="1" xfId="0" applyFont="1" applyFill="1" applyBorder="1" applyAlignment="1">
      <alignment horizontal="center" vertical="top" wrapText="1"/>
    </xf>
    <xf numFmtId="0" fontId="13" fillId="11" borderId="6" xfId="0" applyFont="1" applyFill="1" applyBorder="1" applyAlignment="1">
      <alignment horizontal="center" vertical="top" wrapText="1"/>
    </xf>
    <xf numFmtId="0" fontId="32" fillId="0" borderId="8" xfId="0" applyFont="1" applyBorder="1" applyAlignment="1">
      <alignment horizontal="center" wrapText="1"/>
    </xf>
    <xf numFmtId="0" fontId="13" fillId="0" borderId="44" xfId="0" applyFont="1" applyBorder="1"/>
    <xf numFmtId="0" fontId="13" fillId="0" borderId="8" xfId="0" applyFont="1" applyBorder="1" applyAlignment="1">
      <alignment horizontal="center" vertical="top" wrapText="1"/>
    </xf>
    <xf numFmtId="0" fontId="9" fillId="0" borderId="8" xfId="0" applyFont="1" applyBorder="1"/>
    <xf numFmtId="0" fontId="5" fillId="0" borderId="0" xfId="0" applyFont="1"/>
    <xf numFmtId="0" fontId="18" fillId="4" borderId="45" xfId="0" applyFont="1" applyFill="1" applyBorder="1" applyAlignment="1">
      <alignment horizontal="center" vertical="center" wrapText="1"/>
    </xf>
    <xf numFmtId="0" fontId="18" fillId="4" borderId="46" xfId="0" applyFont="1" applyFill="1" applyBorder="1" applyAlignment="1">
      <alignment horizontal="center" vertical="center" wrapText="1"/>
    </xf>
    <xf numFmtId="0" fontId="13" fillId="7" borderId="39" xfId="0" applyFont="1" applyFill="1" applyBorder="1" applyAlignment="1">
      <alignment horizontal="center" vertical="center" wrapText="1"/>
    </xf>
    <xf numFmtId="0" fontId="13" fillId="7" borderId="47" xfId="0" applyFont="1" applyFill="1" applyBorder="1" applyAlignment="1">
      <alignment horizontal="center" vertical="center" wrapText="1"/>
    </xf>
    <xf numFmtId="0" fontId="13" fillId="7" borderId="48" xfId="0" applyFont="1" applyFill="1" applyBorder="1" applyAlignment="1">
      <alignment horizontal="center" vertical="center" wrapText="1"/>
    </xf>
    <xf numFmtId="0" fontId="13" fillId="7" borderId="40" xfId="0" applyFont="1" applyFill="1" applyBorder="1" applyAlignment="1">
      <alignment horizontal="center" vertical="center" wrapText="1"/>
    </xf>
    <xf numFmtId="0" fontId="13" fillId="7" borderId="49" xfId="0" applyFont="1" applyFill="1" applyBorder="1" applyAlignment="1">
      <alignment horizontal="center" vertical="center" wrapText="1"/>
    </xf>
    <xf numFmtId="0" fontId="13" fillId="7" borderId="50" xfId="0" applyFont="1" applyFill="1" applyBorder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13" fillId="7" borderId="51" xfId="0" applyFont="1" applyFill="1" applyBorder="1" applyAlignment="1">
      <alignment horizontal="center" vertical="center" wrapText="1"/>
    </xf>
    <xf numFmtId="0" fontId="13" fillId="7" borderId="52" xfId="0" applyFont="1" applyFill="1" applyBorder="1" applyAlignment="1">
      <alignment horizontal="center" vertical="center" wrapText="1"/>
    </xf>
    <xf numFmtId="0" fontId="13" fillId="7" borderId="53" xfId="0" applyFont="1" applyFill="1" applyBorder="1" applyAlignment="1">
      <alignment horizontal="center" vertical="center" wrapText="1"/>
    </xf>
    <xf numFmtId="0" fontId="13" fillId="7" borderId="54" xfId="0" applyFont="1" applyFill="1" applyBorder="1" applyAlignment="1">
      <alignment horizontal="center" vertical="center" wrapText="1"/>
    </xf>
    <xf numFmtId="0" fontId="13" fillId="7" borderId="55" xfId="0" applyFont="1" applyFill="1" applyBorder="1" applyAlignment="1">
      <alignment horizontal="center" vertical="center" wrapText="1"/>
    </xf>
    <xf numFmtId="0" fontId="13" fillId="7" borderId="56" xfId="0" applyFont="1" applyFill="1" applyBorder="1" applyAlignment="1">
      <alignment horizontal="center" vertical="center" wrapText="1"/>
    </xf>
    <xf numFmtId="0" fontId="13" fillId="7" borderId="57" xfId="0" applyFont="1" applyFill="1" applyBorder="1" applyAlignment="1">
      <alignment horizontal="center" vertical="center" wrapText="1"/>
    </xf>
    <xf numFmtId="0" fontId="13" fillId="7" borderId="58" xfId="0" applyFont="1" applyFill="1" applyBorder="1" applyAlignment="1">
      <alignment horizontal="center" vertical="center" wrapText="1"/>
    </xf>
    <xf numFmtId="0" fontId="13" fillId="7" borderId="59" xfId="0" applyFont="1" applyFill="1" applyBorder="1" applyAlignment="1">
      <alignment horizontal="center" vertical="center" wrapText="1"/>
    </xf>
    <xf numFmtId="0" fontId="18" fillId="7" borderId="0" xfId="0" applyFont="1" applyFill="1" applyAlignment="1">
      <alignment horizontal="left" vertical="center" wrapText="1"/>
    </xf>
    <xf numFmtId="0" fontId="13" fillId="7" borderId="60" xfId="0" applyFont="1" applyFill="1" applyBorder="1" applyAlignment="1">
      <alignment horizontal="center" vertical="center" wrapText="1"/>
    </xf>
    <xf numFmtId="0" fontId="13" fillId="7" borderId="61" xfId="0" applyFont="1" applyFill="1" applyBorder="1" applyAlignment="1">
      <alignment horizontal="center" vertical="center" wrapText="1"/>
    </xf>
    <xf numFmtId="0" fontId="13" fillId="7" borderId="62" xfId="0" applyFont="1" applyFill="1" applyBorder="1" applyAlignment="1">
      <alignment horizontal="center" vertical="center" wrapText="1"/>
    </xf>
    <xf numFmtId="0" fontId="13" fillId="7" borderId="63" xfId="0" applyFont="1" applyFill="1" applyBorder="1" applyAlignment="1">
      <alignment horizontal="center" vertical="center" wrapText="1"/>
    </xf>
    <xf numFmtId="0" fontId="13" fillId="7" borderId="64" xfId="0" applyFont="1" applyFill="1" applyBorder="1" applyAlignment="1">
      <alignment horizontal="center" vertical="center" wrapText="1"/>
    </xf>
    <xf numFmtId="0" fontId="13" fillId="12" borderId="0" xfId="0" applyFont="1" applyFill="1"/>
    <xf numFmtId="0" fontId="13" fillId="13" borderId="0" xfId="0" applyFont="1" applyFill="1"/>
    <xf numFmtId="0" fontId="18" fillId="0" borderId="5" xfId="0" applyFont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top" wrapText="1"/>
    </xf>
    <xf numFmtId="0" fontId="29" fillId="0" borderId="1" xfId="0" applyFont="1" applyBorder="1" applyAlignment="1">
      <alignment horizontal="center" wrapText="1"/>
    </xf>
    <xf numFmtId="0" fontId="28" fillId="4" borderId="18" xfId="0" applyFont="1" applyFill="1" applyBorder="1" applyAlignment="1">
      <alignment horizontal="center" vertical="top" wrapText="1"/>
    </xf>
    <xf numFmtId="0" fontId="28" fillId="4" borderId="10" xfId="0" applyFont="1" applyFill="1" applyBorder="1" applyAlignment="1">
      <alignment horizontal="center" vertical="top" wrapText="1"/>
    </xf>
    <xf numFmtId="0" fontId="33" fillId="0" borderId="1" xfId="0" applyFont="1" applyBorder="1" applyAlignment="1">
      <alignment horizontal="center" vertical="top" wrapText="1"/>
    </xf>
    <xf numFmtId="0" fontId="33" fillId="0" borderId="8" xfId="0" applyFont="1" applyBorder="1" applyAlignment="1">
      <alignment horizontal="center" vertical="top" wrapText="1"/>
    </xf>
    <xf numFmtId="0" fontId="13" fillId="7" borderId="25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8" fillId="14" borderId="14" xfId="0" applyFont="1" applyFill="1" applyBorder="1" applyAlignment="1">
      <alignment horizontal="center" vertical="center" wrapText="1"/>
    </xf>
    <xf numFmtId="0" fontId="18" fillId="4" borderId="66" xfId="0" applyFont="1" applyFill="1" applyBorder="1" applyAlignment="1">
      <alignment horizontal="center" vertical="top" wrapText="1"/>
    </xf>
    <xf numFmtId="0" fontId="18" fillId="4" borderId="67" xfId="0" applyFont="1" applyFill="1" applyBorder="1" applyAlignment="1">
      <alignment horizontal="center" vertical="top" wrapText="1"/>
    </xf>
    <xf numFmtId="0" fontId="18" fillId="4" borderId="68" xfId="0" applyFont="1" applyFill="1" applyBorder="1" applyAlignment="1">
      <alignment horizontal="center" vertical="top" wrapText="1"/>
    </xf>
    <xf numFmtId="0" fontId="35" fillId="4" borderId="18" xfId="0" applyFont="1" applyFill="1" applyBorder="1" applyAlignment="1">
      <alignment horizontal="center" wrapText="1"/>
    </xf>
    <xf numFmtId="0" fontId="35" fillId="4" borderId="10" xfId="0" applyFont="1" applyFill="1" applyBorder="1" applyAlignment="1">
      <alignment horizontal="center" wrapText="1"/>
    </xf>
    <xf numFmtId="0" fontId="36" fillId="4" borderId="10" xfId="0" applyFont="1" applyFill="1" applyBorder="1" applyAlignment="1">
      <alignment horizontal="center" wrapText="1"/>
    </xf>
    <xf numFmtId="0" fontId="35" fillId="4" borderId="14" xfId="0" applyFont="1" applyFill="1" applyBorder="1" applyAlignment="1">
      <alignment horizontal="center" wrapText="1"/>
    </xf>
    <xf numFmtId="0" fontId="13" fillId="0" borderId="18" xfId="0" applyFont="1" applyBorder="1"/>
    <xf numFmtId="0" fontId="13" fillId="0" borderId="8" xfId="0" applyFont="1" applyBorder="1" applyAlignment="1">
      <alignment horizontal="right"/>
    </xf>
    <xf numFmtId="0" fontId="25" fillId="0" borderId="18" xfId="0" applyFont="1" applyBorder="1" applyAlignment="1">
      <alignment wrapText="1"/>
    </xf>
    <xf numFmtId="0" fontId="25" fillId="0" borderId="14" xfId="0" applyFont="1" applyBorder="1" applyAlignment="1">
      <alignment wrapText="1"/>
    </xf>
    <xf numFmtId="0" fontId="25" fillId="0" borderId="8" xfId="0" applyFont="1" applyBorder="1" applyAlignment="1">
      <alignment wrapText="1"/>
    </xf>
    <xf numFmtId="0" fontId="25" fillId="0" borderId="5" xfId="0" applyFont="1" applyBorder="1" applyAlignment="1">
      <alignment wrapText="1"/>
    </xf>
    <xf numFmtId="0" fontId="5" fillId="0" borderId="0" xfId="0" applyFont="1" applyAlignment="1">
      <alignment horizontal="justify" wrapText="1"/>
    </xf>
    <xf numFmtId="0" fontId="0" fillId="0" borderId="0" xfId="0" applyAlignment="1">
      <alignment wrapText="1"/>
    </xf>
    <xf numFmtId="0" fontId="18" fillId="14" borderId="18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0" fontId="13" fillId="6" borderId="5" xfId="0" applyFont="1" applyFill="1" applyBorder="1"/>
    <xf numFmtId="0" fontId="13" fillId="6" borderId="7" xfId="0" applyFont="1" applyFill="1" applyBorder="1"/>
    <xf numFmtId="0" fontId="37" fillId="0" borderId="0" xfId="0" applyFont="1"/>
    <xf numFmtId="0" fontId="13" fillId="0" borderId="26" xfId="0" applyFont="1" applyBorder="1"/>
    <xf numFmtId="0" fontId="13" fillId="0" borderId="27" xfId="0" applyFont="1" applyBorder="1"/>
    <xf numFmtId="0" fontId="13" fillId="6" borderId="27" xfId="0" applyFont="1" applyFill="1" applyBorder="1"/>
    <xf numFmtId="0" fontId="18" fillId="4" borderId="66" xfId="0" applyFont="1" applyFill="1" applyBorder="1" applyAlignment="1">
      <alignment horizontal="center" vertical="center" wrapText="1"/>
    </xf>
    <xf numFmtId="0" fontId="18" fillId="4" borderId="69" xfId="0" applyFont="1" applyFill="1" applyBorder="1" applyAlignment="1">
      <alignment horizontal="center" vertical="center" wrapText="1"/>
    </xf>
    <xf numFmtId="15" fontId="18" fillId="0" borderId="1" xfId="0" applyNumberFormat="1" applyFont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top" wrapText="1"/>
    </xf>
    <xf numFmtId="0" fontId="13" fillId="11" borderId="9" xfId="0" applyFont="1" applyFill="1" applyBorder="1" applyAlignment="1">
      <alignment horizontal="center" vertical="top" wrapText="1"/>
    </xf>
    <xf numFmtId="0" fontId="13" fillId="11" borderId="7" xfId="0" applyFont="1" applyFill="1" applyBorder="1" applyAlignment="1">
      <alignment horizontal="center" vertical="top" wrapText="1"/>
    </xf>
    <xf numFmtId="16" fontId="13" fillId="0" borderId="1" xfId="0" applyNumberFormat="1" applyFont="1" applyBorder="1" applyAlignment="1">
      <alignment horizontal="center" vertical="top" wrapText="1"/>
    </xf>
    <xf numFmtId="165" fontId="13" fillId="0" borderId="0" xfId="0" applyNumberFormat="1" applyFont="1"/>
    <xf numFmtId="0" fontId="13" fillId="7" borderId="70" xfId="0" applyFont="1" applyFill="1" applyBorder="1" applyAlignment="1">
      <alignment horizontal="center" vertical="center"/>
    </xf>
    <xf numFmtId="0" fontId="13" fillId="7" borderId="71" xfId="0" applyFont="1" applyFill="1" applyBorder="1" applyAlignment="1">
      <alignment horizontal="center" vertical="center"/>
    </xf>
    <xf numFmtId="0" fontId="0" fillId="7" borderId="18" xfId="0" quotePrefix="1" applyFill="1" applyBorder="1" applyAlignment="1">
      <alignment horizontal="center" vertical="center"/>
    </xf>
    <xf numFmtId="0" fontId="0" fillId="7" borderId="8" xfId="0" quotePrefix="1" applyFill="1" applyBorder="1" applyAlignment="1">
      <alignment horizontal="center" vertical="center"/>
    </xf>
    <xf numFmtId="0" fontId="0" fillId="7" borderId="9" xfId="0" quotePrefix="1" applyFill="1" applyBorder="1" applyAlignment="1">
      <alignment horizontal="center" vertical="center"/>
    </xf>
    <xf numFmtId="0" fontId="13" fillId="0" borderId="8" xfId="0" quotePrefix="1" applyFont="1" applyBorder="1" applyAlignment="1">
      <alignment horizontal="center" wrapText="1"/>
    </xf>
    <xf numFmtId="0" fontId="13" fillId="0" borderId="8" xfId="0" quotePrefix="1" applyFont="1" applyBorder="1" applyAlignment="1">
      <alignment horizontal="center"/>
    </xf>
    <xf numFmtId="0" fontId="13" fillId="0" borderId="9" xfId="0" quotePrefix="1" applyFont="1" applyBorder="1" applyAlignment="1">
      <alignment horizontal="center"/>
    </xf>
    <xf numFmtId="0" fontId="13" fillId="7" borderId="18" xfId="0" quotePrefix="1" applyFont="1" applyFill="1" applyBorder="1" applyAlignment="1">
      <alignment horizontal="center" vertical="center"/>
    </xf>
    <xf numFmtId="0" fontId="13" fillId="7" borderId="8" xfId="0" quotePrefix="1" applyFont="1" applyFill="1" applyBorder="1" applyAlignment="1">
      <alignment horizontal="center" vertical="center"/>
    </xf>
    <xf numFmtId="0" fontId="13" fillId="7" borderId="9" xfId="0" quotePrefix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65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2" borderId="72" xfId="0" applyFont="1" applyFill="1" applyBorder="1" applyAlignment="1">
      <alignment horizontal="center" vertical="center"/>
    </xf>
    <xf numFmtId="0" fontId="13" fillId="0" borderId="73" xfId="0" applyFont="1" applyBorder="1"/>
    <xf numFmtId="0" fontId="13" fillId="0" borderId="74" xfId="0" applyFont="1" applyBorder="1"/>
    <xf numFmtId="0" fontId="13" fillId="2" borderId="75" xfId="0" applyFont="1" applyFill="1" applyBorder="1" applyAlignment="1">
      <alignment horizontal="center" vertical="center"/>
    </xf>
    <xf numFmtId="0" fontId="13" fillId="0" borderId="76" xfId="0" applyFont="1" applyBorder="1"/>
    <xf numFmtId="0" fontId="13" fillId="0" borderId="77" xfId="0" applyFont="1" applyBorder="1"/>
    <xf numFmtId="0" fontId="13" fillId="2" borderId="78" xfId="0" applyFont="1" applyFill="1" applyBorder="1" applyAlignment="1">
      <alignment horizontal="center" vertical="center"/>
    </xf>
    <xf numFmtId="0" fontId="13" fillId="0" borderId="79" xfId="0" applyFont="1" applyBorder="1"/>
    <xf numFmtId="0" fontId="13" fillId="0" borderId="80" xfId="0" applyFont="1" applyBorder="1"/>
    <xf numFmtId="0" fontId="13" fillId="2" borderId="81" xfId="0" applyFont="1" applyFill="1" applyBorder="1" applyAlignment="1">
      <alignment horizontal="center" vertical="center"/>
    </xf>
    <xf numFmtId="0" fontId="13" fillId="0" borderId="82" xfId="0" applyFont="1" applyBorder="1"/>
    <xf numFmtId="0" fontId="13" fillId="0" borderId="83" xfId="0" applyFont="1" applyBorder="1"/>
    <xf numFmtId="20" fontId="13" fillId="2" borderId="72" xfId="0" applyNumberFormat="1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right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/>
    </xf>
    <xf numFmtId="166" fontId="13" fillId="6" borderId="27" xfId="0" applyNumberFormat="1" applyFont="1" applyFill="1" applyBorder="1" applyAlignment="1">
      <alignment horizontal="center" vertical="center"/>
    </xf>
    <xf numFmtId="166" fontId="13" fillId="2" borderId="1" xfId="0" applyNumberFormat="1" applyFont="1" applyFill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/>
    </xf>
    <xf numFmtId="166" fontId="13" fillId="6" borderId="1" xfId="0" applyNumberFormat="1" applyFont="1" applyFill="1" applyBorder="1" applyAlignment="1">
      <alignment horizontal="center" vertical="center"/>
    </xf>
    <xf numFmtId="166" fontId="13" fillId="2" borderId="6" xfId="0" applyNumberFormat="1" applyFont="1" applyFill="1" applyBorder="1" applyAlignment="1">
      <alignment horizontal="center" vertical="center"/>
    </xf>
    <xf numFmtId="166" fontId="13" fillId="0" borderId="6" xfId="0" applyNumberFormat="1" applyFont="1" applyBorder="1" applyAlignment="1">
      <alignment horizontal="center" vertical="center"/>
    </xf>
    <xf numFmtId="166" fontId="13" fillId="6" borderId="6" xfId="0" applyNumberFormat="1" applyFont="1" applyFill="1" applyBorder="1" applyAlignment="1">
      <alignment horizontal="center" vertical="center"/>
    </xf>
    <xf numFmtId="166" fontId="18" fillId="5" borderId="2" xfId="0" applyNumberFormat="1" applyFont="1" applyFill="1" applyBorder="1" applyAlignment="1">
      <alignment horizontal="center" vertical="center" wrapText="1"/>
    </xf>
    <xf numFmtId="0" fontId="18" fillId="8" borderId="17" xfId="0" applyFont="1" applyFill="1" applyBorder="1" applyAlignment="1">
      <alignment horizontal="center"/>
    </xf>
    <xf numFmtId="167" fontId="18" fillId="0" borderId="27" xfId="0" applyNumberFormat="1" applyFont="1" applyBorder="1" applyAlignment="1">
      <alignment horizontal="center" vertical="center" wrapText="1"/>
    </xf>
    <xf numFmtId="167" fontId="18" fillId="0" borderId="1" xfId="0" applyNumberFormat="1" applyFont="1" applyBorder="1" applyAlignment="1">
      <alignment horizontal="center" vertical="center" wrapText="1"/>
    </xf>
    <xf numFmtId="0" fontId="0" fillId="15" borderId="71" xfId="0" applyFill="1" applyBorder="1" applyAlignment="1">
      <alignment vertical="center"/>
    </xf>
    <xf numFmtId="0" fontId="0" fillId="15" borderId="84" xfId="0" applyFill="1" applyBorder="1" applyAlignment="1">
      <alignment vertical="center"/>
    </xf>
    <xf numFmtId="0" fontId="0" fillId="15" borderId="18" xfId="0" applyFill="1" applyBorder="1" applyAlignment="1">
      <alignment vertical="center"/>
    </xf>
    <xf numFmtId="0" fontId="0" fillId="15" borderId="8" xfId="0" applyFill="1" applyBorder="1" applyAlignment="1">
      <alignment vertical="center"/>
    </xf>
    <xf numFmtId="0" fontId="0" fillId="15" borderId="1" xfId="0" applyFill="1" applyBorder="1" applyAlignment="1">
      <alignment vertical="center"/>
    </xf>
    <xf numFmtId="0" fontId="0" fillId="16" borderId="18" xfId="0" applyFill="1" applyBorder="1" applyAlignment="1">
      <alignment vertical="center"/>
    </xf>
    <xf numFmtId="0" fontId="0" fillId="16" borderId="8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3" fontId="18" fillId="0" borderId="1" xfId="0" applyNumberFormat="1" applyFont="1" applyBorder="1" applyAlignment="1">
      <alignment horizontal="center" vertical="center" wrapText="1"/>
    </xf>
    <xf numFmtId="3" fontId="18" fillId="6" borderId="19" xfId="0" applyNumberFormat="1" applyFont="1" applyFill="1" applyBorder="1" applyAlignment="1">
      <alignment horizontal="center" vertical="center" wrapText="1"/>
    </xf>
    <xf numFmtId="3" fontId="18" fillId="0" borderId="27" xfId="0" applyNumberFormat="1" applyFont="1" applyBorder="1" applyAlignment="1">
      <alignment horizontal="center" vertical="center" wrapText="1"/>
    </xf>
    <xf numFmtId="0" fontId="18" fillId="17" borderId="27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 wrapText="1"/>
    </xf>
    <xf numFmtId="4" fontId="13" fillId="2" borderId="1" xfId="0" applyNumberFormat="1" applyFont="1" applyFill="1" applyBorder="1" applyAlignment="1">
      <alignment horizontal="center" vertical="center"/>
    </xf>
    <xf numFmtId="0" fontId="13" fillId="7" borderId="85" xfId="0" applyFont="1" applyFill="1" applyBorder="1" applyAlignment="1">
      <alignment horizontal="center" vertical="center" wrapText="1"/>
    </xf>
    <xf numFmtId="0" fontId="13" fillId="7" borderId="86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87" xfId="0" applyFont="1" applyFill="1" applyBorder="1" applyAlignment="1">
      <alignment horizontal="center" vertical="center" wrapText="1"/>
    </xf>
    <xf numFmtId="0" fontId="13" fillId="7" borderId="88" xfId="0" applyFont="1" applyFill="1" applyBorder="1" applyAlignment="1">
      <alignment horizontal="center" vertical="center" wrapText="1"/>
    </xf>
    <xf numFmtId="0" fontId="13" fillId="7" borderId="89" xfId="0" applyFont="1" applyFill="1" applyBorder="1" applyAlignment="1">
      <alignment horizontal="center" vertical="center" wrapText="1"/>
    </xf>
    <xf numFmtId="0" fontId="13" fillId="7" borderId="90" xfId="0" applyFont="1" applyFill="1" applyBorder="1" applyAlignment="1">
      <alignment horizontal="center" vertical="center" wrapText="1"/>
    </xf>
    <xf numFmtId="0" fontId="13" fillId="7" borderId="91" xfId="0" applyFont="1" applyFill="1" applyBorder="1" applyAlignment="1">
      <alignment horizontal="center" vertical="center" wrapText="1"/>
    </xf>
    <xf numFmtId="0" fontId="13" fillId="7" borderId="92" xfId="0" applyFont="1" applyFill="1" applyBorder="1" applyAlignment="1">
      <alignment horizontal="center" vertical="center" wrapText="1"/>
    </xf>
    <xf numFmtId="0" fontId="13" fillId="7" borderId="9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3" fillId="0" borderId="40" xfId="0" applyFont="1" applyBorder="1" applyAlignment="1">
      <alignment horizontal="center" vertical="center" wrapText="1"/>
    </xf>
    <xf numFmtId="2" fontId="13" fillId="7" borderId="52" xfId="0" applyNumberFormat="1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0" fontId="13" fillId="7" borderId="94" xfId="0" applyFont="1" applyFill="1" applyBorder="1" applyAlignment="1">
      <alignment horizontal="center" vertical="center" wrapText="1"/>
    </xf>
    <xf numFmtId="0" fontId="13" fillId="7" borderId="28" xfId="0" applyFont="1" applyFill="1" applyBorder="1" applyAlignment="1">
      <alignment horizontal="center" vertical="center" wrapText="1"/>
    </xf>
    <xf numFmtId="2" fontId="13" fillId="7" borderId="39" xfId="0" applyNumberFormat="1" applyFont="1" applyFill="1" applyBorder="1" applyAlignment="1">
      <alignment horizontal="center" vertical="center" wrapText="1"/>
    </xf>
    <xf numFmtId="4" fontId="13" fillId="2" borderId="10" xfId="0" applyNumberFormat="1" applyFont="1" applyFill="1" applyBorder="1" applyAlignment="1">
      <alignment horizontal="center" vertical="center"/>
    </xf>
    <xf numFmtId="4" fontId="13" fillId="0" borderId="10" xfId="0" applyNumberFormat="1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/>
    </xf>
    <xf numFmtId="4" fontId="13" fillId="2" borderId="29" xfId="0" applyNumberFormat="1" applyFont="1" applyFill="1" applyBorder="1" applyAlignment="1">
      <alignment horizontal="center" vertical="center"/>
    </xf>
    <xf numFmtId="167" fontId="18" fillId="6" borderId="23" xfId="0" applyNumberFormat="1" applyFont="1" applyFill="1" applyBorder="1" applyAlignment="1">
      <alignment horizontal="center" vertical="center" wrapText="1"/>
    </xf>
    <xf numFmtId="167" fontId="18" fillId="6" borderId="19" xfId="0" applyNumberFormat="1" applyFont="1" applyFill="1" applyBorder="1" applyAlignment="1">
      <alignment horizontal="center" vertical="center" wrapText="1"/>
    </xf>
    <xf numFmtId="166" fontId="13" fillId="0" borderId="27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49" fontId="29" fillId="0" borderId="10" xfId="0" applyNumberFormat="1" applyFont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6" fontId="13" fillId="0" borderId="1" xfId="0" quotePrefix="1" applyNumberFormat="1" applyFont="1" applyBorder="1" applyAlignment="1">
      <alignment horizontal="center" vertical="center"/>
    </xf>
    <xf numFmtId="0" fontId="18" fillId="20" borderId="1" xfId="0" applyFont="1" applyFill="1" applyBorder="1" applyAlignment="1">
      <alignment horizontal="center" vertical="center" wrapText="1"/>
    </xf>
    <xf numFmtId="0" fontId="42" fillId="6" borderId="17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/>
    </xf>
    <xf numFmtId="3" fontId="28" fillId="0" borderId="27" xfId="0" applyNumberFormat="1" applyFont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 wrapText="1"/>
    </xf>
    <xf numFmtId="0" fontId="13" fillId="20" borderId="8" xfId="0" applyFont="1" applyFill="1" applyBorder="1" applyAlignment="1">
      <alignment horizontal="center" vertical="center" wrapText="1"/>
    </xf>
    <xf numFmtId="3" fontId="18" fillId="20" borderId="1" xfId="0" applyNumberFormat="1" applyFont="1" applyFill="1" applyBorder="1" applyAlignment="1">
      <alignment horizontal="center" vertical="center" wrapText="1"/>
    </xf>
    <xf numFmtId="49" fontId="29" fillId="0" borderId="1" xfId="0" applyNumberFormat="1" applyFont="1" applyBorder="1" applyAlignment="1">
      <alignment horizontal="center" vertical="center"/>
    </xf>
    <xf numFmtId="166" fontId="13" fillId="20" borderId="1" xfId="0" applyNumberFormat="1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8" fillId="9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21" borderId="51" xfId="0" applyFont="1" applyFill="1" applyBorder="1" applyAlignment="1">
      <alignment horizontal="center" vertical="center" wrapText="1"/>
    </xf>
    <xf numFmtId="168" fontId="29" fillId="0" borderId="1" xfId="0" applyNumberFormat="1" applyFont="1" applyBorder="1" applyAlignment="1">
      <alignment horizontal="center" vertical="top" wrapText="1"/>
    </xf>
    <xf numFmtId="0" fontId="13" fillId="20" borderId="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6" fillId="18" borderId="95" xfId="0" applyFont="1" applyFill="1" applyBorder="1" applyAlignment="1">
      <alignment horizontal="center" vertical="center"/>
    </xf>
    <xf numFmtId="0" fontId="16" fillId="18" borderId="96" xfId="0" applyFont="1" applyFill="1" applyBorder="1" applyAlignment="1">
      <alignment horizontal="center" vertical="center"/>
    </xf>
    <xf numFmtId="0" fontId="16" fillId="18" borderId="97" xfId="0" applyFont="1" applyFill="1" applyBorder="1" applyAlignment="1">
      <alignment horizontal="center" vertical="center"/>
    </xf>
    <xf numFmtId="0" fontId="16" fillId="18" borderId="98" xfId="0" applyFont="1" applyFill="1" applyBorder="1" applyAlignment="1">
      <alignment horizontal="center" vertical="center"/>
    </xf>
    <xf numFmtId="0" fontId="16" fillId="18" borderId="99" xfId="0" applyFont="1" applyFill="1" applyBorder="1" applyAlignment="1">
      <alignment horizontal="center" vertical="center"/>
    </xf>
    <xf numFmtId="0" fontId="16" fillId="18" borderId="100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8" fillId="0" borderId="0" xfId="0" applyFont="1" applyAlignment="1">
      <alignment vertical="center"/>
    </xf>
    <xf numFmtId="49" fontId="13" fillId="0" borderId="15" xfId="0" applyNumberFormat="1" applyFont="1" applyBorder="1" applyAlignment="1">
      <alignment horizontal="center"/>
    </xf>
    <xf numFmtId="0" fontId="19" fillId="0" borderId="0" xfId="0" applyFont="1"/>
    <xf numFmtId="0" fontId="18" fillId="0" borderId="15" xfId="0" applyFont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 wrapText="1"/>
    </xf>
    <xf numFmtId="0" fontId="13" fillId="0" borderId="15" xfId="0" applyFont="1" applyBorder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2" fillId="0" borderId="15" xfId="1" applyBorder="1" applyAlignment="1" applyProtection="1">
      <alignment horizontal="center"/>
    </xf>
    <xf numFmtId="0" fontId="20" fillId="0" borderId="0" xfId="0" applyFont="1"/>
    <xf numFmtId="0" fontId="18" fillId="0" borderId="0" xfId="0" applyFont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8" fillId="6" borderId="21" xfId="0" applyFont="1" applyFill="1" applyBorder="1" applyAlignment="1">
      <alignment horizontal="left" vertical="center" wrapText="1"/>
    </xf>
    <xf numFmtId="0" fontId="13" fillId="6" borderId="44" xfId="0" applyFont="1" applyFill="1" applyBorder="1" applyAlignment="1">
      <alignment horizontal="left" vertical="center" wrapText="1"/>
    </xf>
    <xf numFmtId="0" fontId="13" fillId="6" borderId="10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6" fillId="17" borderId="4" xfId="0" applyFont="1" applyFill="1" applyBorder="1" applyAlignment="1">
      <alignment horizontal="left" vertical="center"/>
    </xf>
    <xf numFmtId="0" fontId="9" fillId="17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8" fillId="5" borderId="10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3" fillId="0" borderId="7" xfId="0" applyFont="1" applyBorder="1"/>
    <xf numFmtId="0" fontId="18" fillId="5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0" borderId="38" xfId="0" applyFont="1" applyBorder="1" applyAlignment="1">
      <alignment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8" fillId="4" borderId="94" xfId="0" applyFont="1" applyFill="1" applyBorder="1" applyAlignment="1">
      <alignment horizontal="center" vertical="center" wrapText="1"/>
    </xf>
    <xf numFmtId="0" fontId="13" fillId="0" borderId="28" xfId="0" applyFont="1" applyBorder="1"/>
    <xf numFmtId="0" fontId="13" fillId="0" borderId="1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/>
    <xf numFmtId="3" fontId="13" fillId="0" borderId="8" xfId="0" applyNumberFormat="1" applyFon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13" fillId="0" borderId="102" xfId="0" applyFont="1" applyBorder="1" applyAlignment="1">
      <alignment vertical="center"/>
    </xf>
    <xf numFmtId="0" fontId="0" fillId="0" borderId="73" xfId="0" applyBorder="1" applyAlignment="1">
      <alignment vertical="center"/>
    </xf>
    <xf numFmtId="0" fontId="0" fillId="0" borderId="103" xfId="0" applyBorder="1" applyAlignment="1">
      <alignment vertical="center"/>
    </xf>
    <xf numFmtId="0" fontId="13" fillId="0" borderId="104" xfId="0" applyFont="1" applyBorder="1" applyAlignment="1">
      <alignment vertical="center"/>
    </xf>
    <xf numFmtId="0" fontId="0" fillId="0" borderId="74" xfId="0" applyBorder="1" applyAlignment="1">
      <alignment vertical="center"/>
    </xf>
    <xf numFmtId="0" fontId="0" fillId="0" borderId="60" xfId="0" applyBorder="1" applyAlignment="1">
      <alignment vertical="center"/>
    </xf>
    <xf numFmtId="0" fontId="9" fillId="19" borderId="21" xfId="0" applyFont="1" applyFill="1" applyBorder="1" applyAlignment="1">
      <alignment horizontal="center"/>
    </xf>
    <xf numFmtId="0" fontId="0" fillId="0" borderId="44" xfId="0" applyBorder="1"/>
    <xf numFmtId="0" fontId="13" fillId="0" borderId="105" xfId="0" applyFont="1" applyBorder="1"/>
    <xf numFmtId="0" fontId="13" fillId="0" borderId="2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3" fillId="0" borderId="9" xfId="0" applyFont="1" applyBorder="1"/>
    <xf numFmtId="3" fontId="0" fillId="0" borderId="9" xfId="0" applyNumberFormat="1" applyBorder="1" applyAlignment="1">
      <alignment horizontal="center" vertical="center"/>
    </xf>
    <xf numFmtId="0" fontId="13" fillId="0" borderId="105" xfId="0" applyFont="1" applyBorder="1" applyAlignment="1">
      <alignment horizontal="center" vertical="center"/>
    </xf>
    <xf numFmtId="0" fontId="13" fillId="0" borderId="106" xfId="0" applyFont="1" applyBorder="1" applyAlignment="1">
      <alignment horizontal="center" vertical="center"/>
    </xf>
    <xf numFmtId="0" fontId="13" fillId="0" borderId="107" xfId="0" applyFont="1" applyBorder="1" applyAlignment="1">
      <alignment horizontal="center" vertical="center"/>
    </xf>
    <xf numFmtId="0" fontId="13" fillId="0" borderId="106" xfId="0" applyFont="1" applyBorder="1"/>
    <xf numFmtId="0" fontId="13" fillId="0" borderId="107" xfId="0" applyFont="1" applyBorder="1"/>
    <xf numFmtId="0" fontId="9" fillId="19" borderId="21" xfId="0" applyFont="1" applyFill="1" applyBorder="1" applyAlignment="1">
      <alignment horizontal="center" wrapText="1"/>
    </xf>
    <xf numFmtId="0" fontId="0" fillId="0" borderId="44" xfId="0" applyBorder="1" applyAlignment="1">
      <alignment wrapText="1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5" fillId="6" borderId="21" xfId="0" applyFont="1" applyFill="1" applyBorder="1" applyAlignment="1">
      <alignment horizontal="left" vertical="center" wrapText="1"/>
    </xf>
    <xf numFmtId="0" fontId="6" fillId="6" borderId="44" xfId="0" applyFont="1" applyFill="1" applyBorder="1" applyAlignment="1">
      <alignment horizontal="left" vertical="center" wrapText="1"/>
    </xf>
    <xf numFmtId="0" fontId="6" fillId="6" borderId="101" xfId="0" applyFont="1" applyFill="1" applyBorder="1" applyAlignment="1">
      <alignment horizontal="left" vertical="center" wrapText="1"/>
    </xf>
    <xf numFmtId="0" fontId="18" fillId="3" borderId="108" xfId="0" applyFont="1" applyFill="1" applyBorder="1" applyAlignment="1">
      <alignment horizontal="center" vertical="center" wrapText="1"/>
    </xf>
    <xf numFmtId="0" fontId="13" fillId="0" borderId="109" xfId="0" applyFont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8" fillId="6" borderId="21" xfId="0" applyFont="1" applyFill="1" applyBorder="1" applyAlignment="1">
      <alignment horizontal="left" vertical="center"/>
    </xf>
    <xf numFmtId="0" fontId="13" fillId="6" borderId="44" xfId="0" applyFont="1" applyFill="1" applyBorder="1" applyAlignment="1">
      <alignment horizontal="left" vertical="center"/>
    </xf>
    <xf numFmtId="0" fontId="13" fillId="6" borderId="101" xfId="0" applyFont="1" applyFill="1" applyBorder="1" applyAlignment="1">
      <alignment horizontal="left" vertical="center"/>
    </xf>
    <xf numFmtId="0" fontId="18" fillId="3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8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8" fillId="3" borderId="41" xfId="0" applyFont="1" applyFill="1" applyBorder="1" applyAlignment="1">
      <alignment horizontal="center" vertical="center" wrapText="1"/>
    </xf>
    <xf numFmtId="0" fontId="18" fillId="3" borderId="1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justify" wrapText="1"/>
    </xf>
    <xf numFmtId="0" fontId="13" fillId="0" borderId="0" xfId="0" applyFont="1" applyAlignment="1">
      <alignment wrapText="1"/>
    </xf>
    <xf numFmtId="0" fontId="5" fillId="0" borderId="0" xfId="0" applyFont="1" applyAlignment="1">
      <alignment horizontal="justify"/>
    </xf>
    <xf numFmtId="0" fontId="18" fillId="0" borderId="0" xfId="0" applyFont="1"/>
    <xf numFmtId="0" fontId="18" fillId="3" borderId="111" xfId="0" applyFont="1" applyFill="1" applyBorder="1" applyAlignment="1">
      <alignment horizontal="center" vertical="center" wrapText="1"/>
    </xf>
    <xf numFmtId="0" fontId="18" fillId="3" borderId="73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0" fillId="0" borderId="101" xfId="0" applyBorder="1" applyAlignment="1">
      <alignment horizontal="center"/>
    </xf>
    <xf numFmtId="0" fontId="9" fillId="19" borderId="44" xfId="0" applyFont="1" applyFill="1" applyBorder="1" applyAlignment="1">
      <alignment horizontal="center"/>
    </xf>
    <xf numFmtId="0" fontId="9" fillId="19" borderId="101" xfId="0" applyFont="1" applyFill="1" applyBorder="1" applyAlignment="1">
      <alignment horizontal="center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18" fillId="7" borderId="16" xfId="0" applyFont="1" applyFill="1" applyBorder="1" applyAlignment="1">
      <alignment vertical="center" wrapText="1"/>
    </xf>
    <xf numFmtId="0" fontId="18" fillId="7" borderId="0" xfId="0" applyFont="1" applyFill="1" applyAlignment="1">
      <alignment horizontal="left" vertical="center" wrapText="1"/>
    </xf>
    <xf numFmtId="0" fontId="18" fillId="7" borderId="112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justify"/>
    </xf>
    <xf numFmtId="0" fontId="9" fillId="0" borderId="0" xfId="0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458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182880</xdr:rowOff>
    </xdr:from>
    <xdr:to>
      <xdr:col>7</xdr:col>
      <xdr:colOff>284480</xdr:colOff>
      <xdr:row>0</xdr:row>
      <xdr:rowOff>640080</xdr:rowOff>
    </xdr:to>
    <xdr:pic>
      <xdr:nvPicPr>
        <xdr:cNvPr id="4332" name="Picture 1" descr="logotipo150pixel_pollice">
          <a:extLst>
            <a:ext uri="{FF2B5EF4-FFF2-40B4-BE49-F238E27FC236}">
              <a16:creationId xmlns:a16="http://schemas.microsoft.com/office/drawing/2014/main" id="{00000000-0008-0000-0000-0000E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2780" y="182880"/>
          <a:ext cx="2209800" cy="45720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1417320</xdr:colOff>
      <xdr:row>0</xdr:row>
      <xdr:rowOff>30480</xdr:rowOff>
    </xdr:from>
    <xdr:to>
      <xdr:col>17</xdr:col>
      <xdr:colOff>7620</xdr:colOff>
      <xdr:row>5</xdr:row>
      <xdr:rowOff>160020</xdr:rowOff>
    </xdr:to>
    <xdr:pic>
      <xdr:nvPicPr>
        <xdr:cNvPr id="3308" name="Picture 2" descr="stemma72pixel">
          <a:extLst>
            <a:ext uri="{FF2B5EF4-FFF2-40B4-BE49-F238E27FC236}">
              <a16:creationId xmlns:a16="http://schemas.microsoft.com/office/drawing/2014/main" id="{00000000-0008-0000-01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84640" y="30480"/>
          <a:ext cx="1630680" cy="124206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205740</xdr:colOff>
      <xdr:row>0</xdr:row>
      <xdr:rowOff>0</xdr:rowOff>
    </xdr:from>
    <xdr:to>
      <xdr:col>15</xdr:col>
      <xdr:colOff>1040130</xdr:colOff>
      <xdr:row>4</xdr:row>
      <xdr:rowOff>114300</xdr:rowOff>
    </xdr:to>
    <xdr:pic>
      <xdr:nvPicPr>
        <xdr:cNvPr id="5356" name="Picture 6" descr="stemma72pixel">
          <a:extLst>
            <a:ext uri="{FF2B5EF4-FFF2-40B4-BE49-F238E27FC236}">
              <a16:creationId xmlns:a16="http://schemas.microsoft.com/office/drawing/2014/main" id="{00000000-0008-0000-0200-0000E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9660" y="0"/>
          <a:ext cx="1699260" cy="122682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243840</xdr:colOff>
      <xdr:row>1</xdr:row>
      <xdr:rowOff>38100</xdr:rowOff>
    </xdr:from>
    <xdr:to>
      <xdr:col>18</xdr:col>
      <xdr:colOff>786765</xdr:colOff>
      <xdr:row>6</xdr:row>
      <xdr:rowOff>289560</xdr:rowOff>
    </xdr:to>
    <xdr:pic>
      <xdr:nvPicPr>
        <xdr:cNvPr id="6380" name="Picture 22" descr="stemma72pixel">
          <a:extLst>
            <a:ext uri="{FF2B5EF4-FFF2-40B4-BE49-F238E27FC236}">
              <a16:creationId xmlns:a16="http://schemas.microsoft.com/office/drawing/2014/main" id="{00000000-0008-0000-03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5800" y="205740"/>
          <a:ext cx="1691640" cy="124206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1089660</xdr:colOff>
      <xdr:row>3</xdr:row>
      <xdr:rowOff>160020</xdr:rowOff>
    </xdr:from>
    <xdr:to>
      <xdr:col>18</xdr:col>
      <xdr:colOff>1453515</xdr:colOff>
      <xdr:row>7</xdr:row>
      <xdr:rowOff>114300</xdr:rowOff>
    </xdr:to>
    <xdr:pic>
      <xdr:nvPicPr>
        <xdr:cNvPr id="2298" name="Picture 10" descr="stemma72pixel">
          <a:extLst>
            <a:ext uri="{FF2B5EF4-FFF2-40B4-BE49-F238E27FC236}">
              <a16:creationId xmlns:a16="http://schemas.microsoft.com/office/drawing/2014/main" id="{00000000-0008-0000-0400-0000F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1760" y="708660"/>
          <a:ext cx="1668780" cy="122682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1150620</xdr:colOff>
      <xdr:row>1</xdr:row>
      <xdr:rowOff>0</xdr:rowOff>
    </xdr:from>
    <xdr:to>
      <xdr:col>17</xdr:col>
      <xdr:colOff>1379220</xdr:colOff>
      <xdr:row>6</xdr:row>
      <xdr:rowOff>152400</xdr:rowOff>
    </xdr:to>
    <xdr:pic>
      <xdr:nvPicPr>
        <xdr:cNvPr id="7404" name="Picture 4" descr="stemma72pixel">
          <a:extLst>
            <a:ext uri="{FF2B5EF4-FFF2-40B4-BE49-F238E27FC236}">
              <a16:creationId xmlns:a16="http://schemas.microsoft.com/office/drawing/2014/main" id="{00000000-0008-0000-0600-0000E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80240" y="167640"/>
          <a:ext cx="1684020" cy="122682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594360</xdr:colOff>
      <xdr:row>0</xdr:row>
      <xdr:rowOff>160020</xdr:rowOff>
    </xdr:from>
    <xdr:to>
      <xdr:col>11</xdr:col>
      <xdr:colOff>601980</xdr:colOff>
      <xdr:row>6</xdr:row>
      <xdr:rowOff>220980</xdr:rowOff>
    </xdr:to>
    <xdr:pic>
      <xdr:nvPicPr>
        <xdr:cNvPr id="8428" name="Picture 1" descr="stemma72pixel">
          <a:extLst>
            <a:ext uri="{FF2B5EF4-FFF2-40B4-BE49-F238E27FC236}">
              <a16:creationId xmlns:a16="http://schemas.microsoft.com/office/drawing/2014/main" id="{00000000-0008-0000-07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0" y="160020"/>
          <a:ext cx="1356360" cy="111252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281940</xdr:colOff>
      <xdr:row>0</xdr:row>
      <xdr:rowOff>0</xdr:rowOff>
    </xdr:from>
    <xdr:to>
      <xdr:col>6</xdr:col>
      <xdr:colOff>7620</xdr:colOff>
      <xdr:row>6</xdr:row>
      <xdr:rowOff>76200</xdr:rowOff>
    </xdr:to>
    <xdr:pic>
      <xdr:nvPicPr>
        <xdr:cNvPr id="9452" name="Picture 2" descr="stemma72pixel">
          <a:extLst>
            <a:ext uri="{FF2B5EF4-FFF2-40B4-BE49-F238E27FC236}">
              <a16:creationId xmlns:a16="http://schemas.microsoft.com/office/drawing/2014/main" id="{00000000-0008-0000-08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3980" y="0"/>
          <a:ext cx="1363980" cy="112776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0</xdr:rowOff>
    </xdr:from>
    <xdr:to>
      <xdr:col>2</xdr:col>
      <xdr:colOff>1377315</xdr:colOff>
      <xdr:row>5</xdr:row>
      <xdr:rowOff>53340</xdr:rowOff>
    </xdr:to>
    <xdr:pic>
      <xdr:nvPicPr>
        <xdr:cNvPr id="10476" name="Picture 2" descr="stemma72pixel">
          <a:extLst>
            <a:ext uri="{FF2B5EF4-FFF2-40B4-BE49-F238E27FC236}">
              <a16:creationId xmlns:a16="http://schemas.microsoft.com/office/drawing/2014/main" id="{00000000-0008-0000-0900-0000EC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0"/>
          <a:ext cx="1310640" cy="101346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441960</xdr:colOff>
      <xdr:row>0</xdr:row>
      <xdr:rowOff>0</xdr:rowOff>
    </xdr:from>
    <xdr:to>
      <xdr:col>7</xdr:col>
      <xdr:colOff>563880</xdr:colOff>
      <xdr:row>6</xdr:row>
      <xdr:rowOff>99060</xdr:rowOff>
    </xdr:to>
    <xdr:pic>
      <xdr:nvPicPr>
        <xdr:cNvPr id="11500" name="Picture 1" descr="stemma72pixel">
          <a:extLst>
            <a:ext uri="{FF2B5EF4-FFF2-40B4-BE49-F238E27FC236}">
              <a16:creationId xmlns:a16="http://schemas.microsoft.com/office/drawing/2014/main" id="{00000000-0008-0000-0A00-0000EC2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3860" y="0"/>
          <a:ext cx="1371600" cy="112776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pasetto@grandimolini.it" TargetMode="External"/><Relationship Id="rId1" Type="http://schemas.openxmlformats.org/officeDocument/2006/relationships/hyperlink" Target="mailto:mpasetto@grandimolini.i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zoomScale="75" zoomScaleNormal="75" workbookViewId="0">
      <selection activeCell="P4" sqref="P4"/>
    </sheetView>
  </sheetViews>
  <sheetFormatPr defaultColWidth="9.109375" defaultRowHeight="13.2" x14ac:dyDescent="0.25"/>
  <cols>
    <col min="1" max="3" width="9.109375" style="31"/>
    <col min="4" max="4" width="11.44140625" style="31" customWidth="1"/>
    <col min="5" max="5" width="9.109375" style="31"/>
    <col min="6" max="6" width="11.88671875" style="31" customWidth="1"/>
    <col min="7" max="7" width="14.88671875" style="31" customWidth="1"/>
    <col min="8" max="9" width="9.109375" style="31"/>
    <col min="10" max="10" width="16.6640625" style="31" customWidth="1"/>
    <col min="11" max="12" width="9.109375" style="31"/>
    <col min="13" max="13" width="8.33203125" style="31" customWidth="1"/>
    <col min="14" max="16384" width="9.109375" style="31"/>
  </cols>
  <sheetData>
    <row r="1" spans="1:14" ht="57.75" customHeight="1" x14ac:dyDescent="0.25">
      <c r="A1" s="375"/>
      <c r="B1" s="375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6"/>
    </row>
    <row r="2" spans="1:14" ht="36" customHeight="1" x14ac:dyDescent="0.25">
      <c r="A2" s="375" t="s">
        <v>13</v>
      </c>
      <c r="B2" s="375"/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</row>
    <row r="3" spans="1:14" ht="42" customHeight="1" x14ac:dyDescent="0.35">
      <c r="A3" s="383" t="s">
        <v>14</v>
      </c>
      <c r="B3" s="383"/>
      <c r="C3" s="384"/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384"/>
    </row>
    <row r="4" spans="1:14" ht="24.75" customHeight="1" x14ac:dyDescent="0.25">
      <c r="A4" s="385" t="s">
        <v>142</v>
      </c>
      <c r="B4" s="385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</row>
    <row r="5" spans="1:14" ht="13.8" x14ac:dyDescent="0.25">
      <c r="A5" s="393" t="s">
        <v>137</v>
      </c>
      <c r="B5" s="393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</row>
    <row r="6" spans="1:14" ht="13.8" thickBot="1" x14ac:dyDescent="0.3"/>
    <row r="7" spans="1:14" ht="15.6" thickTop="1" x14ac:dyDescent="0.25">
      <c r="C7" s="377" t="s">
        <v>67</v>
      </c>
      <c r="D7" s="378"/>
      <c r="E7" s="378"/>
      <c r="F7" s="378"/>
      <c r="G7" s="378"/>
      <c r="H7" s="378"/>
      <c r="I7" s="378"/>
      <c r="J7" s="378"/>
      <c r="K7" s="379"/>
      <c r="L7" s="32"/>
    </row>
    <row r="8" spans="1:14" ht="13.8" thickBot="1" x14ac:dyDescent="0.3">
      <c r="C8" s="380"/>
      <c r="D8" s="381"/>
      <c r="E8" s="381"/>
      <c r="F8" s="381"/>
      <c r="G8" s="381"/>
      <c r="H8" s="381"/>
      <c r="I8" s="381"/>
      <c r="J8" s="381"/>
      <c r="K8" s="382"/>
      <c r="L8" s="33"/>
    </row>
    <row r="9" spans="1:14" ht="13.8" thickTop="1" x14ac:dyDescent="0.25"/>
    <row r="10" spans="1:14" x14ac:dyDescent="0.25">
      <c r="C10" s="34" t="s">
        <v>63</v>
      </c>
      <c r="F10" s="31" t="s">
        <v>65</v>
      </c>
      <c r="G10" s="270">
        <v>45292</v>
      </c>
      <c r="I10" s="31" t="s">
        <v>64</v>
      </c>
      <c r="J10" s="270">
        <v>45657</v>
      </c>
    </row>
    <row r="13" spans="1:14" x14ac:dyDescent="0.25">
      <c r="C13" s="387" t="s">
        <v>52</v>
      </c>
      <c r="D13" s="387"/>
      <c r="E13" s="374" t="s">
        <v>334</v>
      </c>
      <c r="F13" s="374"/>
      <c r="G13" s="374"/>
      <c r="H13" s="374"/>
      <c r="I13" s="374"/>
      <c r="J13" s="374"/>
      <c r="K13" s="374"/>
    </row>
    <row r="14" spans="1:14" x14ac:dyDescent="0.25">
      <c r="C14" s="34"/>
      <c r="D14" s="34"/>
    </row>
    <row r="15" spans="1:14" x14ac:dyDescent="0.25">
      <c r="C15" s="34" t="s">
        <v>53</v>
      </c>
      <c r="D15" s="34"/>
      <c r="E15" s="374" t="s">
        <v>193</v>
      </c>
      <c r="F15" s="374"/>
    </row>
    <row r="16" spans="1:14" x14ac:dyDescent="0.25">
      <c r="C16" s="34"/>
      <c r="D16" s="34"/>
    </row>
    <row r="17" spans="3:12" x14ac:dyDescent="0.25">
      <c r="C17" s="34" t="s">
        <v>54</v>
      </c>
      <c r="D17" s="34"/>
      <c r="E17" s="388" t="s">
        <v>335</v>
      </c>
      <c r="F17" s="388"/>
      <c r="G17" s="388"/>
      <c r="H17" s="388"/>
      <c r="I17" s="388"/>
      <c r="J17" s="388"/>
      <c r="K17" s="388"/>
    </row>
    <row r="18" spans="3:12" x14ac:dyDescent="0.25">
      <c r="C18" s="389"/>
      <c r="D18" s="389"/>
      <c r="E18" s="389"/>
      <c r="F18" s="389"/>
      <c r="G18" s="389"/>
      <c r="H18" s="389"/>
      <c r="I18" s="389"/>
      <c r="J18" s="389"/>
      <c r="K18" s="389"/>
      <c r="L18" s="389"/>
    </row>
    <row r="19" spans="3:12" x14ac:dyDescent="0.25">
      <c r="C19" s="387" t="s">
        <v>55</v>
      </c>
      <c r="D19" s="387"/>
      <c r="E19" s="36" t="s">
        <v>56</v>
      </c>
      <c r="F19" s="391" t="s">
        <v>194</v>
      </c>
      <c r="G19" s="391"/>
      <c r="H19" s="391"/>
      <c r="I19" s="391"/>
      <c r="J19" s="391"/>
      <c r="K19" s="391"/>
    </row>
    <row r="20" spans="3:12" x14ac:dyDescent="0.25">
      <c r="C20" s="34"/>
      <c r="D20" s="34"/>
      <c r="E20" s="36"/>
      <c r="F20" s="37"/>
      <c r="G20" s="37"/>
      <c r="H20" s="37"/>
      <c r="I20" s="37"/>
      <c r="J20" s="37"/>
      <c r="K20" s="36"/>
      <c r="L20" s="37"/>
    </row>
    <row r="21" spans="3:12" x14ac:dyDescent="0.25">
      <c r="C21" s="34"/>
      <c r="D21" s="34"/>
      <c r="E21" s="36" t="s">
        <v>57</v>
      </c>
      <c r="F21" s="38" t="s">
        <v>195</v>
      </c>
      <c r="G21" s="37"/>
      <c r="H21" s="36" t="s">
        <v>58</v>
      </c>
      <c r="I21" s="38" t="s">
        <v>196</v>
      </c>
      <c r="J21" s="37"/>
      <c r="K21" s="36"/>
      <c r="L21" s="37"/>
    </row>
    <row r="22" spans="3:12" x14ac:dyDescent="0.25">
      <c r="C22" s="389"/>
      <c r="D22" s="389"/>
      <c r="E22" s="389"/>
      <c r="F22" s="389"/>
      <c r="G22" s="389"/>
      <c r="H22" s="389"/>
      <c r="I22" s="389"/>
      <c r="J22" s="389"/>
      <c r="K22" s="389"/>
      <c r="L22" s="389"/>
    </row>
    <row r="23" spans="3:12" x14ac:dyDescent="0.25">
      <c r="C23" s="387"/>
      <c r="D23" s="387"/>
      <c r="E23" s="36" t="s">
        <v>59</v>
      </c>
      <c r="F23" s="391" t="s">
        <v>197</v>
      </c>
      <c r="G23" s="391"/>
      <c r="H23" s="391"/>
      <c r="I23" s="391"/>
      <c r="J23" s="391"/>
      <c r="K23" s="391"/>
    </row>
    <row r="24" spans="3:12" x14ac:dyDescent="0.25">
      <c r="C24" s="34"/>
      <c r="D24" s="34"/>
      <c r="E24" s="36"/>
      <c r="F24" s="40"/>
      <c r="G24" s="40"/>
      <c r="H24" s="40"/>
      <c r="I24" s="40"/>
      <c r="J24" s="40"/>
      <c r="K24" s="40"/>
    </row>
    <row r="25" spans="3:12" x14ac:dyDescent="0.25">
      <c r="C25" s="34"/>
      <c r="D25" s="34"/>
      <c r="E25" s="36"/>
      <c r="F25" s="40"/>
      <c r="G25" s="40"/>
      <c r="H25" s="40"/>
      <c r="I25" s="40"/>
      <c r="J25" s="40"/>
      <c r="K25" s="40"/>
    </row>
    <row r="26" spans="3:12" x14ac:dyDescent="0.25">
      <c r="C26" s="389"/>
      <c r="D26" s="389"/>
      <c r="E26" s="389"/>
      <c r="F26" s="389"/>
      <c r="G26" s="389"/>
      <c r="H26" s="389"/>
      <c r="I26" s="389"/>
      <c r="J26" s="389"/>
      <c r="K26" s="389"/>
      <c r="L26" s="389"/>
    </row>
    <row r="27" spans="3:12" x14ac:dyDescent="0.25">
      <c r="C27" s="34" t="s">
        <v>108</v>
      </c>
      <c r="D27" s="41"/>
      <c r="E27" s="390" t="s">
        <v>200</v>
      </c>
      <c r="F27" s="390"/>
      <c r="G27" s="390"/>
      <c r="H27" s="390"/>
      <c r="I27" s="390"/>
      <c r="J27" s="390"/>
      <c r="K27" s="390"/>
      <c r="L27" s="42"/>
    </row>
    <row r="28" spans="3:12" x14ac:dyDescent="0.25">
      <c r="C28" s="389"/>
      <c r="D28" s="389"/>
      <c r="E28" s="389"/>
      <c r="F28" s="389"/>
      <c r="G28" s="389"/>
      <c r="H28" s="389"/>
      <c r="I28" s="389"/>
      <c r="J28" s="389"/>
      <c r="K28" s="389"/>
      <c r="L28" s="389"/>
    </row>
    <row r="29" spans="3:12" x14ac:dyDescent="0.25">
      <c r="C29" s="387"/>
      <c r="D29" s="387"/>
      <c r="E29" s="387"/>
      <c r="F29" s="36" t="s">
        <v>60</v>
      </c>
      <c r="G29" s="392" t="s">
        <v>198</v>
      </c>
      <c r="H29" s="392"/>
      <c r="I29" s="42" t="s">
        <v>61</v>
      </c>
      <c r="J29" s="391" t="s">
        <v>247</v>
      </c>
      <c r="K29" s="391"/>
      <c r="L29" s="42"/>
    </row>
    <row r="30" spans="3:12" x14ac:dyDescent="0.25">
      <c r="C30" s="389"/>
      <c r="D30" s="389"/>
      <c r="E30" s="389"/>
      <c r="F30" s="389"/>
      <c r="G30" s="389"/>
      <c r="H30" s="389"/>
      <c r="I30" s="389"/>
      <c r="J30" s="389"/>
      <c r="K30" s="389"/>
      <c r="L30" s="389"/>
    </row>
    <row r="31" spans="3:12" x14ac:dyDescent="0.25">
      <c r="C31" s="387"/>
      <c r="D31" s="387"/>
      <c r="E31" s="387"/>
      <c r="F31" s="36" t="s">
        <v>62</v>
      </c>
      <c r="G31" s="395" t="s">
        <v>199</v>
      </c>
      <c r="H31" s="374"/>
      <c r="I31" s="374"/>
      <c r="J31" s="374"/>
      <c r="K31" s="396"/>
      <c r="L31" s="396"/>
    </row>
    <row r="32" spans="3:12" x14ac:dyDescent="0.25">
      <c r="C32" s="34"/>
      <c r="D32" s="34"/>
      <c r="E32" s="34"/>
      <c r="F32" s="36"/>
      <c r="K32" s="43"/>
      <c r="L32" s="43"/>
    </row>
    <row r="33" spans="3:12" x14ac:dyDescent="0.25">
      <c r="C33" s="34"/>
      <c r="D33" s="34"/>
      <c r="E33" s="34"/>
      <c r="F33" s="36"/>
      <c r="K33" s="43"/>
      <c r="L33" s="43"/>
    </row>
    <row r="34" spans="3:12" x14ac:dyDescent="0.25">
      <c r="C34" s="389"/>
      <c r="D34" s="389"/>
      <c r="E34" s="389"/>
      <c r="F34" s="389"/>
      <c r="G34" s="389"/>
      <c r="H34" s="389"/>
      <c r="I34" s="389"/>
      <c r="J34" s="389"/>
      <c r="K34" s="389"/>
      <c r="L34" s="389"/>
    </row>
    <row r="35" spans="3:12" x14ac:dyDescent="0.25">
      <c r="C35" s="397" t="s">
        <v>66</v>
      </c>
      <c r="D35" s="397"/>
      <c r="E35" s="34"/>
      <c r="L35" s="42"/>
    </row>
    <row r="36" spans="3:12" ht="24.75" customHeight="1" x14ac:dyDescent="0.25">
      <c r="C36" s="397"/>
      <c r="D36" s="397"/>
      <c r="E36" s="35"/>
      <c r="F36" s="391" t="s">
        <v>200</v>
      </c>
      <c r="G36" s="391"/>
      <c r="H36" s="391"/>
      <c r="I36" s="391"/>
      <c r="J36" s="391"/>
      <c r="K36" s="391"/>
      <c r="L36" s="35"/>
    </row>
    <row r="37" spans="3:12" x14ac:dyDescent="0.25">
      <c r="C37" s="387"/>
      <c r="D37" s="387"/>
      <c r="E37" s="387"/>
      <c r="K37" s="42"/>
      <c r="L37" s="42"/>
    </row>
    <row r="38" spans="3:12" x14ac:dyDescent="0.25">
      <c r="C38" s="35"/>
      <c r="D38" s="35"/>
      <c r="E38" s="35"/>
      <c r="F38" s="36" t="s">
        <v>60</v>
      </c>
      <c r="G38" s="392" t="s">
        <v>198</v>
      </c>
      <c r="H38" s="392"/>
      <c r="I38" s="42"/>
      <c r="J38" s="42"/>
      <c r="K38" s="35"/>
      <c r="L38" s="35"/>
    </row>
    <row r="39" spans="3:12" x14ac:dyDescent="0.25">
      <c r="C39" s="387"/>
      <c r="D39" s="387"/>
      <c r="E39" s="387"/>
      <c r="F39" s="35"/>
      <c r="G39" s="35"/>
      <c r="H39" s="35"/>
      <c r="I39" s="35"/>
      <c r="J39" s="35"/>
      <c r="K39" s="396"/>
      <c r="L39" s="396"/>
    </row>
    <row r="40" spans="3:12" x14ac:dyDescent="0.25">
      <c r="C40" s="35"/>
      <c r="D40" s="35"/>
      <c r="E40" s="35"/>
      <c r="F40" s="36" t="s">
        <v>62</v>
      </c>
      <c r="G40" s="395" t="s">
        <v>199</v>
      </c>
      <c r="H40" s="374"/>
      <c r="I40" s="374"/>
      <c r="J40" s="374"/>
      <c r="K40" s="35"/>
      <c r="L40" s="35"/>
    </row>
    <row r="43" spans="3:12" x14ac:dyDescent="0.25">
      <c r="C43" s="34" t="s">
        <v>68</v>
      </c>
      <c r="G43" s="374">
        <v>300</v>
      </c>
      <c r="H43" s="374"/>
      <c r="I43" s="374"/>
      <c r="J43" s="374"/>
    </row>
    <row r="45" spans="3:12" x14ac:dyDescent="0.25">
      <c r="C45" s="34"/>
    </row>
  </sheetData>
  <mergeCells count="35">
    <mergeCell ref="G43:J43"/>
    <mergeCell ref="A5:N5"/>
    <mergeCell ref="C31:E31"/>
    <mergeCell ref="G31:J31"/>
    <mergeCell ref="K31:L31"/>
    <mergeCell ref="C34:L34"/>
    <mergeCell ref="C19:D19"/>
    <mergeCell ref="F19:K19"/>
    <mergeCell ref="C22:L22"/>
    <mergeCell ref="C28:L28"/>
    <mergeCell ref="G40:J40"/>
    <mergeCell ref="C30:L30"/>
    <mergeCell ref="C39:E39"/>
    <mergeCell ref="K39:L39"/>
    <mergeCell ref="C35:D36"/>
    <mergeCell ref="F36:K36"/>
    <mergeCell ref="G38:H38"/>
    <mergeCell ref="C37:E37"/>
    <mergeCell ref="C18:L18"/>
    <mergeCell ref="C29:E29"/>
    <mergeCell ref="G29:H29"/>
    <mergeCell ref="E17:K17"/>
    <mergeCell ref="C26:L26"/>
    <mergeCell ref="E27:K27"/>
    <mergeCell ref="J29:K29"/>
    <mergeCell ref="C23:D23"/>
    <mergeCell ref="F23:K23"/>
    <mergeCell ref="E15:F15"/>
    <mergeCell ref="A1:N1"/>
    <mergeCell ref="C7:K8"/>
    <mergeCell ref="A3:N3"/>
    <mergeCell ref="A4:N4"/>
    <mergeCell ref="A2:N2"/>
    <mergeCell ref="C13:D13"/>
    <mergeCell ref="E13:K13"/>
  </mergeCells>
  <phoneticPr fontId="0" type="noConversion"/>
  <hyperlinks>
    <hyperlink ref="G40" r:id="rId1" xr:uid="{00000000-0004-0000-0000-000000000000}"/>
    <hyperlink ref="G31" r:id="rId2" xr:uid="{00000000-0004-0000-0000-000001000000}"/>
  </hyperlinks>
  <pageMargins left="3.5433070866141736" right="0.78740157480314965" top="0.98425196850393704" bottom="0.98425196850393704" header="0.51181102362204722" footer="0.51181102362204722"/>
  <pageSetup paperSize="8" scale="95" orientation="landscape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1"/>
  <sheetViews>
    <sheetView topLeftCell="A59" zoomScale="75" zoomScaleNormal="75" workbookViewId="0">
      <selection activeCell="A91" sqref="A91"/>
    </sheetView>
  </sheetViews>
  <sheetFormatPr defaultColWidth="9.109375" defaultRowHeight="13.2" x14ac:dyDescent="0.25"/>
  <cols>
    <col min="1" max="1" width="53.6640625" style="31" customWidth="1"/>
    <col min="2" max="2" width="12.88671875" style="31" customWidth="1"/>
    <col min="3" max="3" width="15.109375" style="31" customWidth="1"/>
    <col min="4" max="4" width="19.33203125" style="31" customWidth="1"/>
    <col min="5" max="5" width="19.5546875" style="31" customWidth="1"/>
    <col min="6" max="6" width="19.33203125" style="31" customWidth="1"/>
    <col min="7" max="7" width="18.5546875" style="31" customWidth="1"/>
    <col min="8" max="8" width="18.33203125" style="31" customWidth="1"/>
    <col min="9" max="9" width="19.5546875" style="31" customWidth="1"/>
    <col min="10" max="10" width="19.6640625" style="31" customWidth="1"/>
    <col min="11" max="11" width="19.109375" style="31" customWidth="1"/>
    <col min="12" max="12" width="26.6640625" style="31" customWidth="1"/>
    <col min="13" max="13" width="20.44140625" style="31" customWidth="1"/>
    <col min="14" max="14" width="19.5546875" style="31" customWidth="1"/>
    <col min="15" max="15" width="23.33203125" style="31" customWidth="1"/>
    <col min="16" max="16" width="11.109375" style="31" customWidth="1"/>
    <col min="17" max="17" width="9.88671875" style="31" customWidth="1"/>
    <col min="18" max="18" width="37.44140625" style="31" customWidth="1"/>
    <col min="19" max="19" width="34.33203125" style="31" customWidth="1"/>
    <col min="20" max="20" width="36" style="31" customWidth="1"/>
    <col min="21" max="16384" width="9.109375" style="31"/>
  </cols>
  <sheetData>
    <row r="1" spans="1:18" x14ac:dyDescent="0.25">
      <c r="A1" s="44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8" s="48" customFormat="1" ht="20.100000000000001" customHeight="1" x14ac:dyDescent="0.25">
      <c r="A2" s="401" t="s">
        <v>15</v>
      </c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Q2" s="31"/>
      <c r="R2" s="31"/>
    </row>
    <row r="3" spans="1:18" ht="15" customHeight="1" x14ac:dyDescent="0.25">
      <c r="A3" s="49"/>
    </row>
    <row r="4" spans="1:18" s="48" customFormat="1" ht="20.100000000000001" customHeight="1" x14ac:dyDescent="0.25">
      <c r="A4" s="401" t="s">
        <v>179</v>
      </c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Q4" s="31"/>
      <c r="R4" s="31"/>
    </row>
    <row r="5" spans="1:18" s="48" customFormat="1" ht="20.100000000000001" customHeight="1" x14ac:dyDescent="0.25">
      <c r="A5" s="46"/>
      <c r="B5" s="47"/>
      <c r="C5" s="47"/>
      <c r="D5" s="47"/>
      <c r="E5" s="47"/>
      <c r="F5" s="93" t="s">
        <v>143</v>
      </c>
      <c r="G5" s="47"/>
      <c r="H5" s="47"/>
      <c r="I5" s="47"/>
      <c r="J5" s="47"/>
      <c r="K5" s="47"/>
      <c r="L5" s="47"/>
      <c r="M5" s="47"/>
      <c r="N5" s="47"/>
      <c r="Q5" s="31"/>
      <c r="R5" s="31"/>
    </row>
    <row r="6" spans="1:18" ht="20.100000000000001" customHeight="1" x14ac:dyDescent="0.25">
      <c r="A6" s="49"/>
    </row>
    <row r="7" spans="1:18" ht="20.100000000000001" customHeight="1" x14ac:dyDescent="0.25">
      <c r="A7" s="401" t="s">
        <v>16</v>
      </c>
      <c r="B7" s="408"/>
      <c r="C7" s="408"/>
      <c r="D7" s="408"/>
      <c r="E7" s="408"/>
      <c r="F7" s="408"/>
      <c r="G7" s="408"/>
      <c r="H7" s="408"/>
      <c r="I7" s="408"/>
      <c r="J7" s="408"/>
      <c r="K7" s="408"/>
      <c r="L7" s="408"/>
      <c r="M7" s="408"/>
      <c r="N7" s="408"/>
    </row>
    <row r="8" spans="1:18" ht="18" customHeight="1" thickBot="1" x14ac:dyDescent="0.3">
      <c r="A8" s="50"/>
      <c r="B8" s="51"/>
      <c r="C8" s="51"/>
    </row>
    <row r="9" spans="1:18" ht="16.5" customHeight="1" thickBot="1" x14ac:dyDescent="0.3">
      <c r="A9" s="398" t="s">
        <v>1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3"/>
      <c r="O9" s="398" t="s">
        <v>17</v>
      </c>
    </row>
    <row r="10" spans="1:18" ht="31.5" customHeight="1" thickBot="1" x14ac:dyDescent="0.3">
      <c r="A10" s="400"/>
      <c r="B10" s="54" t="s">
        <v>69</v>
      </c>
      <c r="C10" s="54" t="s">
        <v>82</v>
      </c>
      <c r="D10" s="54" t="s">
        <v>71</v>
      </c>
      <c r="E10" s="54" t="s">
        <v>72</v>
      </c>
      <c r="F10" s="54" t="s">
        <v>73</v>
      </c>
      <c r="G10" s="54" t="s">
        <v>74</v>
      </c>
      <c r="H10" s="54" t="s">
        <v>75</v>
      </c>
      <c r="I10" s="54" t="s">
        <v>76</v>
      </c>
      <c r="J10" s="54" t="s">
        <v>77</v>
      </c>
      <c r="K10" s="54" t="s">
        <v>78</v>
      </c>
      <c r="L10" s="54" t="s">
        <v>79</v>
      </c>
      <c r="M10" s="54" t="s">
        <v>80</v>
      </c>
      <c r="N10" s="55" t="s">
        <v>93</v>
      </c>
      <c r="O10" s="400"/>
    </row>
    <row r="11" spans="1:18" ht="20.100000000000001" customHeight="1" x14ac:dyDescent="0.25">
      <c r="A11" s="315" t="s">
        <v>201</v>
      </c>
      <c r="B11" s="346">
        <v>5172.53</v>
      </c>
      <c r="C11" s="346">
        <v>4700.2969999999996</v>
      </c>
      <c r="D11" s="346">
        <v>4132.25</v>
      </c>
      <c r="E11" s="347">
        <v>4903.7299999999996</v>
      </c>
      <c r="F11" s="346">
        <v>2903.41</v>
      </c>
      <c r="G11" s="346">
        <v>2543.94</v>
      </c>
      <c r="H11" s="346">
        <v>4863.8</v>
      </c>
      <c r="I11" s="346">
        <v>4008.37</v>
      </c>
      <c r="J11" s="346">
        <v>5033.68</v>
      </c>
      <c r="K11" s="346">
        <v>5825.03</v>
      </c>
      <c r="L11" s="346">
        <v>5677</v>
      </c>
      <c r="M11" s="347">
        <v>4843.13</v>
      </c>
      <c r="N11" s="58">
        <f>SUM(B11:M11)</f>
        <v>54607.166999999994</v>
      </c>
      <c r="O11" s="59" t="s">
        <v>215</v>
      </c>
    </row>
    <row r="12" spans="1:18" ht="20.100000000000001" customHeight="1" x14ac:dyDescent="0.25">
      <c r="A12" s="316" t="s">
        <v>202</v>
      </c>
      <c r="B12" s="348">
        <v>342.54</v>
      </c>
      <c r="C12" s="328">
        <v>371.04</v>
      </c>
      <c r="D12" s="328">
        <v>417.08</v>
      </c>
      <c r="E12" s="348">
        <v>415.44</v>
      </c>
      <c r="F12" s="328">
        <v>626.46</v>
      </c>
      <c r="G12" s="328">
        <v>515.84</v>
      </c>
      <c r="H12" s="328">
        <v>383.8</v>
      </c>
      <c r="I12" s="328">
        <v>352.62</v>
      </c>
      <c r="J12" s="328">
        <v>762.8</v>
      </c>
      <c r="K12" s="328">
        <v>1042.98</v>
      </c>
      <c r="L12" s="328">
        <v>844.14</v>
      </c>
      <c r="M12" s="348">
        <v>1016.34</v>
      </c>
      <c r="N12" s="63">
        <f t="shared" ref="N12:N24" si="0">SUM(B12:M12)</f>
        <v>7091.0800000000008</v>
      </c>
      <c r="O12" s="64" t="s">
        <v>215</v>
      </c>
    </row>
    <row r="13" spans="1:18" ht="18.75" customHeight="1" x14ac:dyDescent="0.25">
      <c r="A13" s="315" t="s">
        <v>203</v>
      </c>
      <c r="B13" s="349">
        <v>129.4</v>
      </c>
      <c r="C13" s="328">
        <v>123.5</v>
      </c>
      <c r="D13" s="328">
        <v>125.08</v>
      </c>
      <c r="E13" s="328">
        <v>125.48</v>
      </c>
      <c r="F13" s="348">
        <v>154.80000000000001</v>
      </c>
      <c r="G13" s="328">
        <v>94.74</v>
      </c>
      <c r="H13" s="328">
        <v>220.2</v>
      </c>
      <c r="I13" s="328">
        <v>56.1</v>
      </c>
      <c r="J13" s="328">
        <v>141.12</v>
      </c>
      <c r="K13" s="328">
        <v>159.80000000000001</v>
      </c>
      <c r="L13" s="328">
        <v>149.4</v>
      </c>
      <c r="M13" s="348">
        <v>178.87</v>
      </c>
      <c r="N13" s="63">
        <f t="shared" si="0"/>
        <v>1658.4900000000002</v>
      </c>
      <c r="O13" s="64" t="s">
        <v>215</v>
      </c>
    </row>
    <row r="14" spans="1:18" ht="20.100000000000001" customHeight="1" x14ac:dyDescent="0.25">
      <c r="A14" s="27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2"/>
      <c r="N14" s="63">
        <f t="shared" si="0"/>
        <v>0</v>
      </c>
      <c r="O14" s="64"/>
    </row>
    <row r="15" spans="1:18" ht="20.100000000000001" customHeight="1" x14ac:dyDescent="0.25">
      <c r="A15" s="272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2"/>
      <c r="N15" s="63">
        <f t="shared" si="0"/>
        <v>0</v>
      </c>
      <c r="O15" s="64"/>
    </row>
    <row r="16" spans="1:18" ht="20.100000000000001" customHeight="1" x14ac:dyDescent="0.25">
      <c r="A16" s="272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2"/>
      <c r="N16" s="63">
        <f t="shared" si="0"/>
        <v>0</v>
      </c>
      <c r="O16" s="64"/>
    </row>
    <row r="17" spans="1:15" ht="20.100000000000001" customHeight="1" x14ac:dyDescent="0.25">
      <c r="A17" s="272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2"/>
      <c r="N17" s="63">
        <f t="shared" si="0"/>
        <v>0</v>
      </c>
      <c r="O17" s="64"/>
    </row>
    <row r="18" spans="1:15" ht="20.100000000000001" customHeight="1" x14ac:dyDescent="0.25">
      <c r="A18" s="272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2"/>
      <c r="N18" s="63">
        <f t="shared" si="0"/>
        <v>0</v>
      </c>
      <c r="O18" s="64"/>
    </row>
    <row r="19" spans="1:15" ht="20.100000000000001" customHeight="1" x14ac:dyDescent="0.25">
      <c r="A19" s="272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2"/>
      <c r="N19" s="63">
        <f t="shared" si="0"/>
        <v>0</v>
      </c>
      <c r="O19" s="64"/>
    </row>
    <row r="20" spans="1:15" ht="20.100000000000001" customHeight="1" x14ac:dyDescent="0.25">
      <c r="A20" s="272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2"/>
      <c r="N20" s="63">
        <f t="shared" si="0"/>
        <v>0</v>
      </c>
      <c r="O20" s="64"/>
    </row>
    <row r="21" spans="1:15" ht="20.100000000000001" customHeight="1" x14ac:dyDescent="0.25">
      <c r="A21" s="272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2"/>
      <c r="N21" s="63">
        <f t="shared" si="0"/>
        <v>0</v>
      </c>
      <c r="O21" s="64"/>
    </row>
    <row r="22" spans="1:15" ht="20.100000000000001" customHeight="1" x14ac:dyDescent="0.25">
      <c r="A22" s="272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2"/>
      <c r="N22" s="63">
        <f t="shared" si="0"/>
        <v>0</v>
      </c>
      <c r="O22" s="64"/>
    </row>
    <row r="23" spans="1:15" ht="22.5" customHeight="1" x14ac:dyDescent="0.25">
      <c r="A23" s="272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2"/>
      <c r="N23" s="63">
        <f t="shared" si="0"/>
        <v>0</v>
      </c>
      <c r="O23" s="64"/>
    </row>
    <row r="24" spans="1:15" ht="20.100000000000001" customHeight="1" thickBot="1" x14ac:dyDescent="0.3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7"/>
      <c r="N24" s="68">
        <f t="shared" si="0"/>
        <v>0</v>
      </c>
      <c r="O24" s="69"/>
    </row>
    <row r="25" spans="1:15" ht="20.100000000000001" customHeight="1" x14ac:dyDescent="0.25">
      <c r="A25" s="70"/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</row>
    <row r="26" spans="1:15" ht="20.100000000000001" customHeight="1" x14ac:dyDescent="0.25">
      <c r="A26" s="49"/>
    </row>
    <row r="27" spans="1:15" ht="20.100000000000001" customHeight="1" x14ac:dyDescent="0.25">
      <c r="A27" s="409" t="s">
        <v>204</v>
      </c>
      <c r="B27" s="410"/>
      <c r="C27" s="410"/>
      <c r="D27" s="410"/>
      <c r="E27" s="410"/>
      <c r="F27" s="410"/>
      <c r="G27" s="410"/>
      <c r="H27" s="410"/>
      <c r="I27" s="410"/>
      <c r="J27" s="410"/>
      <c r="K27" s="410"/>
      <c r="L27" s="410"/>
      <c r="M27" s="410"/>
      <c r="N27" s="410"/>
    </row>
    <row r="28" spans="1:15" ht="20.100000000000001" customHeight="1" x14ac:dyDescent="0.25"/>
    <row r="29" spans="1:15" ht="24" customHeight="1" thickBot="1" x14ac:dyDescent="0.3"/>
    <row r="30" spans="1:15" ht="16.5" customHeight="1" thickBot="1" x14ac:dyDescent="0.3">
      <c r="A30" s="398" t="s">
        <v>19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3"/>
      <c r="O30" s="398" t="s">
        <v>17</v>
      </c>
    </row>
    <row r="31" spans="1:15" ht="31.5" customHeight="1" thickBot="1" x14ac:dyDescent="0.3">
      <c r="A31" s="400"/>
      <c r="B31" s="54" t="s">
        <v>69</v>
      </c>
      <c r="C31" s="54" t="s">
        <v>82</v>
      </c>
      <c r="D31" s="54" t="s">
        <v>71</v>
      </c>
      <c r="E31" s="54" t="s">
        <v>72</v>
      </c>
      <c r="F31" s="54" t="s">
        <v>73</v>
      </c>
      <c r="G31" s="54" t="s">
        <v>74</v>
      </c>
      <c r="H31" s="54" t="s">
        <v>95</v>
      </c>
      <c r="I31" s="54" t="s">
        <v>76</v>
      </c>
      <c r="J31" s="54" t="s">
        <v>77</v>
      </c>
      <c r="K31" s="54" t="s">
        <v>78</v>
      </c>
      <c r="L31" s="54" t="s">
        <v>79</v>
      </c>
      <c r="M31" s="54" t="s">
        <v>80</v>
      </c>
      <c r="N31" s="55" t="s">
        <v>93</v>
      </c>
      <c r="O31" s="400"/>
    </row>
    <row r="32" spans="1:15" ht="20.100000000000001" customHeight="1" x14ac:dyDescent="0.25">
      <c r="A32" s="320" t="s">
        <v>205</v>
      </c>
      <c r="B32" s="56">
        <f>34.72+16.66</f>
        <v>51.379999999999995</v>
      </c>
      <c r="C32" s="56">
        <v>18.309999999999999</v>
      </c>
      <c r="D32" s="56">
        <v>5.76</v>
      </c>
      <c r="E32" s="56">
        <f>4.27+8.92</f>
        <v>13.19</v>
      </c>
      <c r="F32" s="56">
        <f>3.91+3.67+2.41+5.81+4.62+3.42</f>
        <v>23.840000000000003</v>
      </c>
      <c r="G32" s="56">
        <f>2.51+6.38+12.16+8.96</f>
        <v>30.01</v>
      </c>
      <c r="H32" s="56">
        <f>5.745+9.42+4.71+2.11</f>
        <v>21.984999999999999</v>
      </c>
      <c r="I32" s="56">
        <f>5.04+4.26+5.72</f>
        <v>15.02</v>
      </c>
      <c r="J32" s="56">
        <f>6.89+0.36+18.49+5.92+8.54+13.7</f>
        <v>53.899999999999991</v>
      </c>
      <c r="K32" s="56">
        <f>7.62+12.89+0.96+15.77+13.75+9.99</f>
        <v>60.980000000000004</v>
      </c>
      <c r="L32" s="56">
        <f>6.87+16.28+17.19</f>
        <v>40.340000000000003</v>
      </c>
      <c r="M32" s="57">
        <f>14.52+4.79+5.43+13.86</f>
        <v>38.599999999999994</v>
      </c>
      <c r="N32" s="58">
        <f t="shared" ref="N32:N44" si="1">SUM(B32:M32)</f>
        <v>373.31500000000005</v>
      </c>
      <c r="O32" s="59" t="s">
        <v>215</v>
      </c>
    </row>
    <row r="33" spans="1:20" ht="20.100000000000001" customHeight="1" x14ac:dyDescent="0.25">
      <c r="A33" s="321" t="s">
        <v>206</v>
      </c>
      <c r="B33" s="61"/>
      <c r="C33" s="61">
        <v>0.46</v>
      </c>
      <c r="D33" s="61"/>
      <c r="E33" s="61"/>
      <c r="F33" s="61"/>
      <c r="G33" s="61"/>
      <c r="H33" s="61"/>
      <c r="I33" s="61"/>
      <c r="J33" s="61"/>
      <c r="K33" s="61"/>
      <c r="L33" s="61">
        <v>0.34</v>
      </c>
      <c r="M33" s="62"/>
      <c r="N33" s="63">
        <f t="shared" si="1"/>
        <v>0.8</v>
      </c>
      <c r="O33" s="64" t="s">
        <v>215</v>
      </c>
    </row>
    <row r="34" spans="1:20" ht="20.100000000000001" customHeight="1" x14ac:dyDescent="0.25">
      <c r="A34" s="321" t="s">
        <v>207</v>
      </c>
      <c r="B34" s="61">
        <v>9.61</v>
      </c>
      <c r="C34" s="61"/>
      <c r="D34" s="61"/>
      <c r="E34" s="61">
        <f>4.81+4.82</f>
        <v>9.629999999999999</v>
      </c>
      <c r="F34" s="61"/>
      <c r="G34" s="61"/>
      <c r="H34" s="61">
        <v>0.74</v>
      </c>
      <c r="I34" s="61"/>
      <c r="J34" s="61">
        <v>2.65</v>
      </c>
      <c r="K34" s="61">
        <v>1.48</v>
      </c>
      <c r="L34" s="61">
        <v>0.56000000000000005</v>
      </c>
      <c r="M34" s="62"/>
      <c r="N34" s="63">
        <f t="shared" si="1"/>
        <v>24.669999999999995</v>
      </c>
      <c r="O34" s="64" t="s">
        <v>215</v>
      </c>
    </row>
    <row r="35" spans="1:20" ht="20.100000000000001" customHeight="1" x14ac:dyDescent="0.25">
      <c r="A35" s="321" t="s">
        <v>208</v>
      </c>
      <c r="B35" s="61">
        <f>10.02+2.03</f>
        <v>12.049999999999999</v>
      </c>
      <c r="C35" s="61"/>
      <c r="D35" s="61"/>
      <c r="E35" s="61">
        <v>8.07</v>
      </c>
      <c r="F35" s="61">
        <v>8.48</v>
      </c>
      <c r="G35" s="61">
        <v>2.0699999999999998</v>
      </c>
      <c r="H35" s="61"/>
      <c r="I35" s="61">
        <v>4.16</v>
      </c>
      <c r="J35" s="61">
        <f>6.77+2.01</f>
        <v>8.7799999999999994</v>
      </c>
      <c r="K35" s="61">
        <v>5.0999999999999996</v>
      </c>
      <c r="L35" s="61">
        <v>0.13</v>
      </c>
      <c r="M35" s="62">
        <f>3.39+2.03</f>
        <v>5.42</v>
      </c>
      <c r="N35" s="63">
        <f t="shared" si="1"/>
        <v>54.260000000000005</v>
      </c>
      <c r="O35" s="64" t="s">
        <v>215</v>
      </c>
    </row>
    <row r="36" spans="1:20" ht="20.100000000000001" customHeight="1" x14ac:dyDescent="0.25">
      <c r="A36" s="321" t="s">
        <v>209</v>
      </c>
      <c r="B36" s="61">
        <v>0.41</v>
      </c>
      <c r="C36" s="61">
        <v>0.24</v>
      </c>
      <c r="D36" s="61"/>
      <c r="E36" s="61">
        <f>0.5+0.24</f>
        <v>0.74</v>
      </c>
      <c r="F36" s="61"/>
      <c r="G36" s="61"/>
      <c r="H36" s="61"/>
      <c r="I36" s="61"/>
      <c r="J36" s="61"/>
      <c r="K36" s="61"/>
      <c r="L36" s="61"/>
      <c r="M36" s="62"/>
      <c r="N36" s="63">
        <f t="shared" si="1"/>
        <v>1.39</v>
      </c>
      <c r="O36" s="64" t="s">
        <v>215</v>
      </c>
    </row>
    <row r="37" spans="1:20" ht="20.100000000000001" customHeight="1" x14ac:dyDescent="0.25">
      <c r="A37" s="321" t="s">
        <v>210</v>
      </c>
      <c r="B37" s="61">
        <v>19.100000000000001</v>
      </c>
      <c r="C37" s="61"/>
      <c r="D37" s="61">
        <v>5.27</v>
      </c>
      <c r="E37" s="61">
        <f>8.44+5.37</f>
        <v>13.809999999999999</v>
      </c>
      <c r="F37" s="61">
        <v>7.8</v>
      </c>
      <c r="G37" s="61">
        <v>5.52</v>
      </c>
      <c r="H37" s="61">
        <v>6.97</v>
      </c>
      <c r="I37" s="61">
        <v>2.2200000000000002</v>
      </c>
      <c r="J37" s="61">
        <f>4.89+4.38</f>
        <v>9.27</v>
      </c>
      <c r="K37" s="61">
        <v>24.63</v>
      </c>
      <c r="L37" s="61">
        <v>19.93</v>
      </c>
      <c r="M37" s="62">
        <v>8.39</v>
      </c>
      <c r="N37" s="63">
        <f t="shared" si="1"/>
        <v>122.90999999999998</v>
      </c>
      <c r="O37" s="64" t="s">
        <v>215</v>
      </c>
    </row>
    <row r="38" spans="1:20" ht="20.100000000000001" customHeight="1" x14ac:dyDescent="0.25">
      <c r="A38" s="321" t="s">
        <v>211</v>
      </c>
      <c r="B38" s="61">
        <v>2.2599999999999998</v>
      </c>
      <c r="C38" s="61">
        <v>0.82</v>
      </c>
      <c r="D38" s="61">
        <v>0.41</v>
      </c>
      <c r="E38" s="61">
        <v>0.36</v>
      </c>
      <c r="F38" s="61"/>
      <c r="G38" s="61">
        <v>0.09</v>
      </c>
      <c r="H38" s="61">
        <f>0.6+0.81</f>
        <v>1.4100000000000001</v>
      </c>
      <c r="I38" s="61">
        <v>0.11</v>
      </c>
      <c r="J38" s="61">
        <v>1.19</v>
      </c>
      <c r="K38" s="61">
        <v>0.11</v>
      </c>
      <c r="L38" s="61">
        <v>0.33</v>
      </c>
      <c r="M38" s="62">
        <v>0.38</v>
      </c>
      <c r="N38" s="63">
        <f t="shared" si="1"/>
        <v>7.4700000000000006</v>
      </c>
      <c r="O38" s="64" t="s">
        <v>215</v>
      </c>
    </row>
    <row r="39" spans="1:20" ht="20.100000000000001" customHeight="1" x14ac:dyDescent="0.25">
      <c r="A39" s="321" t="s">
        <v>212</v>
      </c>
      <c r="B39" s="61">
        <v>0.98</v>
      </c>
      <c r="C39" s="61"/>
      <c r="D39" s="61"/>
      <c r="E39" s="61"/>
      <c r="F39" s="61"/>
      <c r="G39" s="61">
        <v>0.6</v>
      </c>
      <c r="H39" s="61"/>
      <c r="I39" s="61"/>
      <c r="J39" s="61"/>
      <c r="K39" s="61"/>
      <c r="L39" s="61">
        <v>1.8</v>
      </c>
      <c r="M39" s="62">
        <v>1.2</v>
      </c>
      <c r="N39" s="63">
        <f t="shared" si="1"/>
        <v>4.58</v>
      </c>
      <c r="O39" s="64" t="s">
        <v>215</v>
      </c>
    </row>
    <row r="40" spans="1:20" ht="20.100000000000001" customHeight="1" x14ac:dyDescent="0.25">
      <c r="A40" s="321" t="s">
        <v>213</v>
      </c>
      <c r="B40" s="61">
        <v>2.16</v>
      </c>
      <c r="C40" s="61"/>
      <c r="D40" s="61">
        <v>0.54</v>
      </c>
      <c r="E40" s="61"/>
      <c r="F40" s="61">
        <v>2.0299999999999998</v>
      </c>
      <c r="G40" s="61"/>
      <c r="H40" s="61">
        <v>3.19</v>
      </c>
      <c r="I40" s="61"/>
      <c r="J40" s="61"/>
      <c r="K40" s="61"/>
      <c r="L40" s="61"/>
      <c r="M40" s="62">
        <f>2.17+0.54</f>
        <v>2.71</v>
      </c>
      <c r="N40" s="63">
        <f t="shared" si="1"/>
        <v>10.629999999999999</v>
      </c>
      <c r="O40" s="64" t="s">
        <v>215</v>
      </c>
    </row>
    <row r="41" spans="1:20" ht="20.100000000000001" customHeight="1" x14ac:dyDescent="0.25">
      <c r="A41" s="321" t="s">
        <v>358</v>
      </c>
      <c r="B41" s="61"/>
      <c r="C41" s="61"/>
      <c r="D41" s="61"/>
      <c r="E41" s="61">
        <v>0.06</v>
      </c>
      <c r="F41" s="61"/>
      <c r="G41" s="61"/>
      <c r="H41" s="61">
        <v>0.06</v>
      </c>
      <c r="I41" s="61"/>
      <c r="J41" s="61"/>
      <c r="K41" s="61"/>
      <c r="L41" s="61"/>
      <c r="M41" s="62"/>
      <c r="N41" s="63">
        <f t="shared" si="1"/>
        <v>0.12</v>
      </c>
      <c r="O41" s="64" t="s">
        <v>215</v>
      </c>
    </row>
    <row r="42" spans="1:20" ht="20.100000000000001" customHeight="1" x14ac:dyDescent="0.25">
      <c r="A42" s="322" t="s">
        <v>214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2"/>
      <c r="N42" s="63">
        <f t="shared" si="1"/>
        <v>0</v>
      </c>
      <c r="O42" s="64" t="s">
        <v>215</v>
      </c>
    </row>
    <row r="43" spans="1:20" ht="22.5" customHeight="1" x14ac:dyDescent="0.25">
      <c r="A43" s="236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2"/>
      <c r="N43" s="63">
        <f t="shared" si="1"/>
        <v>0</v>
      </c>
      <c r="O43" s="64"/>
    </row>
    <row r="44" spans="1:20" ht="20.100000000000001" customHeight="1" thickBot="1" x14ac:dyDescent="0.3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7"/>
      <c r="N44" s="68">
        <f t="shared" si="1"/>
        <v>0</v>
      </c>
      <c r="O44" s="69"/>
    </row>
    <row r="45" spans="1:20" ht="20.100000000000001" customHeight="1" x14ac:dyDescent="0.25">
      <c r="A45" s="238"/>
      <c r="B45" s="238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</row>
    <row r="46" spans="1:20" ht="20.100000000000001" customHeight="1" x14ac:dyDescent="0.25">
      <c r="A46" s="238"/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238"/>
      <c r="R46" s="238"/>
    </row>
    <row r="47" spans="1:20" customFormat="1" ht="20.100000000000001" customHeight="1" x14ac:dyDescent="0.25">
      <c r="A47" s="401" t="s">
        <v>144</v>
      </c>
      <c r="B47" s="408"/>
      <c r="C47" s="408"/>
      <c r="D47" s="408"/>
      <c r="E47" s="408"/>
      <c r="F47" s="408"/>
      <c r="G47" s="408"/>
      <c r="H47" s="408"/>
      <c r="I47" s="408"/>
      <c r="J47" s="408"/>
      <c r="K47" s="408"/>
      <c r="L47" s="408"/>
      <c r="M47" s="408"/>
      <c r="N47" s="408"/>
      <c r="S47" s="31"/>
      <c r="T47" s="31"/>
    </row>
    <row r="48" spans="1:20" customFormat="1" ht="13.5" customHeight="1" x14ac:dyDescent="0.25">
      <c r="A48" s="238"/>
      <c r="B48" s="238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S48" s="31"/>
      <c r="T48" s="31"/>
    </row>
    <row r="49" spans="1:20" customFormat="1" ht="16.5" customHeight="1" thickBot="1" x14ac:dyDescent="0.3">
      <c r="S49" s="31"/>
      <c r="T49" s="31"/>
    </row>
    <row r="50" spans="1:20" customFormat="1" ht="16.5" customHeight="1" thickBot="1" x14ac:dyDescent="0.3">
      <c r="A50" s="403" t="s">
        <v>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20"/>
      <c r="O50" s="4" t="s">
        <v>17</v>
      </c>
      <c r="Q50" s="31"/>
      <c r="R50" s="31"/>
    </row>
    <row r="51" spans="1:20" customFormat="1" ht="31.5" customHeight="1" thickBot="1" x14ac:dyDescent="0.3">
      <c r="A51" s="404"/>
      <c r="B51" s="22" t="s">
        <v>69</v>
      </c>
      <c r="C51" s="22" t="s">
        <v>82</v>
      </c>
      <c r="D51" s="22" t="s">
        <v>71</v>
      </c>
      <c r="E51" s="22" t="s">
        <v>72</v>
      </c>
      <c r="F51" s="22" t="s">
        <v>73</v>
      </c>
      <c r="G51" s="22" t="s">
        <v>74</v>
      </c>
      <c r="H51" s="22" t="s">
        <v>95</v>
      </c>
      <c r="I51" s="22" t="s">
        <v>76</v>
      </c>
      <c r="J51" s="22" t="s">
        <v>77</v>
      </c>
      <c r="K51" s="22" t="s">
        <v>78</v>
      </c>
      <c r="L51" s="22" t="s">
        <v>79</v>
      </c>
      <c r="M51" s="22" t="s">
        <v>80</v>
      </c>
      <c r="N51" s="21" t="s">
        <v>94</v>
      </c>
      <c r="O51" s="19"/>
    </row>
    <row r="52" spans="1:20" customFormat="1" ht="20.100000000000001" customHeight="1" x14ac:dyDescent="0.25">
      <c r="A52" s="273" t="s">
        <v>216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8"/>
      <c r="N52" s="25">
        <f t="shared" ref="N52:N65" si="2">SUM(B52:M52)</f>
        <v>0</v>
      </c>
      <c r="O52" s="23"/>
    </row>
    <row r="53" spans="1:20" customFormat="1" ht="20.100000000000001" customHeight="1" x14ac:dyDescent="0.25">
      <c r="A53" s="274" t="s">
        <v>216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"/>
      <c r="N53" s="24">
        <f t="shared" si="2"/>
        <v>0</v>
      </c>
      <c r="O53" s="7"/>
    </row>
    <row r="54" spans="1:20" customFormat="1" ht="20.100000000000001" customHeight="1" x14ac:dyDescent="0.25">
      <c r="A54" s="274" t="s">
        <v>216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  <c r="N54" s="24">
        <f t="shared" si="2"/>
        <v>0</v>
      </c>
      <c r="O54" s="7"/>
    </row>
    <row r="55" spans="1:20" customFormat="1" ht="20.100000000000001" customHeight="1" x14ac:dyDescent="0.25">
      <c r="A55" s="274" t="s">
        <v>216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  <c r="N55" s="24">
        <f t="shared" si="2"/>
        <v>0</v>
      </c>
      <c r="O55" s="7"/>
    </row>
    <row r="56" spans="1:20" customFormat="1" ht="20.100000000000001" customHeight="1" x14ac:dyDescent="0.25">
      <c r="A56" s="274" t="s">
        <v>216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"/>
      <c r="N56" s="24">
        <f t="shared" si="2"/>
        <v>0</v>
      </c>
      <c r="O56" s="7"/>
    </row>
    <row r="57" spans="1:20" customFormat="1" ht="20.100000000000001" customHeight="1" x14ac:dyDescent="0.25">
      <c r="A57" s="274" t="s">
        <v>216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"/>
      <c r="N57" s="24">
        <f t="shared" si="2"/>
        <v>0</v>
      </c>
      <c r="O57" s="7"/>
    </row>
    <row r="58" spans="1:20" customFormat="1" ht="20.100000000000001" customHeight="1" x14ac:dyDescent="0.25">
      <c r="A58" s="274" t="s">
        <v>216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  <c r="N58" s="24">
        <f t="shared" si="2"/>
        <v>0</v>
      </c>
      <c r="O58" s="7"/>
    </row>
    <row r="59" spans="1:20" customFormat="1" ht="20.100000000000001" customHeight="1" x14ac:dyDescent="0.25">
      <c r="A59" s="274" t="s">
        <v>216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  <c r="N59" s="24">
        <f t="shared" si="2"/>
        <v>0</v>
      </c>
      <c r="O59" s="7"/>
    </row>
    <row r="60" spans="1:20" customFormat="1" ht="20.100000000000001" customHeight="1" x14ac:dyDescent="0.25">
      <c r="A60" s="274" t="s">
        <v>216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"/>
      <c r="N60" s="24">
        <f t="shared" si="2"/>
        <v>0</v>
      </c>
      <c r="O60" s="7"/>
    </row>
    <row r="61" spans="1:20" customFormat="1" ht="20.100000000000001" customHeight="1" x14ac:dyDescent="0.25">
      <c r="A61" s="274" t="s">
        <v>216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  <c r="N61" s="24">
        <f t="shared" si="2"/>
        <v>0</v>
      </c>
      <c r="O61" s="7"/>
    </row>
    <row r="62" spans="1:20" customFormat="1" ht="20.100000000000001" customHeight="1" x14ac:dyDescent="0.25">
      <c r="A62" s="274" t="s">
        <v>216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"/>
      <c r="N62" s="24">
        <f t="shared" si="2"/>
        <v>0</v>
      </c>
      <c r="O62" s="7"/>
    </row>
    <row r="63" spans="1:20" customFormat="1" ht="20.100000000000001" customHeight="1" x14ac:dyDescent="0.25">
      <c r="A63" s="274" t="s">
        <v>216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"/>
      <c r="N63" s="24">
        <f t="shared" si="2"/>
        <v>0</v>
      </c>
      <c r="O63" s="7"/>
    </row>
    <row r="64" spans="1:20" customFormat="1" ht="22.5" customHeight="1" x14ac:dyDescent="0.25">
      <c r="A64" s="274" t="s">
        <v>216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"/>
      <c r="N64" s="24">
        <f t="shared" si="2"/>
        <v>0</v>
      </c>
      <c r="O64" s="7"/>
    </row>
    <row r="65" spans="1:16" customFormat="1" ht="20.100000000000001" customHeight="1" thickBot="1" x14ac:dyDescent="0.3">
      <c r="A65" s="275" t="s">
        <v>216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9"/>
      <c r="N65" s="26">
        <f t="shared" si="2"/>
        <v>0</v>
      </c>
      <c r="O65" s="10"/>
    </row>
    <row r="66" spans="1:16" customFormat="1" ht="20.100000000000001" customHeight="1" x14ac:dyDescent="0.25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6" customFormat="1" ht="20.100000000000001" customHeight="1" x14ac:dyDescent="0.25"/>
    <row r="68" spans="1:16" ht="15" x14ac:dyDescent="0.25">
      <c r="A68" s="401" t="s">
        <v>145</v>
      </c>
      <c r="B68" s="408"/>
      <c r="C68" s="408"/>
      <c r="D68" s="408"/>
      <c r="E68" s="408"/>
      <c r="F68" s="408"/>
      <c r="G68" s="408"/>
      <c r="H68" s="408"/>
      <c r="I68" s="408"/>
      <c r="J68" s="408"/>
      <c r="K68" s="408"/>
      <c r="L68" s="408"/>
      <c r="M68" s="408"/>
      <c r="N68" s="408"/>
    </row>
    <row r="69" spans="1:16" ht="13.8" thickBot="1" x14ac:dyDescent="0.3">
      <c r="A69" s="7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</row>
    <row r="70" spans="1:16" ht="38.25" customHeight="1" thickBot="1" x14ac:dyDescent="0.3">
      <c r="A70" s="405" t="s">
        <v>182</v>
      </c>
      <c r="B70" s="406"/>
      <c r="C70" s="407"/>
      <c r="D70" s="80"/>
      <c r="E70" s="47"/>
      <c r="F70" s="47"/>
      <c r="G70" s="47"/>
      <c r="H70" s="47"/>
      <c r="I70" s="47"/>
      <c r="J70" s="47"/>
      <c r="K70" s="47"/>
      <c r="L70" s="47"/>
      <c r="M70" s="47"/>
      <c r="N70" s="47"/>
    </row>
    <row r="71" spans="1:16" x14ac:dyDescent="0.25">
      <c r="A71" s="78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</row>
    <row r="72" spans="1:16" ht="13.8" thickBot="1" x14ac:dyDescent="0.3"/>
    <row r="73" spans="1:16" ht="48" customHeight="1" x14ac:dyDescent="0.25">
      <c r="A73" s="82" t="s">
        <v>1</v>
      </c>
      <c r="B73" s="83" t="s">
        <v>110</v>
      </c>
      <c r="C73" s="83" t="s">
        <v>188</v>
      </c>
      <c r="D73" s="84" t="s">
        <v>178</v>
      </c>
    </row>
    <row r="74" spans="1:16" ht="13.5" customHeight="1" x14ac:dyDescent="0.25">
      <c r="A74" s="276" t="s">
        <v>216</v>
      </c>
      <c r="B74" s="85"/>
      <c r="C74" s="85"/>
      <c r="D74" s="256"/>
    </row>
    <row r="75" spans="1:16" x14ac:dyDescent="0.25">
      <c r="A75" s="277" t="s">
        <v>216</v>
      </c>
      <c r="B75" s="87"/>
      <c r="C75" s="87"/>
      <c r="D75" s="86"/>
    </row>
    <row r="76" spans="1:16" ht="13.8" thickBot="1" x14ac:dyDescent="0.3">
      <c r="A76" s="278" t="s">
        <v>216</v>
      </c>
      <c r="B76" s="90"/>
      <c r="C76" s="90"/>
      <c r="D76" s="92"/>
    </row>
    <row r="77" spans="1:16" ht="15" x14ac:dyDescent="0.25">
      <c r="A77" s="13"/>
    </row>
    <row r="78" spans="1:16" customFormat="1" ht="19.5" customHeight="1" x14ac:dyDescent="0.25"/>
    <row r="79" spans="1:16" customFormat="1" ht="20.100000000000001" customHeight="1" x14ac:dyDescent="0.25">
      <c r="F79" s="93" t="s">
        <v>146</v>
      </c>
    </row>
    <row r="80" spans="1:16" ht="19.5" customHeight="1" x14ac:dyDescent="0.25">
      <c r="A80" s="73"/>
      <c r="B80" s="74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6"/>
      <c r="P80" s="76"/>
    </row>
    <row r="81" spans="1:15" ht="20.100000000000001" customHeight="1" x14ac:dyDescent="0.25">
      <c r="A81" s="401" t="s">
        <v>147</v>
      </c>
      <c r="B81" s="402"/>
      <c r="C81" s="402"/>
      <c r="D81" s="402"/>
      <c r="E81" s="402"/>
      <c r="F81" s="402"/>
      <c r="G81" s="402"/>
      <c r="H81" s="402"/>
      <c r="I81" s="402"/>
      <c r="J81" s="402"/>
      <c r="K81" s="402"/>
      <c r="L81" s="402"/>
      <c r="M81" s="402"/>
      <c r="N81" s="402"/>
    </row>
    <row r="82" spans="1:15" ht="20.100000000000001" customHeight="1" x14ac:dyDescent="0.25">
      <c r="A82" s="77"/>
      <c r="B82" s="48"/>
      <c r="D82" s="125"/>
    </row>
    <row r="83" spans="1:15" ht="15.75" customHeight="1" thickBot="1" x14ac:dyDescent="0.3"/>
    <row r="84" spans="1:15" ht="16.5" customHeight="1" thickBot="1" x14ac:dyDescent="0.3">
      <c r="A84" s="398" t="s">
        <v>19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3"/>
      <c r="O84" s="398" t="s">
        <v>17</v>
      </c>
    </row>
    <row r="85" spans="1:15" ht="31.5" customHeight="1" thickBot="1" x14ac:dyDescent="0.3">
      <c r="A85" s="400"/>
      <c r="B85" s="54" t="s">
        <v>69</v>
      </c>
      <c r="C85" s="54" t="s">
        <v>82</v>
      </c>
      <c r="D85" s="54" t="s">
        <v>71</v>
      </c>
      <c r="E85" s="54" t="s">
        <v>72</v>
      </c>
      <c r="F85" s="54" t="s">
        <v>73</v>
      </c>
      <c r="G85" s="54" t="s">
        <v>74</v>
      </c>
      <c r="H85" s="54" t="s">
        <v>75</v>
      </c>
      <c r="I85" s="54" t="s">
        <v>76</v>
      </c>
      <c r="J85" s="54" t="s">
        <v>77</v>
      </c>
      <c r="K85" s="54" t="s">
        <v>78</v>
      </c>
      <c r="L85" s="54" t="s">
        <v>79</v>
      </c>
      <c r="M85" s="54" t="s">
        <v>80</v>
      </c>
      <c r="N85" s="55" t="s">
        <v>93</v>
      </c>
      <c r="O85" s="400"/>
    </row>
    <row r="86" spans="1:15" ht="20.100000000000001" customHeight="1" x14ac:dyDescent="0.25">
      <c r="A86" s="317" t="s">
        <v>217</v>
      </c>
      <c r="B86" s="346">
        <v>3511.79</v>
      </c>
      <c r="C86" s="346">
        <v>4079.37</v>
      </c>
      <c r="D86" s="346">
        <v>5124.3500000000004</v>
      </c>
      <c r="E86" s="346">
        <v>4368.8190000000004</v>
      </c>
      <c r="F86" s="346">
        <v>3515.78</v>
      </c>
      <c r="G86" s="346">
        <v>3051.55</v>
      </c>
      <c r="H86" s="346">
        <v>3998.25</v>
      </c>
      <c r="I86" s="346">
        <v>3170.11</v>
      </c>
      <c r="J86" s="346">
        <v>4797.78</v>
      </c>
      <c r="K86" s="56">
        <v>5315.3</v>
      </c>
      <c r="L86" s="56">
        <v>5237.5200000000004</v>
      </c>
      <c r="M86" s="57">
        <v>5248.34</v>
      </c>
      <c r="N86" s="58">
        <f t="shared" ref="N86:N99" si="3">SUM(B86:M86)</f>
        <v>51418.959000000003</v>
      </c>
      <c r="O86" s="59" t="s">
        <v>215</v>
      </c>
    </row>
    <row r="87" spans="1:15" ht="20.100000000000001" customHeight="1" x14ac:dyDescent="0.25">
      <c r="A87" s="318" t="s">
        <v>218</v>
      </c>
      <c r="B87" s="328">
        <v>1049.04</v>
      </c>
      <c r="C87" s="328">
        <v>1110.3599999999999</v>
      </c>
      <c r="D87" s="328">
        <v>1174.78</v>
      </c>
      <c r="E87" s="328">
        <v>1298.6199999999999</v>
      </c>
      <c r="F87" s="328">
        <v>884.2</v>
      </c>
      <c r="G87" s="328">
        <v>692.72</v>
      </c>
      <c r="H87" s="328">
        <v>832.24</v>
      </c>
      <c r="I87" s="61">
        <v>945</v>
      </c>
      <c r="J87" s="328">
        <v>1189.3</v>
      </c>
      <c r="K87" s="61">
        <v>1332.08</v>
      </c>
      <c r="L87" s="61">
        <v>1555.24</v>
      </c>
      <c r="M87" s="62">
        <v>1243.2</v>
      </c>
      <c r="N87" s="63">
        <f t="shared" si="3"/>
        <v>13306.779999999999</v>
      </c>
      <c r="O87" s="64" t="s">
        <v>215</v>
      </c>
    </row>
    <row r="88" spans="1:15" ht="20.100000000000001" customHeight="1" x14ac:dyDescent="0.25">
      <c r="A88" s="319" t="s">
        <v>219</v>
      </c>
      <c r="B88" s="61">
        <v>30.52</v>
      </c>
      <c r="C88" s="61">
        <v>30.56</v>
      </c>
      <c r="D88" s="61">
        <v>27.72</v>
      </c>
      <c r="E88" s="61">
        <v>0</v>
      </c>
      <c r="F88" s="61">
        <v>0</v>
      </c>
      <c r="G88" s="61">
        <v>29.34</v>
      </c>
      <c r="H88" s="61">
        <v>0</v>
      </c>
      <c r="I88" s="61">
        <v>30.64</v>
      </c>
      <c r="J88" s="61">
        <v>28.78</v>
      </c>
      <c r="K88" s="61">
        <v>0</v>
      </c>
      <c r="L88" s="61">
        <v>0</v>
      </c>
      <c r="M88" s="62">
        <v>0</v>
      </c>
      <c r="N88" s="63">
        <f t="shared" si="3"/>
        <v>177.56</v>
      </c>
      <c r="O88" s="64" t="s">
        <v>215</v>
      </c>
    </row>
    <row r="89" spans="1:15" ht="20.100000000000001" customHeight="1" x14ac:dyDescent="0.25">
      <c r="A89" s="236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2"/>
      <c r="N89" s="63">
        <f t="shared" si="3"/>
        <v>0</v>
      </c>
      <c r="O89" s="64"/>
    </row>
    <row r="90" spans="1:15" ht="20.100000000000001" customHeight="1" x14ac:dyDescent="0.25"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2"/>
      <c r="N90" s="63">
        <f t="shared" si="3"/>
        <v>0</v>
      </c>
      <c r="O90" s="64"/>
    </row>
    <row r="91" spans="1:15" ht="20.100000000000001" customHeight="1" x14ac:dyDescent="0.25">
      <c r="A91" s="60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2"/>
      <c r="N91" s="63">
        <f t="shared" si="3"/>
        <v>0</v>
      </c>
      <c r="O91" s="64"/>
    </row>
    <row r="92" spans="1:15" ht="20.100000000000001" customHeight="1" x14ac:dyDescent="0.25">
      <c r="A92" s="60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2"/>
      <c r="N92" s="63">
        <f t="shared" si="3"/>
        <v>0</v>
      </c>
      <c r="O92" s="64"/>
    </row>
    <row r="93" spans="1:15" ht="20.100000000000001" customHeight="1" x14ac:dyDescent="0.25">
      <c r="A93" s="60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2"/>
      <c r="N93" s="63">
        <f t="shared" si="3"/>
        <v>0</v>
      </c>
      <c r="O93" s="64"/>
    </row>
    <row r="94" spans="1:15" ht="20.100000000000001" customHeight="1" x14ac:dyDescent="0.25">
      <c r="A94" s="60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2"/>
      <c r="N94" s="63">
        <f t="shared" si="3"/>
        <v>0</v>
      </c>
      <c r="O94" s="64"/>
    </row>
    <row r="95" spans="1:15" ht="20.100000000000001" customHeight="1" x14ac:dyDescent="0.25">
      <c r="A95" s="60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2"/>
      <c r="N95" s="63">
        <f t="shared" si="3"/>
        <v>0</v>
      </c>
      <c r="O95" s="64"/>
    </row>
    <row r="96" spans="1:15" ht="20.100000000000001" customHeight="1" x14ac:dyDescent="0.25">
      <c r="A96" s="60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2"/>
      <c r="N96" s="63">
        <f t="shared" si="3"/>
        <v>0</v>
      </c>
      <c r="O96" s="64"/>
    </row>
    <row r="97" spans="1:15" ht="20.100000000000001" customHeight="1" x14ac:dyDescent="0.25">
      <c r="A97" s="60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2"/>
      <c r="N97" s="63">
        <f t="shared" si="3"/>
        <v>0</v>
      </c>
      <c r="O97" s="64"/>
    </row>
    <row r="98" spans="1:15" ht="22.5" customHeight="1" x14ac:dyDescent="0.25">
      <c r="A98" s="60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2"/>
      <c r="N98" s="63">
        <f t="shared" si="3"/>
        <v>0</v>
      </c>
      <c r="O98" s="64"/>
    </row>
    <row r="99" spans="1:15" ht="20.100000000000001" customHeight="1" thickBot="1" x14ac:dyDescent="0.3">
      <c r="A99" s="65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7"/>
      <c r="N99" s="68">
        <f t="shared" si="3"/>
        <v>0</v>
      </c>
      <c r="O99" s="69"/>
    </row>
    <row r="100" spans="1:15" ht="20.100000000000001" customHeight="1" x14ac:dyDescent="0.25">
      <c r="A100" s="70"/>
      <c r="B100" s="71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</row>
    <row r="101" spans="1:15" ht="20.100000000000001" customHeight="1" x14ac:dyDescent="0.25">
      <c r="A101" s="70"/>
      <c r="B101" s="71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</row>
    <row r="102" spans="1:15" ht="20.100000000000001" customHeight="1" x14ac:dyDescent="0.25">
      <c r="A102" s="401" t="s">
        <v>148</v>
      </c>
      <c r="B102" s="402"/>
      <c r="C102" s="402"/>
      <c r="D102" s="402"/>
      <c r="E102" s="402"/>
      <c r="F102" s="402"/>
      <c r="G102" s="402"/>
      <c r="H102" s="402"/>
      <c r="I102" s="402"/>
      <c r="J102" s="402"/>
      <c r="K102" s="402"/>
      <c r="L102" s="402"/>
      <c r="M102" s="402"/>
      <c r="N102" s="402"/>
    </row>
    <row r="103" spans="1:15" ht="20.100000000000001" customHeight="1" x14ac:dyDescent="0.25">
      <c r="A103" s="78"/>
      <c r="B103" s="47"/>
      <c r="C103" s="47"/>
      <c r="D103" s="79"/>
      <c r="E103" s="47"/>
      <c r="F103" s="47"/>
      <c r="G103" s="47"/>
      <c r="H103" s="47"/>
      <c r="I103" s="47"/>
      <c r="J103" s="47"/>
      <c r="K103" s="47"/>
      <c r="L103" s="47"/>
      <c r="M103" s="47"/>
      <c r="N103" s="47"/>
    </row>
    <row r="104" spans="1:15" ht="16.5" customHeight="1" thickBot="1" x14ac:dyDescent="0.3"/>
    <row r="105" spans="1:15" ht="16.5" customHeight="1" thickBot="1" x14ac:dyDescent="0.3">
      <c r="A105" s="398" t="s">
        <v>104</v>
      </c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3"/>
      <c r="O105" s="398" t="s">
        <v>17</v>
      </c>
    </row>
    <row r="106" spans="1:15" ht="31.5" customHeight="1" thickBot="1" x14ac:dyDescent="0.3">
      <c r="A106" s="399"/>
      <c r="B106" s="54" t="s">
        <v>69</v>
      </c>
      <c r="C106" s="54" t="s">
        <v>82</v>
      </c>
      <c r="D106" s="54" t="s">
        <v>71</v>
      </c>
      <c r="E106" s="54" t="s">
        <v>72</v>
      </c>
      <c r="F106" s="54" t="s">
        <v>73</v>
      </c>
      <c r="G106" s="54" t="s">
        <v>74</v>
      </c>
      <c r="H106" s="54" t="s">
        <v>75</v>
      </c>
      <c r="I106" s="54" t="s">
        <v>76</v>
      </c>
      <c r="J106" s="54" t="s">
        <v>77</v>
      </c>
      <c r="K106" s="54" t="s">
        <v>78</v>
      </c>
      <c r="L106" s="54" t="s">
        <v>79</v>
      </c>
      <c r="M106" s="54" t="s">
        <v>80</v>
      </c>
      <c r="N106" s="81" t="s">
        <v>93</v>
      </c>
      <c r="O106" s="399"/>
    </row>
    <row r="107" spans="1:15" ht="20.100000000000001" customHeight="1" x14ac:dyDescent="0.25">
      <c r="A107" s="279" t="s">
        <v>216</v>
      </c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7"/>
      <c r="N107" s="58">
        <f t="shared" ref="N107:N120" si="4">SUM(B107:M107)</f>
        <v>0</v>
      </c>
      <c r="O107" s="59"/>
    </row>
    <row r="108" spans="1:15" ht="20.100000000000001" customHeight="1" x14ac:dyDescent="0.25">
      <c r="A108" s="280" t="s">
        <v>216</v>
      </c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2"/>
      <c r="N108" s="63">
        <f t="shared" si="4"/>
        <v>0</v>
      </c>
      <c r="O108" s="64"/>
    </row>
    <row r="109" spans="1:15" ht="20.100000000000001" customHeight="1" x14ac:dyDescent="0.25">
      <c r="A109" s="280" t="s">
        <v>216</v>
      </c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2"/>
      <c r="N109" s="63">
        <f t="shared" si="4"/>
        <v>0</v>
      </c>
      <c r="O109" s="64"/>
    </row>
    <row r="110" spans="1:15" ht="20.100000000000001" customHeight="1" x14ac:dyDescent="0.25">
      <c r="A110" s="280" t="s">
        <v>216</v>
      </c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2"/>
      <c r="N110" s="63">
        <f t="shared" si="4"/>
        <v>0</v>
      </c>
      <c r="O110" s="64"/>
    </row>
    <row r="111" spans="1:15" ht="20.100000000000001" customHeight="1" x14ac:dyDescent="0.25">
      <c r="A111" s="280" t="s">
        <v>216</v>
      </c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2"/>
      <c r="N111" s="63">
        <f t="shared" si="4"/>
        <v>0</v>
      </c>
      <c r="O111" s="64"/>
    </row>
    <row r="112" spans="1:15" ht="20.100000000000001" customHeight="1" x14ac:dyDescent="0.25">
      <c r="A112" s="280" t="s">
        <v>216</v>
      </c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2"/>
      <c r="N112" s="63">
        <f t="shared" si="4"/>
        <v>0</v>
      </c>
      <c r="O112" s="64"/>
    </row>
    <row r="113" spans="1:15" ht="20.100000000000001" customHeight="1" x14ac:dyDescent="0.25">
      <c r="A113" s="280" t="s">
        <v>216</v>
      </c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2"/>
      <c r="N113" s="63">
        <f t="shared" si="4"/>
        <v>0</v>
      </c>
      <c r="O113" s="64"/>
    </row>
    <row r="114" spans="1:15" ht="20.100000000000001" customHeight="1" x14ac:dyDescent="0.25">
      <c r="A114" s="280" t="s">
        <v>216</v>
      </c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2"/>
      <c r="N114" s="63">
        <f t="shared" si="4"/>
        <v>0</v>
      </c>
      <c r="O114" s="64"/>
    </row>
    <row r="115" spans="1:15" ht="20.100000000000001" customHeight="1" x14ac:dyDescent="0.25">
      <c r="A115" s="280" t="s">
        <v>216</v>
      </c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2"/>
      <c r="N115" s="63">
        <f t="shared" si="4"/>
        <v>0</v>
      </c>
      <c r="O115" s="64"/>
    </row>
    <row r="116" spans="1:15" ht="20.100000000000001" customHeight="1" x14ac:dyDescent="0.25">
      <c r="A116" s="280" t="s">
        <v>216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2"/>
      <c r="N116" s="63">
        <f t="shared" si="4"/>
        <v>0</v>
      </c>
      <c r="O116" s="64"/>
    </row>
    <row r="117" spans="1:15" ht="20.100000000000001" customHeight="1" x14ac:dyDescent="0.25">
      <c r="A117" s="280" t="s">
        <v>216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2"/>
      <c r="N117" s="63">
        <f t="shared" si="4"/>
        <v>0</v>
      </c>
      <c r="O117" s="64"/>
    </row>
    <row r="118" spans="1:15" ht="20.100000000000001" customHeight="1" x14ac:dyDescent="0.25">
      <c r="A118" s="280" t="s">
        <v>216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2"/>
      <c r="N118" s="63">
        <f t="shared" si="4"/>
        <v>0</v>
      </c>
      <c r="O118" s="64"/>
    </row>
    <row r="119" spans="1:15" ht="22.5" customHeight="1" x14ac:dyDescent="0.25">
      <c r="A119" s="280" t="s">
        <v>216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2"/>
      <c r="N119" s="63">
        <f t="shared" si="4"/>
        <v>0</v>
      </c>
      <c r="O119" s="64"/>
    </row>
    <row r="120" spans="1:15" ht="20.100000000000001" customHeight="1" thickBot="1" x14ac:dyDescent="0.3">
      <c r="A120" s="281" t="s">
        <v>216</v>
      </c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7"/>
      <c r="N120" s="68">
        <f t="shared" si="4"/>
        <v>0</v>
      </c>
      <c r="O120" s="69"/>
    </row>
    <row r="121" spans="1:15" ht="20.100000000000001" customHeight="1" x14ac:dyDescent="0.25">
      <c r="A121" s="70"/>
      <c r="B121" s="71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</row>
    <row r="123" spans="1:15" ht="15" x14ac:dyDescent="0.25">
      <c r="A123" s="401" t="s">
        <v>149</v>
      </c>
      <c r="B123" s="402"/>
      <c r="C123" s="402"/>
      <c r="D123" s="402"/>
      <c r="E123" s="402"/>
      <c r="F123" s="402"/>
      <c r="G123" s="402"/>
      <c r="H123" s="402"/>
      <c r="I123" s="402"/>
      <c r="J123" s="402"/>
      <c r="K123" s="402"/>
      <c r="L123" s="402"/>
      <c r="M123" s="402"/>
      <c r="N123" s="402"/>
    </row>
    <row r="124" spans="1:15" ht="13.8" thickBot="1" x14ac:dyDescent="0.3">
      <c r="A124" s="7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</row>
    <row r="125" spans="1:15" ht="38.25" customHeight="1" thickBot="1" x14ac:dyDescent="0.3">
      <c r="A125" s="405" t="s">
        <v>150</v>
      </c>
      <c r="B125" s="406"/>
      <c r="C125" s="407"/>
      <c r="D125" s="80"/>
      <c r="E125" s="47"/>
      <c r="F125" s="47"/>
      <c r="G125" s="47"/>
      <c r="H125" s="47"/>
      <c r="I125" s="47"/>
      <c r="J125" s="47"/>
      <c r="K125" s="47"/>
      <c r="L125" s="47"/>
      <c r="M125" s="47"/>
      <c r="N125" s="47"/>
    </row>
    <row r="126" spans="1:15" x14ac:dyDescent="0.25">
      <c r="A126" s="78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</row>
    <row r="127" spans="1:15" ht="13.8" thickBot="1" x14ac:dyDescent="0.3">
      <c r="A127" s="35"/>
    </row>
    <row r="128" spans="1:15" ht="48" customHeight="1" x14ac:dyDescent="0.25">
      <c r="A128" s="82" t="s">
        <v>1</v>
      </c>
      <c r="B128" s="83" t="s">
        <v>110</v>
      </c>
      <c r="C128" s="83" t="s">
        <v>189</v>
      </c>
      <c r="D128" s="84" t="s">
        <v>178</v>
      </c>
    </row>
    <row r="129" spans="1:4" ht="13.5" customHeight="1" x14ac:dyDescent="0.25">
      <c r="A129" s="276" t="s">
        <v>216</v>
      </c>
      <c r="B129" s="85"/>
      <c r="C129" s="85"/>
      <c r="D129" s="256"/>
    </row>
    <row r="130" spans="1:4" x14ac:dyDescent="0.25">
      <c r="A130" s="277" t="s">
        <v>216</v>
      </c>
      <c r="B130" s="87"/>
      <c r="C130" s="87"/>
      <c r="D130" s="86"/>
    </row>
    <row r="131" spans="1:4" ht="13.8" thickBot="1" x14ac:dyDescent="0.3">
      <c r="A131" s="278" t="s">
        <v>216</v>
      </c>
      <c r="B131" s="90"/>
      <c r="C131" s="90"/>
      <c r="D131" s="92"/>
    </row>
  </sheetData>
  <mergeCells count="20">
    <mergeCell ref="A27:N27"/>
    <mergeCell ref="A9:A10"/>
    <mergeCell ref="O9:O10"/>
    <mergeCell ref="A2:N2"/>
    <mergeCell ref="A4:N4"/>
    <mergeCell ref="A7:N7"/>
    <mergeCell ref="A125:C125"/>
    <mergeCell ref="A123:N123"/>
    <mergeCell ref="A84:A85"/>
    <mergeCell ref="A47:N47"/>
    <mergeCell ref="A68:N68"/>
    <mergeCell ref="A70:C70"/>
    <mergeCell ref="O105:O106"/>
    <mergeCell ref="O84:O85"/>
    <mergeCell ref="A105:A106"/>
    <mergeCell ref="A102:N102"/>
    <mergeCell ref="O30:O31"/>
    <mergeCell ref="A50:A51"/>
    <mergeCell ref="A81:N81"/>
    <mergeCell ref="A30:A31"/>
  </mergeCells>
  <phoneticPr fontId="0" type="noConversion"/>
  <pageMargins left="0.78740157480314965" right="0.78740157480314965" top="0.98425196850393704" bottom="0.98425196850393704" header="0.51181102362204722" footer="0.51181102362204722"/>
  <pageSetup paperSize="8" scale="65" firstPageNumber="0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topLeftCell="A34" zoomScale="75" workbookViewId="0">
      <selection activeCell="A56" sqref="A56"/>
    </sheetView>
  </sheetViews>
  <sheetFormatPr defaultColWidth="9.109375" defaultRowHeight="13.2" x14ac:dyDescent="0.25"/>
  <cols>
    <col min="1" max="1" width="36.44140625" style="31" customWidth="1"/>
    <col min="2" max="2" width="15.5546875" style="31" customWidth="1"/>
    <col min="3" max="3" width="12.88671875" style="31" customWidth="1"/>
    <col min="4" max="4" width="15" style="31" customWidth="1"/>
    <col min="5" max="5" width="13.33203125" style="31" customWidth="1"/>
    <col min="6" max="6" width="18.44140625" style="31" customWidth="1"/>
    <col min="7" max="7" width="15.33203125" style="31" customWidth="1"/>
    <col min="8" max="8" width="16.6640625" style="31" customWidth="1"/>
    <col min="9" max="9" width="14.109375" style="31" customWidth="1"/>
    <col min="10" max="10" width="14.6640625" style="31" customWidth="1"/>
    <col min="11" max="11" width="16.109375" style="31" customWidth="1"/>
    <col min="12" max="12" width="14.33203125" style="31" customWidth="1"/>
    <col min="13" max="13" width="16.33203125" style="31" customWidth="1"/>
    <col min="14" max="14" width="15.88671875" style="31" customWidth="1"/>
    <col min="15" max="15" width="12.33203125" style="31" customWidth="1"/>
    <col min="16" max="16" width="15.5546875" style="31" customWidth="1"/>
    <col min="17" max="17" width="13.6640625" style="31" customWidth="1"/>
    <col min="18" max="18" width="13.5546875" style="31" customWidth="1"/>
    <col min="19" max="19" width="30.88671875" style="31" customWidth="1"/>
    <col min="20" max="20" width="34.5546875" style="31" customWidth="1"/>
    <col min="21" max="21" width="12.6640625" style="31" customWidth="1"/>
    <col min="22" max="22" width="14.44140625" style="31" customWidth="1"/>
    <col min="23" max="23" width="17" style="31" customWidth="1"/>
    <col min="24" max="24" width="16" style="31" customWidth="1"/>
    <col min="25" max="25" width="13.33203125" style="31" customWidth="1"/>
    <col min="26" max="26" width="15.33203125" style="31" customWidth="1"/>
    <col min="27" max="27" width="16.109375" style="31" customWidth="1"/>
    <col min="28" max="28" width="17.33203125" style="31" customWidth="1"/>
    <col min="29" max="29" width="22.109375" style="31" customWidth="1"/>
    <col min="30" max="30" width="21.109375" style="31" customWidth="1"/>
    <col min="31" max="31" width="38.33203125" style="31" customWidth="1"/>
    <col min="32" max="32" width="38.109375" style="31" customWidth="1"/>
    <col min="33" max="16384" width="9.109375" style="31"/>
  </cols>
  <sheetData>
    <row r="1" spans="1:29" s="48" customFormat="1" ht="30.75" customHeight="1" x14ac:dyDescent="0.25">
      <c r="A1" s="401" t="s">
        <v>15</v>
      </c>
      <c r="B1" s="411"/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  <c r="O1" s="47"/>
      <c r="R1" s="31"/>
      <c r="AA1" s="31"/>
      <c r="AB1" s="31"/>
      <c r="AC1" s="31"/>
    </row>
    <row r="2" spans="1:29" ht="18.75" customHeight="1" x14ac:dyDescent="0.25">
      <c r="A2" s="49"/>
    </row>
    <row r="3" spans="1:29" s="48" customFormat="1" ht="20.100000000000001" customHeight="1" x14ac:dyDescent="0.25">
      <c r="A3" s="401" t="s">
        <v>20</v>
      </c>
      <c r="B3" s="411"/>
      <c r="C3" s="411"/>
      <c r="D3" s="411"/>
      <c r="E3" s="411"/>
      <c r="F3" s="411"/>
      <c r="G3" s="411"/>
      <c r="H3" s="411"/>
      <c r="I3" s="411"/>
      <c r="J3" s="411"/>
      <c r="K3" s="411"/>
      <c r="L3" s="411"/>
      <c r="M3" s="411"/>
      <c r="N3" s="411"/>
      <c r="O3" s="47"/>
      <c r="R3" s="31"/>
      <c r="AB3" s="31"/>
      <c r="AC3" s="31"/>
    </row>
    <row r="4" spans="1:29" ht="18.75" customHeight="1" x14ac:dyDescent="0.25">
      <c r="A4" s="49"/>
    </row>
    <row r="5" spans="1:29" ht="26.25" customHeight="1" thickBot="1" x14ac:dyDescent="0.3">
      <c r="A5" s="401" t="s">
        <v>21</v>
      </c>
      <c r="B5" s="408"/>
      <c r="C5" s="408"/>
      <c r="D5" s="408"/>
      <c r="E5" s="408"/>
      <c r="F5" s="408"/>
      <c r="G5" s="408"/>
      <c r="H5" s="408"/>
      <c r="I5" s="408"/>
      <c r="J5" s="408"/>
      <c r="K5" s="408"/>
      <c r="L5" s="408"/>
      <c r="M5" s="408"/>
      <c r="N5" s="408"/>
      <c r="O5" s="47"/>
    </row>
    <row r="6" spans="1:29" ht="28.5" customHeight="1" thickBot="1" x14ac:dyDescent="0.3">
      <c r="A6" s="7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S6" s="249" t="s">
        <v>130</v>
      </c>
      <c r="T6" s="250"/>
    </row>
    <row r="7" spans="1:29" ht="30.75" customHeight="1" thickBot="1" x14ac:dyDescent="0.3">
      <c r="A7" s="398" t="s">
        <v>5</v>
      </c>
      <c r="B7" s="95" t="s">
        <v>69</v>
      </c>
      <c r="C7" s="54" t="s">
        <v>70</v>
      </c>
      <c r="D7" s="54" t="s">
        <v>71</v>
      </c>
      <c r="E7" s="54" t="s">
        <v>72</v>
      </c>
      <c r="F7" s="54" t="s">
        <v>73</v>
      </c>
      <c r="G7" s="54" t="s">
        <v>74</v>
      </c>
      <c r="H7" s="54" t="s">
        <v>75</v>
      </c>
      <c r="I7" s="54" t="s">
        <v>76</v>
      </c>
      <c r="J7" s="54" t="s">
        <v>77</v>
      </c>
      <c r="K7" s="54" t="s">
        <v>78</v>
      </c>
      <c r="L7" s="54" t="s">
        <v>79</v>
      </c>
      <c r="M7" s="54" t="s">
        <v>80</v>
      </c>
      <c r="N7" s="398" t="s">
        <v>81</v>
      </c>
      <c r="O7" s="398" t="s">
        <v>17</v>
      </c>
      <c r="R7" s="251"/>
      <c r="S7" s="252"/>
    </row>
    <row r="8" spans="1:29" ht="23.25" customHeight="1" thickBot="1" x14ac:dyDescent="0.3">
      <c r="A8" s="399"/>
      <c r="B8" s="96"/>
      <c r="C8" s="96"/>
      <c r="D8" s="97"/>
      <c r="E8" s="97"/>
      <c r="F8" s="97"/>
      <c r="G8" s="97"/>
      <c r="H8" s="97"/>
      <c r="I8" s="97"/>
      <c r="J8" s="97"/>
      <c r="K8" s="97"/>
      <c r="L8" s="97"/>
      <c r="M8" s="97"/>
      <c r="N8" s="399"/>
      <c r="O8" s="399" t="s">
        <v>2</v>
      </c>
      <c r="R8" s="27" t="s">
        <v>111</v>
      </c>
      <c r="S8" s="28" t="s">
        <v>112</v>
      </c>
    </row>
    <row r="9" spans="1:29" ht="24" customHeight="1" x14ac:dyDescent="0.25">
      <c r="A9" s="98" t="s">
        <v>220</v>
      </c>
      <c r="B9" s="99">
        <v>298</v>
      </c>
      <c r="C9" s="99">
        <v>235</v>
      </c>
      <c r="D9" s="99">
        <v>260</v>
      </c>
      <c r="E9" s="99">
        <v>277</v>
      </c>
      <c r="F9" s="99">
        <v>204</v>
      </c>
      <c r="G9" s="99">
        <v>156</v>
      </c>
      <c r="H9" s="99">
        <v>213</v>
      </c>
      <c r="I9" s="99">
        <v>171</v>
      </c>
      <c r="J9" s="99">
        <v>286</v>
      </c>
      <c r="K9" s="99">
        <v>342</v>
      </c>
      <c r="L9" s="99">
        <v>401</v>
      </c>
      <c r="M9" s="99">
        <v>298</v>
      </c>
      <c r="N9" s="100">
        <f>SUM(B9:M9)</f>
        <v>3141</v>
      </c>
      <c r="O9" s="101" t="s">
        <v>222</v>
      </c>
      <c r="R9" s="27" t="s">
        <v>113</v>
      </c>
      <c r="S9" s="28" t="s">
        <v>114</v>
      </c>
    </row>
    <row r="10" spans="1:29" ht="24" customHeight="1" x14ac:dyDescent="0.25">
      <c r="A10" s="102" t="s">
        <v>221</v>
      </c>
      <c r="B10" s="104">
        <v>48</v>
      </c>
      <c r="C10" s="104">
        <v>128</v>
      </c>
      <c r="D10" s="104">
        <v>169</v>
      </c>
      <c r="E10" s="104">
        <v>73</v>
      </c>
      <c r="F10" s="104">
        <v>43</v>
      </c>
      <c r="G10" s="104">
        <v>76</v>
      </c>
      <c r="H10" s="104">
        <v>59</v>
      </c>
      <c r="I10" s="104">
        <v>47</v>
      </c>
      <c r="J10" s="104">
        <v>122</v>
      </c>
      <c r="K10" s="104">
        <v>143</v>
      </c>
      <c r="L10" s="104">
        <v>101</v>
      </c>
      <c r="M10" s="357">
        <v>82</v>
      </c>
      <c r="N10" s="105">
        <f t="shared" ref="N10:N20" si="0">SUM(B10:M10)</f>
        <v>1091</v>
      </c>
      <c r="O10" s="106" t="s">
        <v>222</v>
      </c>
      <c r="R10" s="27" t="s">
        <v>115</v>
      </c>
      <c r="S10" s="28" t="s">
        <v>116</v>
      </c>
    </row>
    <row r="11" spans="1:29" ht="18" customHeight="1" x14ac:dyDescent="0.25">
      <c r="A11" s="362"/>
      <c r="B11" s="357"/>
      <c r="C11" s="357"/>
      <c r="D11" s="357"/>
      <c r="E11" s="357"/>
      <c r="F11" s="357"/>
      <c r="G11" s="357"/>
      <c r="H11" s="357"/>
      <c r="I11" s="357"/>
      <c r="J11" s="357"/>
      <c r="K11" s="357"/>
      <c r="L11" s="357"/>
      <c r="M11" s="357"/>
      <c r="N11" s="105">
        <f t="shared" si="0"/>
        <v>0</v>
      </c>
      <c r="O11" s="106"/>
      <c r="R11" s="27" t="s">
        <v>117</v>
      </c>
      <c r="S11" s="28" t="s">
        <v>118</v>
      </c>
    </row>
    <row r="12" spans="1:29" ht="18" customHeight="1" x14ac:dyDescent="0.25">
      <c r="A12" s="362"/>
      <c r="B12" s="363"/>
      <c r="C12" s="363"/>
      <c r="D12" s="363"/>
      <c r="E12" s="363"/>
      <c r="F12" s="363"/>
      <c r="G12" s="363"/>
      <c r="H12" s="363"/>
      <c r="I12" s="363"/>
      <c r="J12" s="363"/>
      <c r="K12" s="363"/>
      <c r="L12" s="363"/>
      <c r="M12" s="363"/>
      <c r="N12" s="105">
        <f t="shared" si="0"/>
        <v>0</v>
      </c>
      <c r="O12" s="106"/>
      <c r="R12" s="27" t="s">
        <v>119</v>
      </c>
      <c r="S12" s="28" t="s">
        <v>120</v>
      </c>
    </row>
    <row r="13" spans="1:29" ht="18" customHeight="1" x14ac:dyDescent="0.25">
      <c r="A13" s="102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5">
        <f t="shared" si="0"/>
        <v>0</v>
      </c>
      <c r="O13" s="106"/>
      <c r="R13" s="27" t="s">
        <v>121</v>
      </c>
      <c r="S13" s="28" t="s">
        <v>122</v>
      </c>
    </row>
    <row r="14" spans="1:29" ht="18" customHeight="1" x14ac:dyDescent="0.25">
      <c r="A14" s="102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5">
        <f t="shared" si="0"/>
        <v>0</v>
      </c>
      <c r="O14" s="106"/>
      <c r="R14" s="27" t="s">
        <v>123</v>
      </c>
      <c r="S14" s="28" t="s">
        <v>124</v>
      </c>
    </row>
    <row r="15" spans="1:29" ht="18" customHeight="1" x14ac:dyDescent="0.25">
      <c r="A15" s="102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5">
        <f t="shared" si="0"/>
        <v>0</v>
      </c>
      <c r="O15" s="106"/>
      <c r="R15" s="27" t="s">
        <v>125</v>
      </c>
      <c r="S15" s="28" t="s">
        <v>126</v>
      </c>
    </row>
    <row r="16" spans="1:29" ht="18" customHeight="1" x14ac:dyDescent="0.25">
      <c r="A16" s="102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5">
        <f t="shared" si="0"/>
        <v>0</v>
      </c>
      <c r="O16" s="106"/>
      <c r="R16" s="27" t="s">
        <v>127</v>
      </c>
      <c r="S16" s="28" t="s">
        <v>128</v>
      </c>
    </row>
    <row r="17" spans="1:28" ht="18" customHeight="1" thickBot="1" x14ac:dyDescent="0.3">
      <c r="A17" s="102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5">
        <f t="shared" si="0"/>
        <v>0</v>
      </c>
      <c r="O17" s="106"/>
      <c r="R17" s="29" t="s">
        <v>129</v>
      </c>
      <c r="S17" s="30" t="s">
        <v>136</v>
      </c>
    </row>
    <row r="18" spans="1:28" ht="18" customHeight="1" x14ac:dyDescent="0.25">
      <c r="A18" s="102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5">
        <f t="shared" si="0"/>
        <v>0</v>
      </c>
      <c r="O18" s="106"/>
    </row>
    <row r="19" spans="1:28" ht="20.100000000000001" customHeight="1" x14ac:dyDescent="0.25">
      <c r="A19" s="107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105">
        <f t="shared" si="0"/>
        <v>0</v>
      </c>
      <c r="O19" s="64"/>
    </row>
    <row r="20" spans="1:28" ht="20.100000000000001" customHeight="1" thickBot="1" x14ac:dyDescent="0.3">
      <c r="A20" s="108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109">
        <f t="shared" si="0"/>
        <v>0</v>
      </c>
      <c r="O20" s="69"/>
    </row>
    <row r="21" spans="1:28" ht="20.100000000000001" customHeight="1" thickBot="1" x14ac:dyDescent="0.3">
      <c r="A21" s="49"/>
      <c r="O21" s="312">
        <f>SUM(N9:N20)</f>
        <v>4232</v>
      </c>
      <c r="P21" s="33" t="s">
        <v>153</v>
      </c>
    </row>
    <row r="22" spans="1:28" ht="20.100000000000001" customHeight="1" x14ac:dyDescent="0.25">
      <c r="A22" s="401" t="s">
        <v>106</v>
      </c>
      <c r="B22" s="411"/>
      <c r="C22" s="411"/>
      <c r="D22" s="411"/>
      <c r="E22" s="411"/>
      <c r="F22" s="411"/>
      <c r="G22" s="411"/>
      <c r="H22" s="411"/>
      <c r="I22" s="411"/>
      <c r="J22" s="411"/>
      <c r="K22" s="411"/>
      <c r="L22" s="411"/>
      <c r="M22" s="411"/>
      <c r="N22" s="411"/>
      <c r="O22" s="47"/>
    </row>
    <row r="23" spans="1:28" ht="20.100000000000001" customHeight="1" x14ac:dyDescent="0.25">
      <c r="A23" s="49"/>
    </row>
    <row r="24" spans="1:28" ht="20.100000000000001" customHeight="1" x14ac:dyDescent="0.25">
      <c r="A24" s="401" t="s">
        <v>155</v>
      </c>
      <c r="B24" s="408"/>
      <c r="C24" s="408"/>
      <c r="D24" s="408"/>
      <c r="E24" s="408"/>
      <c r="F24" s="408"/>
      <c r="G24" s="408"/>
      <c r="H24" s="408"/>
      <c r="I24" s="408"/>
      <c r="J24" s="408"/>
      <c r="K24" s="408"/>
      <c r="L24" s="408"/>
      <c r="M24" s="408"/>
      <c r="N24" s="408"/>
      <c r="O24" s="47"/>
    </row>
    <row r="25" spans="1:28" ht="18" customHeight="1" x14ac:dyDescent="0.25"/>
    <row r="26" spans="1:28" ht="20.100000000000001" customHeight="1" thickBot="1" x14ac:dyDescent="0.3">
      <c r="A26" s="94" t="s">
        <v>151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</row>
    <row r="27" spans="1:28" ht="20.100000000000001" customHeight="1" thickBot="1" x14ac:dyDescent="0.3">
      <c r="A27" s="398" t="s">
        <v>22</v>
      </c>
      <c r="B27" s="414"/>
      <c r="C27" s="415"/>
      <c r="D27" s="414"/>
      <c r="E27" s="415"/>
      <c r="F27" s="414"/>
      <c r="G27" s="415"/>
      <c r="H27" s="414"/>
      <c r="I27" s="415"/>
      <c r="J27" s="414"/>
      <c r="K27" s="415"/>
      <c r="L27" s="414"/>
      <c r="M27" s="415"/>
      <c r="N27" s="414"/>
      <c r="O27" s="415"/>
      <c r="P27" s="414"/>
      <c r="Q27" s="415"/>
      <c r="R27" s="414"/>
      <c r="S27" s="415"/>
      <c r="T27" s="414"/>
      <c r="U27" s="415"/>
      <c r="V27" s="414"/>
      <c r="W27" s="415"/>
      <c r="X27" s="414"/>
      <c r="Y27" s="415"/>
      <c r="Z27" s="414" t="s">
        <v>83</v>
      </c>
      <c r="AA27" s="415" t="s">
        <v>18</v>
      </c>
    </row>
    <row r="28" spans="1:28" ht="18.75" customHeight="1" x14ac:dyDescent="0.25">
      <c r="A28" s="420"/>
      <c r="B28" s="421" t="s">
        <v>69</v>
      </c>
      <c r="C28" s="413"/>
      <c r="D28" s="412" t="s">
        <v>82</v>
      </c>
      <c r="E28" s="413"/>
      <c r="F28" s="412" t="s">
        <v>71</v>
      </c>
      <c r="G28" s="413"/>
      <c r="H28" s="412" t="s">
        <v>72</v>
      </c>
      <c r="I28" s="413"/>
      <c r="J28" s="412" t="s">
        <v>73</v>
      </c>
      <c r="K28" s="413"/>
      <c r="L28" s="412" t="s">
        <v>74</v>
      </c>
      <c r="M28" s="413"/>
      <c r="N28" s="412" t="s">
        <v>75</v>
      </c>
      <c r="O28" s="413"/>
      <c r="P28" s="412" t="s">
        <v>76</v>
      </c>
      <c r="Q28" s="413"/>
      <c r="R28" s="412" t="s">
        <v>77</v>
      </c>
      <c r="S28" s="413"/>
      <c r="T28" s="412" t="s">
        <v>78</v>
      </c>
      <c r="U28" s="413"/>
      <c r="V28" s="412" t="s">
        <v>79</v>
      </c>
      <c r="W28" s="413"/>
      <c r="X28" s="412" t="s">
        <v>80</v>
      </c>
      <c r="Y28" s="413"/>
      <c r="Z28" s="412" t="s">
        <v>84</v>
      </c>
      <c r="AA28" s="413"/>
      <c r="AB28" s="416" t="s">
        <v>23</v>
      </c>
    </row>
    <row r="29" spans="1:28" ht="18" customHeight="1" thickBot="1" x14ac:dyDescent="0.3">
      <c r="A29" s="420"/>
      <c r="B29" s="128"/>
      <c r="C29" s="114" t="s">
        <v>12</v>
      </c>
      <c r="D29" s="114"/>
      <c r="E29" s="114" t="s">
        <v>12</v>
      </c>
      <c r="F29" s="114"/>
      <c r="G29" s="114" t="s">
        <v>12</v>
      </c>
      <c r="H29" s="114"/>
      <c r="I29" s="114" t="s">
        <v>12</v>
      </c>
      <c r="J29" s="114"/>
      <c r="K29" s="114" t="s">
        <v>12</v>
      </c>
      <c r="L29" s="114"/>
      <c r="M29" s="114" t="s">
        <v>12</v>
      </c>
      <c r="N29" s="114"/>
      <c r="O29" s="114" t="s">
        <v>12</v>
      </c>
      <c r="P29" s="114"/>
      <c r="Q29" s="114" t="s">
        <v>12</v>
      </c>
      <c r="R29" s="114"/>
      <c r="S29" s="114" t="s">
        <v>12</v>
      </c>
      <c r="T29" s="114" t="s">
        <v>138</v>
      </c>
      <c r="U29" s="114" t="s">
        <v>12</v>
      </c>
      <c r="V29" s="114"/>
      <c r="W29" s="114" t="s">
        <v>12</v>
      </c>
      <c r="X29" s="114"/>
      <c r="Y29" s="114" t="s">
        <v>12</v>
      </c>
      <c r="Z29" s="129"/>
      <c r="AA29" s="129" t="s">
        <v>12</v>
      </c>
      <c r="AB29" s="417"/>
    </row>
    <row r="30" spans="1:28" ht="24" customHeight="1" x14ac:dyDescent="0.25">
      <c r="A30" s="98" t="s">
        <v>223</v>
      </c>
      <c r="B30" s="360">
        <v>492531</v>
      </c>
      <c r="C30" s="326">
        <f>B30*(0.187/1000)</f>
        <v>92.103296999999998</v>
      </c>
      <c r="D30" s="360">
        <v>474822</v>
      </c>
      <c r="E30" s="326">
        <f>D30*(0.187/1000)</f>
        <v>88.791713999999999</v>
      </c>
      <c r="F30" s="360">
        <v>515442</v>
      </c>
      <c r="G30" s="326">
        <f>F30*(0.187/1000)</f>
        <v>96.387653999999998</v>
      </c>
      <c r="H30" s="360">
        <v>442517</v>
      </c>
      <c r="I30" s="326">
        <f>H30*(0.187/1000)</f>
        <v>82.750678999999991</v>
      </c>
      <c r="J30" s="325">
        <v>357141</v>
      </c>
      <c r="K30" s="326">
        <f>J30*(0.187/1000)</f>
        <v>66.785366999999994</v>
      </c>
      <c r="L30" s="325">
        <v>295305</v>
      </c>
      <c r="M30" s="326">
        <f>L30*(0.187/1000)</f>
        <v>55.222034999999998</v>
      </c>
      <c r="N30" s="325">
        <v>365195</v>
      </c>
      <c r="O30" s="326">
        <f>N30*(0.187/1000)</f>
        <v>68.291465000000002</v>
      </c>
      <c r="P30" s="325">
        <v>355005</v>
      </c>
      <c r="Q30" s="326">
        <f>P30*(0.187/1000)</f>
        <v>66.385935000000003</v>
      </c>
      <c r="R30" s="325">
        <v>469077</v>
      </c>
      <c r="S30" s="326">
        <f>R30*(0.187/1000)</f>
        <v>87.717399</v>
      </c>
      <c r="T30" s="325">
        <v>551812</v>
      </c>
      <c r="U30" s="326">
        <f>T30*(0.187/1000)</f>
        <v>103.18884399999999</v>
      </c>
      <c r="V30" s="325">
        <v>641132</v>
      </c>
      <c r="W30" s="326">
        <f>V30*(0.187/1000)</f>
        <v>119.891684</v>
      </c>
      <c r="X30" s="325">
        <v>558725</v>
      </c>
      <c r="Y30" s="326">
        <f>X30*(0.187/1000)</f>
        <v>104.48157499999999</v>
      </c>
      <c r="Z30" s="324">
        <f>SUM(X30,V30,T30,R30,P30,N30,L30,J30,H30,F30,D30,B30)</f>
        <v>5518704</v>
      </c>
      <c r="AA30" s="127">
        <f>SUM(C30,E30,G30,I30,K30,M30,O30,Q30,S30,U30,W30,Y30)</f>
        <v>1031.997648</v>
      </c>
      <c r="AB30" s="283" t="s">
        <v>224</v>
      </c>
    </row>
    <row r="31" spans="1:28" ht="24" customHeight="1" x14ac:dyDescent="0.25">
      <c r="A31" s="102" t="s">
        <v>359</v>
      </c>
      <c r="B31" s="360">
        <v>19626</v>
      </c>
      <c r="C31" s="327">
        <f>-B31*(0.187/1000)</f>
        <v>-3.6700619999999997</v>
      </c>
      <c r="D31" s="360">
        <v>23344</v>
      </c>
      <c r="E31" s="327">
        <f>-D31*(0.187/1000)</f>
        <v>-4.3653279999999999</v>
      </c>
      <c r="F31" s="360">
        <v>35862</v>
      </c>
      <c r="G31" s="327">
        <f>-F31*(0.187/1000)</f>
        <v>-6.706194</v>
      </c>
      <c r="H31" s="360">
        <v>44109</v>
      </c>
      <c r="I31" s="327">
        <f>-H31*(0.187/1000)</f>
        <v>-8.2483830000000005</v>
      </c>
      <c r="J31" s="323">
        <v>40114</v>
      </c>
      <c r="K31" s="327">
        <f>-J31*(0.187/1000)</f>
        <v>-7.5013179999999995</v>
      </c>
      <c r="L31" s="323">
        <v>46041</v>
      </c>
      <c r="M31" s="327">
        <f>-L31*(0.187/1000)</f>
        <v>-8.609667</v>
      </c>
      <c r="N31" s="323">
        <v>58455</v>
      </c>
      <c r="O31" s="327">
        <f>-N31*(0.187/1000)</f>
        <v>-10.931084999999999</v>
      </c>
      <c r="P31" s="323">
        <v>49464</v>
      </c>
      <c r="Q31" s="327">
        <f>-P31*(0.187/1000)</f>
        <v>-9.2497679999999995</v>
      </c>
      <c r="R31" s="323">
        <v>31777</v>
      </c>
      <c r="S31" s="327">
        <f>-R31*(0.187/1000)</f>
        <v>-5.9422989999999993</v>
      </c>
      <c r="T31" s="323">
        <v>20175</v>
      </c>
      <c r="U31" s="327">
        <f>-T31*(0.187/1000)</f>
        <v>-3.7727249999999999</v>
      </c>
      <c r="V31" s="323">
        <v>24215</v>
      </c>
      <c r="W31" s="327">
        <f>-V31*(0.187/1000)</f>
        <v>-4.5282049999999998</v>
      </c>
      <c r="X31" s="323">
        <v>17844</v>
      </c>
      <c r="Y31" s="327">
        <f>-X31*(0.187/1000)</f>
        <v>-3.3368279999999997</v>
      </c>
      <c r="Z31" s="324">
        <f t="shared" ref="Z31:Z41" si="1">SUM(X31,V31,T31,R31,P31,N31,L31,J31,H31,F31,D31,B31)</f>
        <v>411026</v>
      </c>
      <c r="AA31" s="126">
        <f t="shared" ref="AA31:AA41" si="2">SUM(C31,E31,G31,I31,K31,M31,O31,Q31,S31,U31,W31,Y31)</f>
        <v>-76.861862000000002</v>
      </c>
      <c r="AB31" s="284" t="s">
        <v>224</v>
      </c>
    </row>
    <row r="32" spans="1:28" ht="24" customHeight="1" x14ac:dyDescent="0.25">
      <c r="A32" s="102"/>
      <c r="B32" s="323"/>
      <c r="C32" s="104"/>
      <c r="D32" s="323"/>
      <c r="E32" s="104"/>
      <c r="F32" s="323"/>
      <c r="G32" s="104"/>
      <c r="H32" s="323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10">
        <f t="shared" si="1"/>
        <v>0</v>
      </c>
      <c r="AA32" s="126">
        <f t="shared" si="2"/>
        <v>0</v>
      </c>
      <c r="AB32" s="284"/>
    </row>
    <row r="33" spans="1:28" ht="24" customHeight="1" x14ac:dyDescent="0.25">
      <c r="A33" s="102"/>
      <c r="B33" s="323"/>
      <c r="C33" s="104"/>
      <c r="D33" s="323"/>
      <c r="E33" s="104"/>
      <c r="F33" s="323"/>
      <c r="G33" s="104"/>
      <c r="H33" s="323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10">
        <f t="shared" si="1"/>
        <v>0</v>
      </c>
      <c r="AA33" s="126">
        <f t="shared" si="2"/>
        <v>0</v>
      </c>
      <c r="AB33" s="282"/>
    </row>
    <row r="34" spans="1:28" ht="18" customHeight="1" x14ac:dyDescent="0.25">
      <c r="A34" s="102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10">
        <f t="shared" si="1"/>
        <v>0</v>
      </c>
      <c r="AA34" s="126">
        <f t="shared" si="2"/>
        <v>0</v>
      </c>
      <c r="AB34" s="282"/>
    </row>
    <row r="35" spans="1:28" ht="18" customHeight="1" x14ac:dyDescent="0.25">
      <c r="A35" s="102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10">
        <f t="shared" si="1"/>
        <v>0</v>
      </c>
      <c r="AA35" s="126">
        <f t="shared" si="2"/>
        <v>0</v>
      </c>
      <c r="AB35" s="282"/>
    </row>
    <row r="36" spans="1:28" ht="18" customHeight="1" x14ac:dyDescent="0.25">
      <c r="A36" s="102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10">
        <f t="shared" si="1"/>
        <v>0</v>
      </c>
      <c r="AA36" s="126">
        <f t="shared" si="2"/>
        <v>0</v>
      </c>
      <c r="AB36" s="282"/>
    </row>
    <row r="37" spans="1:28" ht="18" customHeight="1" x14ac:dyDescent="0.25">
      <c r="A37" s="102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10">
        <f t="shared" si="1"/>
        <v>0</v>
      </c>
      <c r="AA37" s="126">
        <f t="shared" si="2"/>
        <v>0</v>
      </c>
      <c r="AB37" s="282"/>
    </row>
    <row r="38" spans="1:28" ht="18" customHeight="1" x14ac:dyDescent="0.25">
      <c r="A38" s="102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10">
        <f t="shared" si="1"/>
        <v>0</v>
      </c>
      <c r="AA38" s="126">
        <f t="shared" si="2"/>
        <v>0</v>
      </c>
      <c r="AB38" s="282"/>
    </row>
    <row r="39" spans="1:28" ht="18" customHeight="1" x14ac:dyDescent="0.25">
      <c r="A39" s="102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10">
        <f t="shared" si="1"/>
        <v>0</v>
      </c>
      <c r="AA39" s="126">
        <f t="shared" si="2"/>
        <v>0</v>
      </c>
      <c r="AB39" s="282"/>
    </row>
    <row r="40" spans="1:28" ht="20.100000000000001" customHeight="1" x14ac:dyDescent="0.25">
      <c r="A40" s="10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110">
        <f t="shared" si="1"/>
        <v>0</v>
      </c>
      <c r="AA40" s="126">
        <f t="shared" si="2"/>
        <v>0</v>
      </c>
      <c r="AB40" s="282"/>
    </row>
    <row r="41" spans="1:28" ht="20.100000000000001" customHeight="1" thickBot="1" x14ac:dyDescent="0.3">
      <c r="A41" s="108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111">
        <f t="shared" si="1"/>
        <v>0</v>
      </c>
      <c r="AA41" s="130">
        <f t="shared" si="2"/>
        <v>0</v>
      </c>
      <c r="AB41" s="92"/>
    </row>
    <row r="42" spans="1:28" ht="40.200000000000003" thickBot="1" x14ac:dyDescent="0.3">
      <c r="A42" s="49"/>
      <c r="AA42" s="112">
        <f>SUM(AA30:AA41)</f>
        <v>955.13578600000005</v>
      </c>
      <c r="AB42" s="113" t="s">
        <v>98</v>
      </c>
    </row>
    <row r="43" spans="1:28" ht="20.100000000000001" customHeight="1" x14ac:dyDescent="0.25">
      <c r="A43" s="401" t="s">
        <v>107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1"/>
      <c r="O43" s="47"/>
    </row>
    <row r="44" spans="1:28" ht="12.75" customHeight="1" x14ac:dyDescent="0.25">
      <c r="A44" s="49"/>
    </row>
    <row r="45" spans="1:28" ht="20.100000000000001" customHeight="1" x14ac:dyDescent="0.25">
      <c r="A45" s="401" t="s">
        <v>154</v>
      </c>
      <c r="B45" s="408"/>
      <c r="C45" s="408"/>
      <c r="D45" s="408"/>
      <c r="E45" s="408"/>
      <c r="F45" s="408"/>
      <c r="G45" s="408"/>
      <c r="H45" s="408"/>
      <c r="I45" s="408"/>
      <c r="J45" s="408"/>
      <c r="K45" s="408"/>
      <c r="L45" s="408"/>
      <c r="M45" s="408"/>
      <c r="N45" s="408"/>
      <c r="O45" s="47"/>
    </row>
    <row r="46" spans="1:28" ht="14.25" customHeight="1" x14ac:dyDescent="0.25">
      <c r="A46" s="46"/>
      <c r="B46" s="48"/>
    </row>
    <row r="47" spans="1:28" ht="29.25" customHeight="1" thickBot="1" x14ac:dyDescent="0.3">
      <c r="A47" s="94" t="s">
        <v>151</v>
      </c>
    </row>
    <row r="48" spans="1:28" ht="20.100000000000001" customHeight="1" thickBot="1" x14ac:dyDescent="0.3">
      <c r="A48" s="422" t="s">
        <v>22</v>
      </c>
      <c r="B48" s="414" t="s">
        <v>24</v>
      </c>
      <c r="C48" s="414"/>
      <c r="D48" s="415"/>
      <c r="E48" s="414"/>
      <c r="F48" s="415"/>
      <c r="G48" s="414"/>
      <c r="H48" s="415"/>
      <c r="I48" s="414"/>
      <c r="J48" s="415"/>
      <c r="K48" s="414"/>
      <c r="L48" s="415"/>
      <c r="M48" s="414"/>
      <c r="N48" s="415"/>
      <c r="O48" s="414"/>
      <c r="P48" s="415"/>
      <c r="Q48" s="414"/>
      <c r="R48" s="415"/>
      <c r="S48" s="414"/>
      <c r="T48" s="415"/>
      <c r="U48" s="414"/>
      <c r="V48" s="415"/>
      <c r="W48" s="414"/>
      <c r="X48" s="415"/>
      <c r="Y48" s="414"/>
      <c r="Z48" s="415"/>
      <c r="AA48" s="414"/>
      <c r="AB48" s="429"/>
    </row>
    <row r="49" spans="1:30" ht="18.75" customHeight="1" x14ac:dyDescent="0.25">
      <c r="A49" s="423"/>
      <c r="B49" s="427"/>
      <c r="C49" s="418" t="s">
        <v>69</v>
      </c>
      <c r="D49" s="419"/>
      <c r="E49" s="418" t="s">
        <v>82</v>
      </c>
      <c r="F49" s="419"/>
      <c r="G49" s="418" t="s">
        <v>71</v>
      </c>
      <c r="H49" s="419"/>
      <c r="I49" s="418" t="s">
        <v>72</v>
      </c>
      <c r="J49" s="419"/>
      <c r="K49" s="418" t="s">
        <v>73</v>
      </c>
      <c r="L49" s="419"/>
      <c r="M49" s="418" t="s">
        <v>74</v>
      </c>
      <c r="N49" s="419"/>
      <c r="O49" s="418" t="s">
        <v>75</v>
      </c>
      <c r="P49" s="419"/>
      <c r="Q49" s="418" t="s">
        <v>76</v>
      </c>
      <c r="R49" s="419"/>
      <c r="S49" s="418" t="s">
        <v>77</v>
      </c>
      <c r="T49" s="419"/>
      <c r="U49" s="418" t="s">
        <v>78</v>
      </c>
      <c r="V49" s="419"/>
      <c r="W49" s="418" t="s">
        <v>79</v>
      </c>
      <c r="X49" s="419"/>
      <c r="Y49" s="418" t="s">
        <v>80</v>
      </c>
      <c r="Z49" s="419"/>
      <c r="AA49" s="418" t="s">
        <v>84</v>
      </c>
      <c r="AB49" s="430"/>
      <c r="AC49" s="425" t="s">
        <v>23</v>
      </c>
    </row>
    <row r="50" spans="1:30" ht="18" customHeight="1" thickBot="1" x14ac:dyDescent="0.3">
      <c r="A50" s="424"/>
      <c r="B50" s="428"/>
      <c r="C50" s="114"/>
      <c r="D50" s="114" t="s">
        <v>12</v>
      </c>
      <c r="E50" s="114"/>
      <c r="F50" s="114" t="s">
        <v>12</v>
      </c>
      <c r="G50" s="114"/>
      <c r="H50" s="114" t="s">
        <v>12</v>
      </c>
      <c r="I50" s="114"/>
      <c r="J50" s="114" t="s">
        <v>12</v>
      </c>
      <c r="K50" s="114"/>
      <c r="L50" s="114" t="s">
        <v>12</v>
      </c>
      <c r="M50" s="114"/>
      <c r="N50" s="114" t="s">
        <v>12</v>
      </c>
      <c r="O50" s="114"/>
      <c r="P50" s="114" t="s">
        <v>12</v>
      </c>
      <c r="Q50" s="114"/>
      <c r="R50" s="114" t="s">
        <v>12</v>
      </c>
      <c r="S50" s="114"/>
      <c r="T50" s="114" t="s">
        <v>12</v>
      </c>
      <c r="U50" s="114"/>
      <c r="V50" s="114" t="s">
        <v>12</v>
      </c>
      <c r="W50" s="114"/>
      <c r="X50" s="114" t="s">
        <v>12</v>
      </c>
      <c r="Y50" s="114"/>
      <c r="Z50" s="114" t="s">
        <v>12</v>
      </c>
      <c r="AA50" s="114"/>
      <c r="AB50" s="115" t="s">
        <v>12</v>
      </c>
      <c r="AC50" s="426"/>
    </row>
    <row r="51" spans="1:30" ht="24" customHeight="1" x14ac:dyDescent="0.25">
      <c r="A51" s="116" t="s">
        <v>225</v>
      </c>
      <c r="B51" s="117"/>
      <c r="C51" s="313">
        <v>16644.5</v>
      </c>
      <c r="D51" s="326">
        <f>((C51/1.056)/1000)*0.82</f>
        <v>12.924706439393937</v>
      </c>
      <c r="E51" s="313">
        <v>14915.8</v>
      </c>
      <c r="F51" s="326">
        <f>((E51/1.056)/1000)*0.82</f>
        <v>11.582344696969695</v>
      </c>
      <c r="G51" s="313">
        <v>12574.3</v>
      </c>
      <c r="H51" s="326">
        <f>((G51/1.056)/1000)*0.82</f>
        <v>9.7641344696969679</v>
      </c>
      <c r="I51" s="313">
        <v>6214.7</v>
      </c>
      <c r="J51" s="326">
        <f>((I51/1.056)/1000)*0.82</f>
        <v>4.8258087121212112</v>
      </c>
      <c r="K51" s="313">
        <v>3647.3</v>
      </c>
      <c r="L51" s="326">
        <f>((K51/1.056)/1000)*0.82</f>
        <v>2.8321837121212123</v>
      </c>
      <c r="M51" s="313">
        <v>2569.3000000000002</v>
      </c>
      <c r="N51" s="326">
        <f>((M51/1.056)/1000)*0.82</f>
        <v>1.9951003787878787</v>
      </c>
      <c r="O51" s="313">
        <v>3505.9</v>
      </c>
      <c r="P51" s="326">
        <f>((O51/1.056)/1000)*0.82</f>
        <v>2.7223844696969692</v>
      </c>
      <c r="Q51" s="313">
        <v>3178.8</v>
      </c>
      <c r="R51" s="326">
        <f>((Q51/1.056)/1000)*0.82</f>
        <v>2.4683863636363639</v>
      </c>
      <c r="S51" s="313">
        <v>4148.3</v>
      </c>
      <c r="T51" s="326">
        <f>((S51/1.056)/1000)*0.82</f>
        <v>3.2212178030303029</v>
      </c>
      <c r="U51" s="313">
        <v>5974.2</v>
      </c>
      <c r="V51" s="326">
        <f>((U51/1.056)/1000)*0.82</f>
        <v>4.6390568181818175</v>
      </c>
      <c r="W51" s="313">
        <v>9281.4</v>
      </c>
      <c r="X51" s="326">
        <f>((W51/1.056)/1000)*0.82</f>
        <v>7.2071477272727256</v>
      </c>
      <c r="Y51" s="313">
        <v>10560.1</v>
      </c>
      <c r="Z51" s="326">
        <f>((Y51/1.056)/1000)*0.82</f>
        <v>8.2000776515151514</v>
      </c>
      <c r="AA51" s="350">
        <f>SUM(C51,E51,G51,I51,K51,M51,O51,Q51,S51,U51,W51,Y51)</f>
        <v>93214.6</v>
      </c>
      <c r="AB51" s="121">
        <f t="shared" ref="AB51:AB62" si="3">SUM(D51,F51,H51,J51,L51,N51,P51,R51,T51,V51,X51,Z51)</f>
        <v>72.382549242424233</v>
      </c>
      <c r="AC51" s="119" t="s">
        <v>222</v>
      </c>
    </row>
    <row r="52" spans="1:30" ht="24" customHeight="1" x14ac:dyDescent="0.25">
      <c r="A52" s="116" t="s">
        <v>226</v>
      </c>
      <c r="B52" s="120"/>
      <c r="C52" s="314">
        <v>4935.7389999999996</v>
      </c>
      <c r="D52" s="327">
        <f>((C52/1.056)/1000)*0.82</f>
        <v>3.8326761174242412</v>
      </c>
      <c r="E52" s="314">
        <v>3272.2449999999999</v>
      </c>
      <c r="F52" s="327">
        <f>((E52/1.056)/1000)*0.82</f>
        <v>2.5409478219696968</v>
      </c>
      <c r="G52" s="314">
        <v>2297.4389999999999</v>
      </c>
      <c r="H52" s="327">
        <f>((G52/1.056)/1000)*0.82</f>
        <v>1.783996193181818</v>
      </c>
      <c r="I52" s="314">
        <v>1215.646</v>
      </c>
      <c r="J52" s="327">
        <f>((I52/1.056)/1000)*0.82</f>
        <v>0.94396753787878784</v>
      </c>
      <c r="K52" s="314">
        <v>600.29200000000003</v>
      </c>
      <c r="L52" s="327">
        <f>((K52/1.056)/1000)*0.82</f>
        <v>0.46613583333333336</v>
      </c>
      <c r="M52" s="104">
        <v>291.745</v>
      </c>
      <c r="N52" s="327">
        <f>((M52/1.056)/1000)*0.82</f>
        <v>0.22654441287878788</v>
      </c>
      <c r="O52" s="104">
        <v>183.654</v>
      </c>
      <c r="P52" s="327">
        <f>((O52/1.056)/1000)*0.82</f>
        <v>0.14261011363636361</v>
      </c>
      <c r="Q52" s="104">
        <v>280.14800000000002</v>
      </c>
      <c r="R52" s="327">
        <f>((Q52/1.056)/1000)*0.82</f>
        <v>0.21753916666666667</v>
      </c>
      <c r="S52" s="314">
        <v>443.46600000000001</v>
      </c>
      <c r="T52" s="327">
        <f>((S52/1.056)/1000)*0.82</f>
        <v>0.34435806818181813</v>
      </c>
      <c r="U52" s="314">
        <v>1084.9760000000001</v>
      </c>
      <c r="V52" s="327">
        <f>((U52/1.056)/1000)*0.82</f>
        <v>0.84250030303030299</v>
      </c>
      <c r="W52" s="314">
        <v>3179.7069999999999</v>
      </c>
      <c r="X52" s="327">
        <f>((W52/1.056)/1000)*0.82</f>
        <v>2.4690906628787879</v>
      </c>
      <c r="Y52" s="314">
        <v>4147.9470000000001</v>
      </c>
      <c r="Z52" s="327">
        <f>((Y52/1.056)/1000)*0.82</f>
        <v>3.2209436931818178</v>
      </c>
      <c r="AA52" s="351">
        <f t="shared" ref="AA52:AA62" si="4">SUM(C52,E52,G52,I52,K52,M52,O52,Q52,S52,U52,W52,Y52)</f>
        <v>21933.004000000001</v>
      </c>
      <c r="AB52" s="121">
        <f t="shared" si="3"/>
        <v>17.031309924242422</v>
      </c>
      <c r="AC52" s="119" t="s">
        <v>222</v>
      </c>
    </row>
    <row r="53" spans="1:30" ht="24" customHeight="1" x14ac:dyDescent="0.25">
      <c r="A53" s="102" t="s">
        <v>227</v>
      </c>
      <c r="B53" s="120"/>
      <c r="C53" s="314">
        <v>0.22500000000000001</v>
      </c>
      <c r="D53" s="327">
        <f>(C53*0.85)*1.08</f>
        <v>0.20655000000000001</v>
      </c>
      <c r="E53" s="314">
        <v>0.185</v>
      </c>
      <c r="F53" s="327">
        <f>(E53*0.85)*1.08</f>
        <v>0.16983000000000001</v>
      </c>
      <c r="G53" s="104">
        <v>0.16400000000000001</v>
      </c>
      <c r="H53" s="327">
        <f>(G53*0.85)*1.08</f>
        <v>0.15055200000000002</v>
      </c>
      <c r="I53" s="104">
        <v>0.22800000000000001</v>
      </c>
      <c r="J53" s="327">
        <f>(I53*0.85)*1.08</f>
        <v>0.20930400000000002</v>
      </c>
      <c r="K53" s="104">
        <v>0.20300000000000001</v>
      </c>
      <c r="L53" s="327">
        <f>(K53*0.85)*1.08</f>
        <v>0.18635400000000002</v>
      </c>
      <c r="M53" s="104">
        <v>6.7000000000000004E-2</v>
      </c>
      <c r="N53" s="327">
        <f>(M53*0.85)*1.08</f>
        <v>6.1506000000000005E-2</v>
      </c>
      <c r="O53" s="104">
        <v>0.25900000000000001</v>
      </c>
      <c r="P53" s="327">
        <f>(O53*0.85)*1.08</f>
        <v>0.23776200000000003</v>
      </c>
      <c r="Q53" s="104">
        <v>0.193</v>
      </c>
      <c r="R53" s="327">
        <f>(Q53*0.85)*1.08</f>
        <v>0.17717400000000003</v>
      </c>
      <c r="S53" s="104">
        <v>0.188</v>
      </c>
      <c r="T53" s="327">
        <f>(S53*0.85)*1.08</f>
        <v>0.17258400000000002</v>
      </c>
      <c r="U53" s="104">
        <v>0.29899999999999999</v>
      </c>
      <c r="V53" s="327">
        <f>(U53*0.85)*1.08</f>
        <v>0.274482</v>
      </c>
      <c r="W53" s="104">
        <v>0.23400000000000001</v>
      </c>
      <c r="X53" s="327">
        <f>(W53*0.85)*1.08</f>
        <v>0.214812</v>
      </c>
      <c r="Y53" s="104">
        <v>0.27700000000000002</v>
      </c>
      <c r="Z53" s="327">
        <f>(Y53*0.85)*1.08</f>
        <v>0.25428600000000001</v>
      </c>
      <c r="AA53" s="110">
        <f t="shared" si="4"/>
        <v>2.5220000000000002</v>
      </c>
      <c r="AB53" s="121">
        <f t="shared" si="3"/>
        <v>2.3151959999999998</v>
      </c>
      <c r="AC53" s="119" t="s">
        <v>222</v>
      </c>
    </row>
    <row r="54" spans="1:30" ht="18" customHeight="1" x14ac:dyDescent="0.25">
      <c r="A54" s="102"/>
      <c r="B54" s="120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10">
        <f t="shared" si="4"/>
        <v>0</v>
      </c>
      <c r="AB54" s="121">
        <f t="shared" si="3"/>
        <v>0</v>
      </c>
      <c r="AC54" s="119"/>
    </row>
    <row r="55" spans="1:30" ht="18" customHeight="1" x14ac:dyDescent="0.25">
      <c r="A55" s="102"/>
      <c r="B55" s="120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10">
        <f t="shared" si="4"/>
        <v>0</v>
      </c>
      <c r="AB55" s="121">
        <f t="shared" si="3"/>
        <v>0</v>
      </c>
      <c r="AC55" s="119"/>
    </row>
    <row r="56" spans="1:30" ht="18" customHeight="1" x14ac:dyDescent="0.25">
      <c r="A56" s="102"/>
      <c r="B56" s="120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10">
        <f t="shared" si="4"/>
        <v>0</v>
      </c>
      <c r="AB56" s="121">
        <f t="shared" si="3"/>
        <v>0</v>
      </c>
      <c r="AC56" s="119"/>
    </row>
    <row r="57" spans="1:30" ht="18" customHeight="1" x14ac:dyDescent="0.25">
      <c r="A57" s="102"/>
      <c r="B57" s="120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10">
        <f t="shared" si="4"/>
        <v>0</v>
      </c>
      <c r="AB57" s="121">
        <f t="shared" si="3"/>
        <v>0</v>
      </c>
      <c r="AC57" s="119"/>
    </row>
    <row r="58" spans="1:30" ht="18" customHeight="1" x14ac:dyDescent="0.25">
      <c r="A58" s="102"/>
      <c r="B58" s="120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10">
        <f t="shared" si="4"/>
        <v>0</v>
      </c>
      <c r="AB58" s="121">
        <f t="shared" si="3"/>
        <v>0</v>
      </c>
      <c r="AC58" s="119"/>
    </row>
    <row r="59" spans="1:30" ht="18" customHeight="1" x14ac:dyDescent="0.25">
      <c r="A59" s="102"/>
      <c r="B59" s="120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10">
        <f t="shared" si="4"/>
        <v>0</v>
      </c>
      <c r="AB59" s="121">
        <f t="shared" si="3"/>
        <v>0</v>
      </c>
      <c r="AC59" s="119"/>
    </row>
    <row r="60" spans="1:30" ht="18" customHeight="1" x14ac:dyDescent="0.25">
      <c r="A60" s="102"/>
      <c r="B60" s="120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10">
        <f t="shared" si="4"/>
        <v>0</v>
      </c>
      <c r="AB60" s="121">
        <f t="shared" si="3"/>
        <v>0</v>
      </c>
      <c r="AC60" s="119"/>
    </row>
    <row r="61" spans="1:30" ht="20.100000000000001" customHeight="1" x14ac:dyDescent="0.25">
      <c r="A61" s="107"/>
      <c r="B61" s="12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110">
        <f t="shared" si="4"/>
        <v>0</v>
      </c>
      <c r="AB61" s="121">
        <f t="shared" si="3"/>
        <v>0</v>
      </c>
      <c r="AC61" s="119"/>
    </row>
    <row r="62" spans="1:30" ht="20.100000000000001" customHeight="1" thickBot="1" x14ac:dyDescent="0.3">
      <c r="A62" s="108"/>
      <c r="B62" s="123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110">
        <f t="shared" si="4"/>
        <v>0</v>
      </c>
      <c r="AB62" s="121">
        <f t="shared" si="3"/>
        <v>0</v>
      </c>
      <c r="AC62" s="124"/>
    </row>
    <row r="63" spans="1:30" ht="43.5" customHeight="1" thickBot="1" x14ac:dyDescent="0.3">
      <c r="AC63" s="112">
        <f>SUM(AB51:AB62)</f>
        <v>91.729055166666654</v>
      </c>
      <c r="AD63" s="113" t="s">
        <v>152</v>
      </c>
    </row>
    <row r="64" spans="1:30" ht="13.8" thickBot="1" x14ac:dyDescent="0.3"/>
    <row r="65" spans="1:8" ht="40.5" customHeight="1" thickBot="1" x14ac:dyDescent="0.3">
      <c r="A65" s="113" t="s">
        <v>97</v>
      </c>
      <c r="B65" s="112">
        <f>SUM(AA42,AC63)</f>
        <v>1046.8648411666668</v>
      </c>
    </row>
    <row r="69" spans="1:8" ht="66.75" customHeight="1" x14ac:dyDescent="0.25"/>
    <row r="74" spans="1:8" x14ac:dyDescent="0.25">
      <c r="H74" s="125"/>
    </row>
  </sheetData>
  <mergeCells count="67">
    <mergeCell ref="AC49:AC50"/>
    <mergeCell ref="B48:B50"/>
    <mergeCell ref="C49:D49"/>
    <mergeCell ref="E49:F49"/>
    <mergeCell ref="G49:H49"/>
    <mergeCell ref="I49:J49"/>
    <mergeCell ref="W49:X49"/>
    <mergeCell ref="O48:P48"/>
    <mergeCell ref="Y48:Z48"/>
    <mergeCell ref="AA48:AB48"/>
    <mergeCell ref="AA49:AB49"/>
    <mergeCell ref="S48:T48"/>
    <mergeCell ref="U48:V48"/>
    <mergeCell ref="W48:X48"/>
    <mergeCell ref="S49:T49"/>
    <mergeCell ref="U49:V49"/>
    <mergeCell ref="Y49:Z49"/>
    <mergeCell ref="N27:O27"/>
    <mergeCell ref="A45:N45"/>
    <mergeCell ref="A43:N43"/>
    <mergeCell ref="D28:E28"/>
    <mergeCell ref="L28:M28"/>
    <mergeCell ref="N28:O28"/>
    <mergeCell ref="A27:A29"/>
    <mergeCell ref="J27:K27"/>
    <mergeCell ref="B28:C28"/>
    <mergeCell ref="D27:E27"/>
    <mergeCell ref="A48:A50"/>
    <mergeCell ref="E48:F48"/>
    <mergeCell ref="G48:H48"/>
    <mergeCell ref="C48:D48"/>
    <mergeCell ref="Q49:R49"/>
    <mergeCell ref="M49:N49"/>
    <mergeCell ref="K49:L49"/>
    <mergeCell ref="I48:J48"/>
    <mergeCell ref="Q48:R48"/>
    <mergeCell ref="M48:N48"/>
    <mergeCell ref="K48:L48"/>
    <mergeCell ref="O49:P49"/>
    <mergeCell ref="AB28:AB29"/>
    <mergeCell ref="Z27:AA27"/>
    <mergeCell ref="Z28:AA28"/>
    <mergeCell ref="T28:U28"/>
    <mergeCell ref="T27:U27"/>
    <mergeCell ref="V27:W27"/>
    <mergeCell ref="X27:Y27"/>
    <mergeCell ref="X28:Y28"/>
    <mergeCell ref="V28:W28"/>
    <mergeCell ref="F27:G27"/>
    <mergeCell ref="B27:C27"/>
    <mergeCell ref="H28:I28"/>
    <mergeCell ref="J28:K28"/>
    <mergeCell ref="A1:N1"/>
    <mergeCell ref="A3:N3"/>
    <mergeCell ref="A7:A8"/>
    <mergeCell ref="A5:N5"/>
    <mergeCell ref="N7:N8"/>
    <mergeCell ref="A24:N24"/>
    <mergeCell ref="A22:N22"/>
    <mergeCell ref="F28:G28"/>
    <mergeCell ref="L27:M27"/>
    <mergeCell ref="H27:I27"/>
    <mergeCell ref="O7:O8"/>
    <mergeCell ref="R28:S28"/>
    <mergeCell ref="P28:Q28"/>
    <mergeCell ref="R27:S27"/>
    <mergeCell ref="P27:Q27"/>
  </mergeCells>
  <phoneticPr fontId="0" type="noConversion"/>
  <pageMargins left="0.75" right="0.75" top="1" bottom="1" header="0.5" footer="0.5"/>
  <pageSetup paperSize="8" scale="8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305"/>
  <sheetViews>
    <sheetView topLeftCell="A21" zoomScale="75" zoomScaleNormal="75" workbookViewId="0">
      <selection activeCell="E81" sqref="E81"/>
    </sheetView>
  </sheetViews>
  <sheetFormatPr defaultColWidth="9.109375" defaultRowHeight="13.2" x14ac:dyDescent="0.25"/>
  <cols>
    <col min="1" max="1" width="42.33203125" style="31" customWidth="1"/>
    <col min="2" max="2" width="18.44140625" style="31" customWidth="1"/>
    <col min="3" max="3" width="20.6640625" style="31" customWidth="1"/>
    <col min="4" max="4" width="18.44140625" style="31" customWidth="1"/>
    <col min="5" max="5" width="18" style="31" customWidth="1"/>
    <col min="6" max="6" width="17.5546875" style="31" customWidth="1"/>
    <col min="7" max="7" width="14.6640625" style="31" customWidth="1"/>
    <col min="8" max="8" width="18" style="31" customWidth="1"/>
    <col min="9" max="9" width="17.88671875" style="31" customWidth="1"/>
    <col min="10" max="10" width="18.5546875" style="31" customWidth="1"/>
    <col min="11" max="11" width="18" style="31" customWidth="1"/>
    <col min="12" max="12" width="17.5546875" style="31" customWidth="1"/>
    <col min="13" max="13" width="14.6640625" style="31" customWidth="1"/>
    <col min="14" max="14" width="18" style="31" customWidth="1"/>
    <col min="15" max="15" width="17.88671875" style="31" customWidth="1"/>
    <col min="16" max="16" width="16.33203125" style="31" customWidth="1"/>
    <col min="17" max="17" width="19.5546875" style="31" customWidth="1"/>
    <col min="18" max="18" width="16.33203125" style="31" customWidth="1"/>
    <col min="19" max="19" width="11.88671875" style="31" customWidth="1"/>
    <col min="20" max="20" width="10.88671875" style="31" customWidth="1"/>
    <col min="21" max="16384" width="9.109375" style="31"/>
  </cols>
  <sheetData>
    <row r="2" spans="1:15" ht="15" x14ac:dyDescent="0.25">
      <c r="A2" s="401" t="s">
        <v>15</v>
      </c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</row>
    <row r="3" spans="1:15" ht="15" x14ac:dyDescent="0.25">
      <c r="A3" s="48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15" ht="15" x14ac:dyDescent="0.25">
      <c r="A4" s="401" t="s">
        <v>25</v>
      </c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</row>
    <row r="5" spans="1:15" x14ac:dyDescent="0.2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</row>
    <row r="6" spans="1:15" ht="20.100000000000001" customHeight="1" thickBot="1" x14ac:dyDescent="0.3">
      <c r="A6" s="34" t="s">
        <v>27</v>
      </c>
      <c r="C6" s="125"/>
      <c r="D6" s="125"/>
      <c r="E6" s="125"/>
      <c r="F6" s="125"/>
      <c r="G6" s="125"/>
      <c r="H6" s="125"/>
      <c r="I6" s="125"/>
      <c r="J6" s="125"/>
      <c r="M6" s="47"/>
    </row>
    <row r="7" spans="1:15" ht="51" customHeight="1" thickBot="1" x14ac:dyDescent="0.3">
      <c r="A7" s="131" t="s">
        <v>3</v>
      </c>
      <c r="B7" s="131" t="s">
        <v>26</v>
      </c>
      <c r="C7" s="132" t="s">
        <v>28</v>
      </c>
      <c r="D7" s="368"/>
      <c r="E7" s="368"/>
      <c r="F7" s="368"/>
      <c r="G7" s="368"/>
      <c r="H7" s="368"/>
      <c r="I7" s="368"/>
      <c r="J7" s="47"/>
    </row>
    <row r="8" spans="1:15" ht="20.100000000000001" customHeight="1" x14ac:dyDescent="0.25">
      <c r="A8" s="133" t="s">
        <v>228</v>
      </c>
      <c r="B8" s="134">
        <v>250</v>
      </c>
      <c r="C8" s="135">
        <v>10</v>
      </c>
      <c r="J8" s="47"/>
    </row>
    <row r="9" spans="1:15" ht="20.100000000000001" customHeight="1" x14ac:dyDescent="0.25">
      <c r="A9" s="288" t="s">
        <v>231</v>
      </c>
      <c r="B9" s="289">
        <v>300</v>
      </c>
      <c r="C9" s="290">
        <v>7</v>
      </c>
      <c r="J9" s="47"/>
    </row>
    <row r="10" spans="1:15" ht="20.100000000000001" customHeight="1" x14ac:dyDescent="0.25">
      <c r="A10" s="291" t="s">
        <v>230</v>
      </c>
      <c r="B10" s="292">
        <v>300</v>
      </c>
      <c r="C10" s="293">
        <v>24</v>
      </c>
      <c r="J10" s="47"/>
    </row>
    <row r="11" spans="1:15" ht="20.100000000000001" customHeight="1" x14ac:dyDescent="0.25">
      <c r="A11" s="291" t="s">
        <v>229</v>
      </c>
      <c r="B11" s="292">
        <v>300</v>
      </c>
      <c r="C11" s="293">
        <v>24</v>
      </c>
      <c r="J11" s="47"/>
    </row>
    <row r="12" spans="1:15" ht="20.100000000000001" customHeight="1" x14ac:dyDescent="0.25">
      <c r="A12" s="291" t="s">
        <v>232</v>
      </c>
      <c r="B12" s="292">
        <v>300</v>
      </c>
      <c r="C12" s="293">
        <v>24</v>
      </c>
      <c r="J12" s="47"/>
    </row>
    <row r="13" spans="1:15" ht="20.100000000000001" customHeight="1" x14ac:dyDescent="0.25">
      <c r="A13" s="291" t="s">
        <v>233</v>
      </c>
      <c r="B13" s="292">
        <v>300</v>
      </c>
      <c r="C13" s="293">
        <v>24</v>
      </c>
      <c r="J13" s="47"/>
    </row>
    <row r="14" spans="1:15" ht="20.100000000000001" customHeight="1" x14ac:dyDescent="0.25">
      <c r="A14" s="291" t="s">
        <v>360</v>
      </c>
      <c r="B14" s="292">
        <v>300</v>
      </c>
      <c r="C14" s="293">
        <v>24</v>
      </c>
      <c r="J14" s="47"/>
    </row>
    <row r="15" spans="1:15" ht="20.100000000000001" customHeight="1" x14ac:dyDescent="0.25">
      <c r="A15" s="285" t="s">
        <v>234</v>
      </c>
      <c r="B15" s="286">
        <v>300</v>
      </c>
      <c r="C15" s="287">
        <v>24</v>
      </c>
      <c r="J15" s="47"/>
    </row>
    <row r="16" spans="1:15" ht="20.100000000000001" customHeight="1" x14ac:dyDescent="0.25">
      <c r="A16" s="288" t="s">
        <v>235</v>
      </c>
      <c r="B16" s="289">
        <v>300</v>
      </c>
      <c r="C16" s="290">
        <v>24</v>
      </c>
      <c r="J16" s="47"/>
    </row>
    <row r="17" spans="1:15" ht="20.100000000000001" customHeight="1" x14ac:dyDescent="0.25">
      <c r="A17" s="294" t="s">
        <v>236</v>
      </c>
      <c r="B17" s="295">
        <v>300</v>
      </c>
      <c r="C17" s="296">
        <v>24</v>
      </c>
      <c r="J17" s="47"/>
    </row>
    <row r="18" spans="1:15" ht="20.100000000000001" customHeight="1" x14ac:dyDescent="0.25">
      <c r="A18" s="294" t="s">
        <v>237</v>
      </c>
      <c r="B18" s="295">
        <v>300</v>
      </c>
      <c r="C18" s="296">
        <v>24</v>
      </c>
      <c r="J18" s="47"/>
    </row>
    <row r="19" spans="1:15" ht="20.100000000000001" customHeight="1" x14ac:dyDescent="0.25">
      <c r="A19" s="294" t="s">
        <v>238</v>
      </c>
      <c r="B19" s="295">
        <v>300</v>
      </c>
      <c r="C19" s="296">
        <v>24</v>
      </c>
      <c r="J19" s="47"/>
    </row>
    <row r="20" spans="1:15" ht="20.100000000000001" customHeight="1" x14ac:dyDescent="0.25">
      <c r="A20" s="294" t="s">
        <v>239</v>
      </c>
      <c r="B20" s="295">
        <v>250</v>
      </c>
      <c r="C20" s="296">
        <v>10</v>
      </c>
      <c r="J20" s="47"/>
    </row>
    <row r="21" spans="1:15" ht="20.100000000000001" customHeight="1" x14ac:dyDescent="0.25">
      <c r="A21" s="291" t="s">
        <v>240</v>
      </c>
      <c r="B21" s="292">
        <v>300</v>
      </c>
      <c r="C21" s="293">
        <v>24</v>
      </c>
      <c r="J21" s="47"/>
    </row>
    <row r="22" spans="1:15" ht="20.100000000000001" customHeight="1" x14ac:dyDescent="0.25">
      <c r="A22" s="291" t="s">
        <v>361</v>
      </c>
      <c r="B22" s="292">
        <v>300</v>
      </c>
      <c r="C22" s="293">
        <v>24</v>
      </c>
      <c r="J22" s="47"/>
    </row>
    <row r="23" spans="1:15" ht="20.100000000000001" customHeight="1" x14ac:dyDescent="0.25">
      <c r="A23" s="297" t="s">
        <v>241</v>
      </c>
      <c r="B23" s="435">
        <v>300</v>
      </c>
      <c r="C23" s="438">
        <v>10</v>
      </c>
      <c r="D23" s="369"/>
      <c r="E23" s="369"/>
      <c r="F23" s="369"/>
      <c r="G23" s="369"/>
      <c r="H23" s="369"/>
      <c r="I23" s="369"/>
      <c r="J23" s="47"/>
    </row>
    <row r="24" spans="1:15" ht="20.100000000000001" customHeight="1" x14ac:dyDescent="0.25">
      <c r="A24" s="288" t="s">
        <v>242</v>
      </c>
      <c r="B24" s="436"/>
      <c r="C24" s="439"/>
      <c r="D24" s="370"/>
      <c r="E24" s="370"/>
      <c r="F24" s="370"/>
      <c r="G24" s="370"/>
      <c r="H24" s="370"/>
      <c r="I24" s="370"/>
      <c r="J24" s="47"/>
    </row>
    <row r="25" spans="1:15" ht="20.100000000000001" customHeight="1" x14ac:dyDescent="0.25">
      <c r="A25" s="291" t="s">
        <v>243</v>
      </c>
      <c r="B25" s="436"/>
      <c r="C25" s="439"/>
      <c r="D25" s="370"/>
      <c r="E25" s="370"/>
      <c r="F25" s="370"/>
      <c r="G25" s="370"/>
      <c r="H25" s="370"/>
      <c r="I25" s="370"/>
      <c r="J25" s="47"/>
    </row>
    <row r="26" spans="1:15" ht="20.100000000000001" customHeight="1" thickBot="1" x14ac:dyDescent="0.3">
      <c r="A26" s="136" t="s">
        <v>244</v>
      </c>
      <c r="B26" s="437"/>
      <c r="C26" s="440"/>
      <c r="D26" s="370"/>
      <c r="E26" s="370"/>
      <c r="F26" s="370"/>
      <c r="G26" s="370"/>
      <c r="H26" s="370"/>
      <c r="I26" s="370"/>
      <c r="J26" s="47"/>
    </row>
    <row r="27" spans="1:15" ht="20.100000000000001" customHeight="1" x14ac:dyDescent="0.25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9"/>
    </row>
    <row r="28" spans="1:15" ht="20.100000000000001" customHeight="1" thickBot="1" x14ac:dyDescent="0.3">
      <c r="B28" s="137"/>
      <c r="C28" s="137"/>
      <c r="D28" s="137"/>
      <c r="E28" s="137"/>
      <c r="F28" s="137"/>
      <c r="G28" s="137"/>
      <c r="H28" s="137"/>
      <c r="I28" s="137"/>
    </row>
    <row r="29" spans="1:15" ht="20.100000000000001" customHeight="1" thickBot="1" x14ac:dyDescent="0.3">
      <c r="A29" s="34" t="s">
        <v>245</v>
      </c>
      <c r="B29" s="34"/>
      <c r="C29" s="34"/>
      <c r="D29" s="441" t="s">
        <v>387</v>
      </c>
      <c r="E29" s="442"/>
      <c r="F29" s="442"/>
      <c r="G29" s="442"/>
      <c r="H29" s="442"/>
      <c r="I29" s="442"/>
      <c r="J29" s="441" t="s">
        <v>388</v>
      </c>
      <c r="K29" s="442"/>
      <c r="L29" s="442"/>
      <c r="M29" s="442"/>
      <c r="N29" s="442"/>
      <c r="O29" s="442"/>
    </row>
    <row r="30" spans="1:15" ht="93" customHeight="1" x14ac:dyDescent="0.25">
      <c r="A30" s="82" t="s">
        <v>3</v>
      </c>
      <c r="B30" s="83" t="s">
        <v>100</v>
      </c>
      <c r="C30" s="239" t="s">
        <v>156</v>
      </c>
      <c r="D30" s="255" t="s">
        <v>180</v>
      </c>
      <c r="E30" s="83" t="s">
        <v>101</v>
      </c>
      <c r="F30" s="83" t="s">
        <v>17</v>
      </c>
      <c r="G30" s="83" t="s">
        <v>87</v>
      </c>
      <c r="H30" s="83" t="s">
        <v>17</v>
      </c>
      <c r="I30" s="83" t="s">
        <v>29</v>
      </c>
      <c r="J30" s="255" t="s">
        <v>180</v>
      </c>
      <c r="K30" s="83" t="s">
        <v>101</v>
      </c>
      <c r="L30" s="83" t="s">
        <v>17</v>
      </c>
      <c r="M30" s="83" t="s">
        <v>87</v>
      </c>
      <c r="N30" s="83" t="s">
        <v>17</v>
      </c>
      <c r="O30" s="83" t="s">
        <v>29</v>
      </c>
    </row>
    <row r="31" spans="1:15" ht="20.100000000000001" customHeight="1" x14ac:dyDescent="0.25">
      <c r="A31" s="431" t="s">
        <v>228</v>
      </c>
      <c r="B31" s="152" t="s">
        <v>246</v>
      </c>
      <c r="C31" s="64">
        <v>5</v>
      </c>
      <c r="D31" s="433">
        <v>17400</v>
      </c>
      <c r="E31" s="139">
        <f>($D$31*G31*$B$8*$C$8)/(1000000)</f>
        <v>41.325000000000003</v>
      </c>
      <c r="F31" s="139" t="s">
        <v>102</v>
      </c>
      <c r="G31" s="87">
        <v>0.95</v>
      </c>
      <c r="H31" s="87" t="s">
        <v>103</v>
      </c>
      <c r="I31" s="140">
        <f>(G31/C31)*100</f>
        <v>19</v>
      </c>
      <c r="J31" s="433"/>
      <c r="K31" s="139">
        <f t="shared" ref="K31:K36" si="0">($J$31*M31*$B$8*$C$8)/(1000000)</f>
        <v>0</v>
      </c>
      <c r="L31" s="139" t="s">
        <v>102</v>
      </c>
      <c r="M31" s="87"/>
      <c r="N31" s="87" t="s">
        <v>103</v>
      </c>
      <c r="O31" s="140">
        <f t="shared" ref="O31:O42" si="1">(M31/C31)*100</f>
        <v>0</v>
      </c>
    </row>
    <row r="32" spans="1:15" ht="20.100000000000001" customHeight="1" x14ac:dyDescent="0.25">
      <c r="A32" s="431"/>
      <c r="B32" s="152"/>
      <c r="C32" s="64"/>
      <c r="D32" s="434"/>
      <c r="E32" s="139">
        <f t="shared" ref="E32:E36" si="2">($J$31*G32*$B$8*$C$8)/(1000000)</f>
        <v>0</v>
      </c>
      <c r="F32" s="139" t="s">
        <v>102</v>
      </c>
      <c r="G32" s="87"/>
      <c r="H32" s="87" t="s">
        <v>103</v>
      </c>
      <c r="I32" s="140" t="e">
        <f t="shared" ref="I32" si="3">(G32/#REF!)*100</f>
        <v>#REF!</v>
      </c>
      <c r="J32" s="434"/>
      <c r="K32" s="139">
        <f t="shared" si="0"/>
        <v>0</v>
      </c>
      <c r="L32" s="139" t="s">
        <v>102</v>
      </c>
      <c r="M32" s="87"/>
      <c r="N32" s="87" t="s">
        <v>103</v>
      </c>
      <c r="O32" s="140" t="e">
        <f t="shared" si="1"/>
        <v>#DIV/0!</v>
      </c>
    </row>
    <row r="33" spans="1:15" ht="20.100000000000001" customHeight="1" x14ac:dyDescent="0.25">
      <c r="A33" s="431"/>
      <c r="B33" s="62"/>
      <c r="C33" s="64"/>
      <c r="D33" s="434"/>
      <c r="E33" s="139">
        <f t="shared" si="2"/>
        <v>0</v>
      </c>
      <c r="F33" s="139" t="s">
        <v>102</v>
      </c>
      <c r="G33" s="87"/>
      <c r="H33" s="87" t="s">
        <v>103</v>
      </c>
      <c r="I33" s="140" t="e">
        <f t="shared" ref="I33" si="4">(G33/#REF!)*100</f>
        <v>#REF!</v>
      </c>
      <c r="J33" s="434"/>
      <c r="K33" s="139">
        <f t="shared" si="0"/>
        <v>0</v>
      </c>
      <c r="L33" s="139" t="s">
        <v>102</v>
      </c>
      <c r="M33" s="87"/>
      <c r="N33" s="87" t="s">
        <v>103</v>
      </c>
      <c r="O33" s="140" t="e">
        <f t="shared" si="1"/>
        <v>#DIV/0!</v>
      </c>
    </row>
    <row r="34" spans="1:15" ht="19.5" customHeight="1" x14ac:dyDescent="0.25">
      <c r="A34" s="431"/>
      <c r="B34" s="62"/>
      <c r="C34" s="64"/>
      <c r="D34" s="434"/>
      <c r="E34" s="139">
        <f t="shared" si="2"/>
        <v>0</v>
      </c>
      <c r="F34" s="139" t="s">
        <v>102</v>
      </c>
      <c r="G34" s="87"/>
      <c r="H34" s="87" t="s">
        <v>103</v>
      </c>
      <c r="I34" s="140" t="e">
        <f t="shared" ref="I34" si="5">(G34/#REF!)*100</f>
        <v>#REF!</v>
      </c>
      <c r="J34" s="434"/>
      <c r="K34" s="139">
        <f t="shared" si="0"/>
        <v>0</v>
      </c>
      <c r="L34" s="139" t="s">
        <v>102</v>
      </c>
      <c r="M34" s="87"/>
      <c r="N34" s="87" t="s">
        <v>103</v>
      </c>
      <c r="O34" s="140" t="e">
        <f t="shared" si="1"/>
        <v>#DIV/0!</v>
      </c>
    </row>
    <row r="35" spans="1:15" ht="24" customHeight="1" x14ac:dyDescent="0.25">
      <c r="A35" s="431"/>
      <c r="B35" s="62"/>
      <c r="C35" s="64"/>
      <c r="D35" s="434"/>
      <c r="E35" s="139">
        <f t="shared" si="2"/>
        <v>0</v>
      </c>
      <c r="F35" s="139" t="s">
        <v>102</v>
      </c>
      <c r="G35" s="87"/>
      <c r="H35" s="87" t="s">
        <v>103</v>
      </c>
      <c r="I35" s="140" t="e">
        <f t="shared" ref="I35" si="6">(G35/#REF!)*100</f>
        <v>#REF!</v>
      </c>
      <c r="J35" s="434"/>
      <c r="K35" s="139">
        <f t="shared" si="0"/>
        <v>0</v>
      </c>
      <c r="L35" s="139" t="s">
        <v>102</v>
      </c>
      <c r="M35" s="87"/>
      <c r="N35" s="87" t="s">
        <v>103</v>
      </c>
      <c r="O35" s="140" t="e">
        <f t="shared" si="1"/>
        <v>#DIV/0!</v>
      </c>
    </row>
    <row r="36" spans="1:15" ht="24" customHeight="1" x14ac:dyDescent="0.25">
      <c r="A36" s="431"/>
      <c r="B36" s="62"/>
      <c r="C36" s="64"/>
      <c r="D36" s="434"/>
      <c r="E36" s="139">
        <f t="shared" si="2"/>
        <v>0</v>
      </c>
      <c r="F36" s="139" t="s">
        <v>102</v>
      </c>
      <c r="G36" s="87"/>
      <c r="H36" s="87" t="s">
        <v>103</v>
      </c>
      <c r="I36" s="140" t="e">
        <f t="shared" ref="I36" si="7">(G36/#REF!)*100</f>
        <v>#REF!</v>
      </c>
      <c r="J36" s="434"/>
      <c r="K36" s="139">
        <f t="shared" si="0"/>
        <v>0</v>
      </c>
      <c r="L36" s="139" t="s">
        <v>102</v>
      </c>
      <c r="M36" s="87"/>
      <c r="N36" s="87" t="s">
        <v>103</v>
      </c>
      <c r="O36" s="140" t="e">
        <f t="shared" si="1"/>
        <v>#DIV/0!</v>
      </c>
    </row>
    <row r="37" spans="1:15" ht="20.100000000000001" customHeight="1" x14ac:dyDescent="0.25">
      <c r="A37" s="431" t="s">
        <v>231</v>
      </c>
      <c r="B37" s="152" t="s">
        <v>246</v>
      </c>
      <c r="C37" s="64">
        <v>5</v>
      </c>
      <c r="D37" s="433">
        <v>2070</v>
      </c>
      <c r="E37" s="139">
        <f>($D$37*G37*$B$9*$C$9)/(1000000)</f>
        <v>0.52163999999999999</v>
      </c>
      <c r="F37" s="139" t="s">
        <v>102</v>
      </c>
      <c r="G37" s="87">
        <v>0.12</v>
      </c>
      <c r="H37" s="87" t="s">
        <v>103</v>
      </c>
      <c r="I37" s="140">
        <f>(G37/C37)*100</f>
        <v>2.4</v>
      </c>
      <c r="J37" s="433"/>
      <c r="K37" s="139">
        <f>($J$37*M37*$B$9*$C$9)/(1000000)</f>
        <v>0</v>
      </c>
      <c r="L37" s="139" t="s">
        <v>102</v>
      </c>
      <c r="M37" s="87"/>
      <c r="N37" s="87" t="s">
        <v>103</v>
      </c>
      <c r="O37" s="140">
        <f t="shared" si="1"/>
        <v>0</v>
      </c>
    </row>
    <row r="38" spans="1:15" ht="20.100000000000001" customHeight="1" x14ac:dyDescent="0.25">
      <c r="A38" s="431"/>
      <c r="B38" s="152"/>
      <c r="C38" s="64"/>
      <c r="D38" s="434"/>
      <c r="E38" s="139">
        <f t="shared" ref="E38:E100" si="8">($J$37*G38*$B$8*$C$8)/(1000000)</f>
        <v>0</v>
      </c>
      <c r="F38" s="139" t="s">
        <v>102</v>
      </c>
      <c r="G38" s="87"/>
      <c r="H38" s="87" t="s">
        <v>103</v>
      </c>
      <c r="I38" s="140" t="e">
        <f t="shared" ref="I38" si="9">(G38/#REF!)*100</f>
        <v>#REF!</v>
      </c>
      <c r="J38" s="434"/>
      <c r="K38" s="139">
        <f t="shared" ref="K38:K74" si="10">($J$37*M38*$B$8*$C$8)/(1000000)</f>
        <v>0</v>
      </c>
      <c r="L38" s="139" t="s">
        <v>102</v>
      </c>
      <c r="M38" s="87"/>
      <c r="N38" s="87" t="s">
        <v>103</v>
      </c>
      <c r="O38" s="140" t="e">
        <f t="shared" si="1"/>
        <v>#DIV/0!</v>
      </c>
    </row>
    <row r="39" spans="1:15" ht="20.100000000000001" customHeight="1" x14ac:dyDescent="0.25">
      <c r="A39" s="431"/>
      <c r="B39" s="62"/>
      <c r="C39" s="64"/>
      <c r="D39" s="434"/>
      <c r="E39" s="139">
        <f t="shared" si="8"/>
        <v>0</v>
      </c>
      <c r="F39" s="139" t="s">
        <v>102</v>
      </c>
      <c r="G39" s="87"/>
      <c r="H39" s="87" t="s">
        <v>103</v>
      </c>
      <c r="I39" s="140" t="e">
        <f t="shared" ref="I39" si="11">(G39/#REF!)*100</f>
        <v>#REF!</v>
      </c>
      <c r="J39" s="434"/>
      <c r="K39" s="139">
        <f t="shared" si="10"/>
        <v>0</v>
      </c>
      <c r="L39" s="139" t="s">
        <v>102</v>
      </c>
      <c r="M39" s="87"/>
      <c r="N39" s="87" t="s">
        <v>103</v>
      </c>
      <c r="O39" s="140" t="e">
        <f t="shared" si="1"/>
        <v>#DIV/0!</v>
      </c>
    </row>
    <row r="40" spans="1:15" ht="20.100000000000001" customHeight="1" x14ac:dyDescent="0.25">
      <c r="A40" s="431"/>
      <c r="B40" s="62"/>
      <c r="C40" s="64"/>
      <c r="D40" s="434"/>
      <c r="E40" s="139">
        <f t="shared" si="8"/>
        <v>0</v>
      </c>
      <c r="F40" s="139" t="s">
        <v>102</v>
      </c>
      <c r="G40" s="87"/>
      <c r="H40" s="87" t="s">
        <v>103</v>
      </c>
      <c r="I40" s="140" t="e">
        <f t="shared" ref="I40" si="12">(G40/#REF!)*100</f>
        <v>#REF!</v>
      </c>
      <c r="J40" s="434"/>
      <c r="K40" s="139">
        <f t="shared" si="10"/>
        <v>0</v>
      </c>
      <c r="L40" s="139" t="s">
        <v>102</v>
      </c>
      <c r="M40" s="87"/>
      <c r="N40" s="87" t="s">
        <v>103</v>
      </c>
      <c r="O40" s="140" t="e">
        <f t="shared" si="1"/>
        <v>#DIV/0!</v>
      </c>
    </row>
    <row r="41" spans="1:15" ht="20.100000000000001" customHeight="1" x14ac:dyDescent="0.25">
      <c r="A41" s="431"/>
      <c r="B41" s="62"/>
      <c r="C41" s="64"/>
      <c r="D41" s="434"/>
      <c r="E41" s="139">
        <f t="shared" si="8"/>
        <v>0</v>
      </c>
      <c r="F41" s="139" t="s">
        <v>102</v>
      </c>
      <c r="G41" s="87"/>
      <c r="H41" s="87" t="s">
        <v>103</v>
      </c>
      <c r="I41" s="140" t="e">
        <f t="shared" ref="I41" si="13">(G41/#REF!)*100</f>
        <v>#REF!</v>
      </c>
      <c r="J41" s="434"/>
      <c r="K41" s="139">
        <f t="shared" si="10"/>
        <v>0</v>
      </c>
      <c r="L41" s="139" t="s">
        <v>102</v>
      </c>
      <c r="M41" s="87"/>
      <c r="N41" s="87" t="s">
        <v>103</v>
      </c>
      <c r="O41" s="140" t="e">
        <f t="shared" si="1"/>
        <v>#DIV/0!</v>
      </c>
    </row>
    <row r="42" spans="1:15" ht="24" customHeight="1" x14ac:dyDescent="0.25">
      <c r="A42" s="432"/>
      <c r="B42" s="62"/>
      <c r="C42" s="64"/>
      <c r="D42" s="434"/>
      <c r="E42" s="139">
        <f t="shared" si="8"/>
        <v>0</v>
      </c>
      <c r="F42" s="139" t="s">
        <v>102</v>
      </c>
      <c r="G42" s="87"/>
      <c r="H42" s="87" t="s">
        <v>103</v>
      </c>
      <c r="I42" s="140" t="e">
        <f t="shared" ref="I42" si="14">(G42/#REF!)*100</f>
        <v>#REF!</v>
      </c>
      <c r="J42" s="434"/>
      <c r="K42" s="139">
        <f t="shared" si="10"/>
        <v>0</v>
      </c>
      <c r="L42" s="139" t="s">
        <v>102</v>
      </c>
      <c r="M42" s="87"/>
      <c r="N42" s="87" t="s">
        <v>103</v>
      </c>
      <c r="O42" s="140" t="e">
        <f t="shared" si="1"/>
        <v>#DIV/0!</v>
      </c>
    </row>
    <row r="43" spans="1:15" ht="20.100000000000001" customHeight="1" x14ac:dyDescent="0.25">
      <c r="A43" s="431" t="s">
        <v>230</v>
      </c>
      <c r="B43" s="152" t="s">
        <v>246</v>
      </c>
      <c r="C43" s="64">
        <v>5</v>
      </c>
      <c r="D43" s="433">
        <v>24200</v>
      </c>
      <c r="E43" s="139">
        <f>($D$43*G43*$B$10*$C$10)/(1000000)</f>
        <v>116.74080000000004</v>
      </c>
      <c r="F43" s="139" t="s">
        <v>102</v>
      </c>
      <c r="G43" s="87">
        <v>0.67</v>
      </c>
      <c r="H43" s="87" t="s">
        <v>103</v>
      </c>
      <c r="I43" s="140">
        <f>(G43/C43)*100</f>
        <v>13.4</v>
      </c>
      <c r="J43" s="433"/>
      <c r="K43" s="139">
        <f>($J$43*M43*$B$10*$C$10)/(1000000)</f>
        <v>0</v>
      </c>
      <c r="L43" s="139" t="s">
        <v>102</v>
      </c>
      <c r="M43" s="87"/>
      <c r="N43" s="87" t="s">
        <v>103</v>
      </c>
      <c r="O43" s="140">
        <f t="shared" ref="O43:O48" si="15">(M43/C43)*100</f>
        <v>0</v>
      </c>
    </row>
    <row r="44" spans="1:15" ht="20.100000000000001" customHeight="1" x14ac:dyDescent="0.25">
      <c r="A44" s="431"/>
      <c r="B44" s="152"/>
      <c r="C44" s="64"/>
      <c r="D44" s="434"/>
      <c r="E44" s="139">
        <f t="shared" si="8"/>
        <v>0</v>
      </c>
      <c r="F44" s="139" t="s">
        <v>102</v>
      </c>
      <c r="G44" s="87"/>
      <c r="H44" s="87" t="s">
        <v>103</v>
      </c>
      <c r="I44" s="140" t="e">
        <f t="shared" ref="I44" si="16">(G44/#REF!)*100</f>
        <v>#REF!</v>
      </c>
      <c r="J44" s="434"/>
      <c r="K44" s="139">
        <f t="shared" si="10"/>
        <v>0</v>
      </c>
      <c r="L44" s="139" t="s">
        <v>102</v>
      </c>
      <c r="M44" s="87"/>
      <c r="N44" s="87" t="s">
        <v>103</v>
      </c>
      <c r="O44" s="140" t="e">
        <f t="shared" si="15"/>
        <v>#DIV/0!</v>
      </c>
    </row>
    <row r="45" spans="1:15" ht="20.100000000000001" customHeight="1" x14ac:dyDescent="0.25">
      <c r="A45" s="431"/>
      <c r="B45" s="62"/>
      <c r="C45" s="64"/>
      <c r="D45" s="434"/>
      <c r="E45" s="139">
        <f t="shared" si="8"/>
        <v>0</v>
      </c>
      <c r="F45" s="139" t="s">
        <v>102</v>
      </c>
      <c r="G45" s="87"/>
      <c r="H45" s="87" t="s">
        <v>103</v>
      </c>
      <c r="I45" s="140" t="e">
        <f t="shared" ref="I45" si="17">(G45/#REF!)*100</f>
        <v>#REF!</v>
      </c>
      <c r="J45" s="434"/>
      <c r="K45" s="139">
        <f t="shared" si="10"/>
        <v>0</v>
      </c>
      <c r="L45" s="139" t="s">
        <v>102</v>
      </c>
      <c r="M45" s="87"/>
      <c r="N45" s="87" t="s">
        <v>103</v>
      </c>
      <c r="O45" s="140" t="e">
        <f t="shared" si="15"/>
        <v>#DIV/0!</v>
      </c>
    </row>
    <row r="46" spans="1:15" ht="20.100000000000001" customHeight="1" x14ac:dyDescent="0.25">
      <c r="A46" s="431"/>
      <c r="B46" s="62"/>
      <c r="C46" s="64"/>
      <c r="D46" s="434"/>
      <c r="E46" s="139">
        <f t="shared" si="8"/>
        <v>0</v>
      </c>
      <c r="F46" s="139" t="s">
        <v>102</v>
      </c>
      <c r="G46" s="87"/>
      <c r="H46" s="87" t="s">
        <v>103</v>
      </c>
      <c r="I46" s="140" t="e">
        <f t="shared" ref="I46" si="18">(G46/#REF!)*100</f>
        <v>#REF!</v>
      </c>
      <c r="J46" s="434"/>
      <c r="K46" s="139">
        <f t="shared" si="10"/>
        <v>0</v>
      </c>
      <c r="L46" s="139" t="s">
        <v>102</v>
      </c>
      <c r="M46" s="87"/>
      <c r="N46" s="87" t="s">
        <v>103</v>
      </c>
      <c r="O46" s="140" t="e">
        <f t="shared" si="15"/>
        <v>#DIV/0!</v>
      </c>
    </row>
    <row r="47" spans="1:15" ht="20.100000000000001" customHeight="1" x14ac:dyDescent="0.25">
      <c r="A47" s="431"/>
      <c r="B47" s="62"/>
      <c r="C47" s="64"/>
      <c r="D47" s="434"/>
      <c r="E47" s="139">
        <f t="shared" si="8"/>
        <v>0</v>
      </c>
      <c r="F47" s="139" t="s">
        <v>102</v>
      </c>
      <c r="G47" s="87"/>
      <c r="H47" s="87" t="s">
        <v>103</v>
      </c>
      <c r="I47" s="140" t="e">
        <f t="shared" ref="I47" si="19">(G47/#REF!)*100</f>
        <v>#REF!</v>
      </c>
      <c r="J47" s="434"/>
      <c r="K47" s="139">
        <f t="shared" si="10"/>
        <v>0</v>
      </c>
      <c r="L47" s="139" t="s">
        <v>102</v>
      </c>
      <c r="M47" s="87"/>
      <c r="N47" s="87" t="s">
        <v>103</v>
      </c>
      <c r="O47" s="140" t="e">
        <f t="shared" si="15"/>
        <v>#DIV/0!</v>
      </c>
    </row>
    <row r="48" spans="1:15" ht="20.100000000000001" customHeight="1" x14ac:dyDescent="0.25">
      <c r="A48" s="432"/>
      <c r="B48" s="62"/>
      <c r="C48" s="64"/>
      <c r="D48" s="434"/>
      <c r="E48" s="139">
        <f t="shared" si="8"/>
        <v>0</v>
      </c>
      <c r="F48" s="139" t="s">
        <v>102</v>
      </c>
      <c r="G48" s="87"/>
      <c r="H48" s="87" t="s">
        <v>103</v>
      </c>
      <c r="I48" s="140" t="e">
        <f t="shared" ref="I48" si="20">(G48/#REF!)*100</f>
        <v>#REF!</v>
      </c>
      <c r="J48" s="434"/>
      <c r="K48" s="139">
        <f t="shared" si="10"/>
        <v>0</v>
      </c>
      <c r="L48" s="139" t="s">
        <v>102</v>
      </c>
      <c r="M48" s="87"/>
      <c r="N48" s="87" t="s">
        <v>103</v>
      </c>
      <c r="O48" s="140" t="e">
        <f t="shared" si="15"/>
        <v>#DIV/0!</v>
      </c>
    </row>
    <row r="49" spans="1:15" ht="20.100000000000001" customHeight="1" x14ac:dyDescent="0.25">
      <c r="A49" s="431" t="s">
        <v>229</v>
      </c>
      <c r="B49" s="152" t="s">
        <v>246</v>
      </c>
      <c r="C49" s="64">
        <v>5</v>
      </c>
      <c r="D49" s="433">
        <v>22300</v>
      </c>
      <c r="E49" s="139">
        <f>($D$49*G49*$B$11*$C$11)/(1000000)</f>
        <v>22.478400000000004</v>
      </c>
      <c r="F49" s="139" t="s">
        <v>102</v>
      </c>
      <c r="G49" s="87">
        <v>0.14000000000000001</v>
      </c>
      <c r="H49" s="87" t="s">
        <v>103</v>
      </c>
      <c r="I49" s="140">
        <f>(G49/C49)*100</f>
        <v>2.8000000000000003</v>
      </c>
      <c r="J49" s="433"/>
      <c r="K49" s="139">
        <f>($J$49*M49*$B$11*$C$11)/(1000000)</f>
        <v>0</v>
      </c>
      <c r="L49" s="139" t="s">
        <v>102</v>
      </c>
      <c r="M49" s="87"/>
      <c r="N49" s="87" t="s">
        <v>103</v>
      </c>
      <c r="O49" s="140">
        <f t="shared" ref="O49:O54" si="21">(M49/C49)*100</f>
        <v>0</v>
      </c>
    </row>
    <row r="50" spans="1:15" ht="20.100000000000001" customHeight="1" x14ac:dyDescent="0.25">
      <c r="A50" s="431"/>
      <c r="B50" s="152"/>
      <c r="C50" s="64"/>
      <c r="D50" s="434"/>
      <c r="E50" s="139">
        <f t="shared" si="8"/>
        <v>0</v>
      </c>
      <c r="F50" s="139" t="s">
        <v>102</v>
      </c>
      <c r="G50" s="87"/>
      <c r="H50" s="87" t="s">
        <v>103</v>
      </c>
      <c r="I50" s="140" t="e">
        <f t="shared" ref="I50" si="22">(G50/#REF!)*100</f>
        <v>#REF!</v>
      </c>
      <c r="J50" s="434"/>
      <c r="K50" s="139">
        <f t="shared" si="10"/>
        <v>0</v>
      </c>
      <c r="L50" s="139" t="s">
        <v>102</v>
      </c>
      <c r="M50" s="87"/>
      <c r="N50" s="87" t="s">
        <v>103</v>
      </c>
      <c r="O50" s="140" t="e">
        <f t="shared" si="21"/>
        <v>#DIV/0!</v>
      </c>
    </row>
    <row r="51" spans="1:15" ht="20.100000000000001" customHeight="1" x14ac:dyDescent="0.25">
      <c r="A51" s="431"/>
      <c r="B51" s="62"/>
      <c r="C51" s="64"/>
      <c r="D51" s="434"/>
      <c r="E51" s="139">
        <f t="shared" si="8"/>
        <v>0</v>
      </c>
      <c r="F51" s="139" t="s">
        <v>102</v>
      </c>
      <c r="G51" s="87"/>
      <c r="H51" s="87" t="s">
        <v>103</v>
      </c>
      <c r="I51" s="140" t="e">
        <f t="shared" ref="I51" si="23">(G51/#REF!)*100</f>
        <v>#REF!</v>
      </c>
      <c r="J51" s="434"/>
      <c r="K51" s="139">
        <f t="shared" si="10"/>
        <v>0</v>
      </c>
      <c r="L51" s="139" t="s">
        <v>102</v>
      </c>
      <c r="M51" s="87"/>
      <c r="N51" s="87" t="s">
        <v>103</v>
      </c>
      <c r="O51" s="140" t="e">
        <f t="shared" si="21"/>
        <v>#DIV/0!</v>
      </c>
    </row>
    <row r="52" spans="1:15" ht="20.100000000000001" customHeight="1" x14ac:dyDescent="0.25">
      <c r="A52" s="431"/>
      <c r="B52" s="62"/>
      <c r="C52" s="64"/>
      <c r="D52" s="434"/>
      <c r="E52" s="139">
        <f t="shared" si="8"/>
        <v>0</v>
      </c>
      <c r="F52" s="139" t="s">
        <v>102</v>
      </c>
      <c r="G52" s="87"/>
      <c r="H52" s="87" t="s">
        <v>103</v>
      </c>
      <c r="I52" s="140" t="e">
        <f t="shared" ref="I52" si="24">(G52/#REF!)*100</f>
        <v>#REF!</v>
      </c>
      <c r="J52" s="434"/>
      <c r="K52" s="139">
        <f t="shared" si="10"/>
        <v>0</v>
      </c>
      <c r="L52" s="139" t="s">
        <v>102</v>
      </c>
      <c r="M52" s="87"/>
      <c r="N52" s="87" t="s">
        <v>103</v>
      </c>
      <c r="O52" s="140" t="e">
        <f t="shared" si="21"/>
        <v>#DIV/0!</v>
      </c>
    </row>
    <row r="53" spans="1:15" ht="24" customHeight="1" x14ac:dyDescent="0.25">
      <c r="A53" s="431"/>
      <c r="B53" s="62"/>
      <c r="C53" s="64"/>
      <c r="D53" s="434"/>
      <c r="E53" s="139">
        <f t="shared" si="8"/>
        <v>0</v>
      </c>
      <c r="F53" s="139" t="s">
        <v>102</v>
      </c>
      <c r="G53" s="87"/>
      <c r="H53" s="87" t="s">
        <v>103</v>
      </c>
      <c r="I53" s="140" t="e">
        <f t="shared" ref="I53" si="25">(G53/#REF!)*100</f>
        <v>#REF!</v>
      </c>
      <c r="J53" s="434"/>
      <c r="K53" s="139">
        <f t="shared" si="10"/>
        <v>0</v>
      </c>
      <c r="L53" s="139" t="s">
        <v>102</v>
      </c>
      <c r="M53" s="87"/>
      <c r="N53" s="87" t="s">
        <v>103</v>
      </c>
      <c r="O53" s="140" t="e">
        <f t="shared" si="21"/>
        <v>#DIV/0!</v>
      </c>
    </row>
    <row r="54" spans="1:15" ht="20.100000000000001" customHeight="1" x14ac:dyDescent="0.25">
      <c r="A54" s="432"/>
      <c r="B54" s="62"/>
      <c r="C54" s="64"/>
      <c r="D54" s="434"/>
      <c r="E54" s="139">
        <f t="shared" si="8"/>
        <v>0</v>
      </c>
      <c r="F54" s="139" t="s">
        <v>102</v>
      </c>
      <c r="G54" s="87"/>
      <c r="H54" s="87" t="s">
        <v>103</v>
      </c>
      <c r="I54" s="140" t="e">
        <f t="shared" ref="I54" si="26">(G54/#REF!)*100</f>
        <v>#REF!</v>
      </c>
      <c r="J54" s="434"/>
      <c r="K54" s="139">
        <f t="shared" si="10"/>
        <v>0</v>
      </c>
      <c r="L54" s="139" t="s">
        <v>102</v>
      </c>
      <c r="M54" s="87"/>
      <c r="N54" s="87" t="s">
        <v>103</v>
      </c>
      <c r="O54" s="140" t="e">
        <f t="shared" si="21"/>
        <v>#DIV/0!</v>
      </c>
    </row>
    <row r="55" spans="1:15" ht="20.100000000000001" customHeight="1" x14ac:dyDescent="0.25">
      <c r="A55" s="431" t="s">
        <v>232</v>
      </c>
      <c r="B55" s="152" t="s">
        <v>246</v>
      </c>
      <c r="C55" s="64">
        <v>5</v>
      </c>
      <c r="D55" s="433">
        <v>15500</v>
      </c>
      <c r="E55" s="139">
        <f>($D$55*G55*$B$12*$C$12)/(1000000)</f>
        <v>14.507999999999999</v>
      </c>
      <c r="F55" s="139" t="s">
        <v>102</v>
      </c>
      <c r="G55" s="87">
        <v>0.13</v>
      </c>
      <c r="H55" s="87" t="s">
        <v>103</v>
      </c>
      <c r="I55" s="140">
        <f>(G55/C55)*100</f>
        <v>2.6</v>
      </c>
      <c r="J55" s="433"/>
      <c r="K55" s="139">
        <f>($J$55*M55*$B$12*$C$12)/(1000000)</f>
        <v>0</v>
      </c>
      <c r="L55" s="139" t="s">
        <v>102</v>
      </c>
      <c r="M55" s="87"/>
      <c r="N55" s="87" t="s">
        <v>103</v>
      </c>
      <c r="O55" s="140">
        <f t="shared" ref="O55:O60" si="27">(M55/C55)*100</f>
        <v>0</v>
      </c>
    </row>
    <row r="56" spans="1:15" ht="20.100000000000001" customHeight="1" x14ac:dyDescent="0.25">
      <c r="A56" s="431"/>
      <c r="B56" s="152"/>
      <c r="C56" s="64"/>
      <c r="D56" s="434"/>
      <c r="E56" s="139">
        <f t="shared" si="8"/>
        <v>0</v>
      </c>
      <c r="F56" s="139" t="s">
        <v>102</v>
      </c>
      <c r="G56" s="87"/>
      <c r="H56" s="87" t="s">
        <v>103</v>
      </c>
      <c r="I56" s="140" t="e">
        <f t="shared" ref="I56" si="28">(G56/#REF!)*100</f>
        <v>#REF!</v>
      </c>
      <c r="J56" s="434"/>
      <c r="K56" s="139">
        <f t="shared" si="10"/>
        <v>0</v>
      </c>
      <c r="L56" s="139" t="s">
        <v>102</v>
      </c>
      <c r="M56" s="87"/>
      <c r="N56" s="87" t="s">
        <v>103</v>
      </c>
      <c r="O56" s="140" t="e">
        <f t="shared" si="27"/>
        <v>#DIV/0!</v>
      </c>
    </row>
    <row r="57" spans="1:15" ht="20.100000000000001" customHeight="1" x14ac:dyDescent="0.25">
      <c r="A57" s="431"/>
      <c r="B57" s="62"/>
      <c r="C57" s="64"/>
      <c r="D57" s="434"/>
      <c r="E57" s="139">
        <f t="shared" si="8"/>
        <v>0</v>
      </c>
      <c r="F57" s="139" t="s">
        <v>102</v>
      </c>
      <c r="G57" s="87"/>
      <c r="H57" s="87" t="s">
        <v>103</v>
      </c>
      <c r="I57" s="140" t="e">
        <f t="shared" ref="I57" si="29">(G57/#REF!)*100</f>
        <v>#REF!</v>
      </c>
      <c r="J57" s="434"/>
      <c r="K57" s="139">
        <f t="shared" si="10"/>
        <v>0</v>
      </c>
      <c r="L57" s="139" t="s">
        <v>102</v>
      </c>
      <c r="M57" s="87"/>
      <c r="N57" s="87" t="s">
        <v>103</v>
      </c>
      <c r="O57" s="140" t="e">
        <f t="shared" si="27"/>
        <v>#DIV/0!</v>
      </c>
    </row>
    <row r="58" spans="1:15" ht="20.100000000000001" customHeight="1" x14ac:dyDescent="0.25">
      <c r="A58" s="431"/>
      <c r="B58" s="62"/>
      <c r="C58" s="64"/>
      <c r="D58" s="434"/>
      <c r="E58" s="139">
        <f t="shared" si="8"/>
        <v>0</v>
      </c>
      <c r="F58" s="139" t="s">
        <v>102</v>
      </c>
      <c r="G58" s="87"/>
      <c r="H58" s="87" t="s">
        <v>103</v>
      </c>
      <c r="I58" s="140" t="e">
        <f t="shared" ref="I58" si="30">(G58/#REF!)*100</f>
        <v>#REF!</v>
      </c>
      <c r="J58" s="434"/>
      <c r="K58" s="139">
        <f t="shared" si="10"/>
        <v>0</v>
      </c>
      <c r="L58" s="139" t="s">
        <v>102</v>
      </c>
      <c r="M58" s="87"/>
      <c r="N58" s="87" t="s">
        <v>103</v>
      </c>
      <c r="O58" s="140" t="e">
        <f t="shared" si="27"/>
        <v>#DIV/0!</v>
      </c>
    </row>
    <row r="59" spans="1:15" ht="27" customHeight="1" x14ac:dyDescent="0.25">
      <c r="A59" s="431"/>
      <c r="B59" s="62"/>
      <c r="C59" s="64"/>
      <c r="D59" s="434"/>
      <c r="E59" s="139">
        <f t="shared" si="8"/>
        <v>0</v>
      </c>
      <c r="F59" s="139" t="s">
        <v>102</v>
      </c>
      <c r="G59" s="87"/>
      <c r="H59" s="87" t="s">
        <v>103</v>
      </c>
      <c r="I59" s="140" t="e">
        <f t="shared" ref="I59" si="31">(G59/#REF!)*100</f>
        <v>#REF!</v>
      </c>
      <c r="J59" s="434"/>
      <c r="K59" s="139">
        <f t="shared" si="10"/>
        <v>0</v>
      </c>
      <c r="L59" s="139" t="s">
        <v>102</v>
      </c>
      <c r="M59" s="87"/>
      <c r="N59" s="87" t="s">
        <v>103</v>
      </c>
      <c r="O59" s="140" t="e">
        <f t="shared" si="27"/>
        <v>#DIV/0!</v>
      </c>
    </row>
    <row r="60" spans="1:15" ht="24" customHeight="1" x14ac:dyDescent="0.25">
      <c r="A60" s="432"/>
      <c r="B60" s="62"/>
      <c r="C60" s="64"/>
      <c r="D60" s="434"/>
      <c r="E60" s="139">
        <f t="shared" si="8"/>
        <v>0</v>
      </c>
      <c r="F60" s="139" t="s">
        <v>102</v>
      </c>
      <c r="G60" s="87"/>
      <c r="H60" s="87" t="s">
        <v>103</v>
      </c>
      <c r="I60" s="140" t="e">
        <f t="shared" ref="I60" si="32">(G60/#REF!)*100</f>
        <v>#REF!</v>
      </c>
      <c r="J60" s="434"/>
      <c r="K60" s="139">
        <f t="shared" si="10"/>
        <v>0</v>
      </c>
      <c r="L60" s="139" t="s">
        <v>102</v>
      </c>
      <c r="M60" s="87"/>
      <c r="N60" s="87" t="s">
        <v>103</v>
      </c>
      <c r="O60" s="140" t="e">
        <f t="shared" si="27"/>
        <v>#DIV/0!</v>
      </c>
    </row>
    <row r="61" spans="1:15" ht="20.100000000000001" customHeight="1" x14ac:dyDescent="0.25">
      <c r="A61" s="431" t="s">
        <v>233</v>
      </c>
      <c r="B61" s="152" t="s">
        <v>246</v>
      </c>
      <c r="C61" s="64">
        <v>5</v>
      </c>
      <c r="D61" s="433">
        <v>17300</v>
      </c>
      <c r="E61" s="139">
        <f>($D$61*G61*$B$13*$C$13)/(1000000)</f>
        <v>17.438400000000005</v>
      </c>
      <c r="F61" s="139" t="s">
        <v>102</v>
      </c>
      <c r="G61" s="87">
        <v>0.14000000000000001</v>
      </c>
      <c r="H61" s="87" t="s">
        <v>103</v>
      </c>
      <c r="I61" s="140">
        <f>(G61/C61)*100</f>
        <v>2.8000000000000003</v>
      </c>
      <c r="J61" s="433"/>
      <c r="K61" s="139">
        <f>($J$61*M61*$B$13*$C$13)/(1000000)</f>
        <v>0</v>
      </c>
      <c r="L61" s="139" t="s">
        <v>102</v>
      </c>
      <c r="M61" s="87"/>
      <c r="N61" s="87" t="s">
        <v>103</v>
      </c>
      <c r="O61" s="140">
        <f t="shared" ref="O61:O66" si="33">(M61/C61)*100</f>
        <v>0</v>
      </c>
    </row>
    <row r="62" spans="1:15" ht="20.100000000000001" customHeight="1" x14ac:dyDescent="0.25">
      <c r="A62" s="431"/>
      <c r="B62" s="152"/>
      <c r="C62" s="64"/>
      <c r="D62" s="434"/>
      <c r="E62" s="139">
        <f t="shared" si="8"/>
        <v>0</v>
      </c>
      <c r="F62" s="139" t="s">
        <v>102</v>
      </c>
      <c r="G62" s="87"/>
      <c r="H62" s="87" t="s">
        <v>103</v>
      </c>
      <c r="I62" s="140" t="e">
        <f t="shared" ref="I62" si="34">(G62/#REF!)*100</f>
        <v>#REF!</v>
      </c>
      <c r="J62" s="434"/>
      <c r="K62" s="139">
        <f t="shared" si="10"/>
        <v>0</v>
      </c>
      <c r="L62" s="139" t="s">
        <v>102</v>
      </c>
      <c r="M62" s="87"/>
      <c r="N62" s="87" t="s">
        <v>103</v>
      </c>
      <c r="O62" s="140" t="e">
        <f t="shared" si="33"/>
        <v>#DIV/0!</v>
      </c>
    </row>
    <row r="63" spans="1:15" ht="20.100000000000001" customHeight="1" x14ac:dyDescent="0.25">
      <c r="A63" s="431"/>
      <c r="B63" s="62"/>
      <c r="C63" s="64"/>
      <c r="D63" s="434"/>
      <c r="E63" s="139">
        <f t="shared" si="8"/>
        <v>0</v>
      </c>
      <c r="F63" s="139" t="s">
        <v>102</v>
      </c>
      <c r="G63" s="87"/>
      <c r="H63" s="87" t="s">
        <v>103</v>
      </c>
      <c r="I63" s="140" t="e">
        <f t="shared" ref="I63" si="35">(G63/#REF!)*100</f>
        <v>#REF!</v>
      </c>
      <c r="J63" s="434"/>
      <c r="K63" s="139">
        <f t="shared" si="10"/>
        <v>0</v>
      </c>
      <c r="L63" s="139" t="s">
        <v>102</v>
      </c>
      <c r="M63" s="87"/>
      <c r="N63" s="87" t="s">
        <v>103</v>
      </c>
      <c r="O63" s="140" t="e">
        <f t="shared" si="33"/>
        <v>#DIV/0!</v>
      </c>
    </row>
    <row r="64" spans="1:15" ht="20.100000000000001" customHeight="1" x14ac:dyDescent="0.25">
      <c r="A64" s="431"/>
      <c r="B64" s="62"/>
      <c r="C64" s="64"/>
      <c r="D64" s="434"/>
      <c r="E64" s="139">
        <f t="shared" si="8"/>
        <v>0</v>
      </c>
      <c r="F64" s="139" t="s">
        <v>102</v>
      </c>
      <c r="G64" s="87"/>
      <c r="H64" s="87" t="s">
        <v>103</v>
      </c>
      <c r="I64" s="140" t="e">
        <f t="shared" ref="I64" si="36">(G64/#REF!)*100</f>
        <v>#REF!</v>
      </c>
      <c r="J64" s="434"/>
      <c r="K64" s="139">
        <f t="shared" si="10"/>
        <v>0</v>
      </c>
      <c r="L64" s="139" t="s">
        <v>102</v>
      </c>
      <c r="M64" s="87"/>
      <c r="N64" s="87" t="s">
        <v>103</v>
      </c>
      <c r="O64" s="140" t="e">
        <f t="shared" si="33"/>
        <v>#DIV/0!</v>
      </c>
    </row>
    <row r="65" spans="1:15" ht="20.100000000000001" customHeight="1" x14ac:dyDescent="0.25">
      <c r="A65" s="431"/>
      <c r="B65" s="62"/>
      <c r="C65" s="64"/>
      <c r="D65" s="434"/>
      <c r="E65" s="139">
        <f t="shared" si="8"/>
        <v>0</v>
      </c>
      <c r="F65" s="139" t="s">
        <v>102</v>
      </c>
      <c r="G65" s="87"/>
      <c r="H65" s="87" t="s">
        <v>103</v>
      </c>
      <c r="I65" s="140" t="e">
        <f t="shared" ref="I65" si="37">(G65/#REF!)*100</f>
        <v>#REF!</v>
      </c>
      <c r="J65" s="434"/>
      <c r="K65" s="139">
        <f t="shared" si="10"/>
        <v>0</v>
      </c>
      <c r="L65" s="139" t="s">
        <v>102</v>
      </c>
      <c r="M65" s="87"/>
      <c r="N65" s="87" t="s">
        <v>103</v>
      </c>
      <c r="O65" s="140" t="e">
        <f t="shared" si="33"/>
        <v>#DIV/0!</v>
      </c>
    </row>
    <row r="66" spans="1:15" ht="20.100000000000001" customHeight="1" x14ac:dyDescent="0.25">
      <c r="A66" s="443"/>
      <c r="B66" s="62"/>
      <c r="C66" s="64"/>
      <c r="D66" s="434"/>
      <c r="E66" s="139">
        <f t="shared" si="8"/>
        <v>0</v>
      </c>
      <c r="F66" s="139" t="s">
        <v>102</v>
      </c>
      <c r="G66" s="87"/>
      <c r="H66" s="87" t="s">
        <v>103</v>
      </c>
      <c r="I66" s="140" t="e">
        <f t="shared" ref="I66" si="38">(G66/#REF!)*100</f>
        <v>#REF!</v>
      </c>
      <c r="J66" s="434"/>
      <c r="K66" s="139">
        <f t="shared" si="10"/>
        <v>0</v>
      </c>
      <c r="L66" s="139" t="s">
        <v>102</v>
      </c>
      <c r="M66" s="87"/>
      <c r="N66" s="87" t="s">
        <v>103</v>
      </c>
      <c r="O66" s="140" t="e">
        <f t="shared" si="33"/>
        <v>#DIV/0!</v>
      </c>
    </row>
    <row r="67" spans="1:15" ht="20.100000000000001" customHeight="1" x14ac:dyDescent="0.25">
      <c r="A67" s="445" t="s">
        <v>364</v>
      </c>
      <c r="B67" s="152" t="s">
        <v>246</v>
      </c>
      <c r="C67" s="64">
        <v>5</v>
      </c>
      <c r="D67" s="433">
        <v>31800</v>
      </c>
      <c r="E67" s="139">
        <f>($D$67*G67*$B$14*$C$14)/(1000000)</f>
        <v>22.896000000000001</v>
      </c>
      <c r="F67" s="139" t="s">
        <v>102</v>
      </c>
      <c r="G67" s="87">
        <v>0.1</v>
      </c>
      <c r="H67" s="87" t="s">
        <v>103</v>
      </c>
      <c r="I67" s="140">
        <f>(G67/C67)*100</f>
        <v>2</v>
      </c>
      <c r="J67" s="433"/>
      <c r="K67" s="139">
        <f>($J$67*M67*$B$14*$C$14)/(1000000)</f>
        <v>0</v>
      </c>
      <c r="L67" s="139" t="s">
        <v>102</v>
      </c>
      <c r="M67" s="87"/>
      <c r="N67" s="87" t="s">
        <v>103</v>
      </c>
      <c r="O67" s="140">
        <f t="shared" ref="O67:O72" si="39">(M67/C67)*100</f>
        <v>0</v>
      </c>
    </row>
    <row r="68" spans="1:15" ht="20.100000000000001" customHeight="1" x14ac:dyDescent="0.25">
      <c r="A68" s="445"/>
      <c r="B68" s="366"/>
      <c r="C68" s="367"/>
      <c r="D68" s="434"/>
      <c r="E68" s="139">
        <f t="shared" si="8"/>
        <v>0</v>
      </c>
      <c r="F68" s="139" t="s">
        <v>102</v>
      </c>
      <c r="G68" s="87"/>
      <c r="H68" s="87" t="s">
        <v>103</v>
      </c>
      <c r="I68" s="140" t="e">
        <f t="shared" ref="I68" si="40">(G68/#REF!)*100</f>
        <v>#REF!</v>
      </c>
      <c r="J68" s="434"/>
      <c r="K68" s="139">
        <f t="shared" ref="K68:K72" si="41">($J$37*M68*$B$8*$C$8)/(1000000)</f>
        <v>0</v>
      </c>
      <c r="L68" s="139" t="s">
        <v>102</v>
      </c>
      <c r="M68" s="87"/>
      <c r="N68" s="87" t="s">
        <v>103</v>
      </c>
      <c r="O68" s="140" t="e">
        <f t="shared" si="39"/>
        <v>#DIV/0!</v>
      </c>
    </row>
    <row r="69" spans="1:15" ht="20.100000000000001" customHeight="1" x14ac:dyDescent="0.25">
      <c r="A69" s="445"/>
      <c r="B69" s="366"/>
      <c r="C69" s="367"/>
      <c r="D69" s="434"/>
      <c r="E69" s="139">
        <f t="shared" si="8"/>
        <v>0</v>
      </c>
      <c r="F69" s="139" t="s">
        <v>102</v>
      </c>
      <c r="G69" s="87"/>
      <c r="H69" s="87" t="s">
        <v>103</v>
      </c>
      <c r="I69" s="140" t="e">
        <f t="shared" ref="I69" si="42">(G69/#REF!)*100</f>
        <v>#REF!</v>
      </c>
      <c r="J69" s="434"/>
      <c r="K69" s="139">
        <f t="shared" si="41"/>
        <v>0</v>
      </c>
      <c r="L69" s="139" t="s">
        <v>102</v>
      </c>
      <c r="M69" s="87"/>
      <c r="N69" s="87" t="s">
        <v>103</v>
      </c>
      <c r="O69" s="140" t="e">
        <f t="shared" si="39"/>
        <v>#DIV/0!</v>
      </c>
    </row>
    <row r="70" spans="1:15" ht="20.100000000000001" customHeight="1" x14ac:dyDescent="0.25">
      <c r="A70" s="445"/>
      <c r="B70" s="366"/>
      <c r="C70" s="367"/>
      <c r="D70" s="434"/>
      <c r="E70" s="139">
        <f t="shared" si="8"/>
        <v>0</v>
      </c>
      <c r="F70" s="139" t="s">
        <v>102</v>
      </c>
      <c r="G70" s="87"/>
      <c r="H70" s="87" t="s">
        <v>103</v>
      </c>
      <c r="I70" s="140" t="e">
        <f t="shared" ref="I70" si="43">(G70/#REF!)*100</f>
        <v>#REF!</v>
      </c>
      <c r="J70" s="434"/>
      <c r="K70" s="139">
        <f t="shared" si="41"/>
        <v>0</v>
      </c>
      <c r="L70" s="139" t="s">
        <v>102</v>
      </c>
      <c r="M70" s="87"/>
      <c r="N70" s="87" t="s">
        <v>103</v>
      </c>
      <c r="O70" s="140" t="e">
        <f t="shared" si="39"/>
        <v>#DIV/0!</v>
      </c>
    </row>
    <row r="71" spans="1:15" ht="20.100000000000001" customHeight="1" x14ac:dyDescent="0.25">
      <c r="A71" s="445"/>
      <c r="B71" s="366"/>
      <c r="C71" s="367"/>
      <c r="D71" s="434"/>
      <c r="E71" s="139">
        <f t="shared" si="8"/>
        <v>0</v>
      </c>
      <c r="F71" s="139" t="s">
        <v>102</v>
      </c>
      <c r="G71" s="87"/>
      <c r="H71" s="87" t="s">
        <v>103</v>
      </c>
      <c r="I71" s="140" t="e">
        <f t="shared" ref="I71" si="44">(G71/#REF!)*100</f>
        <v>#REF!</v>
      </c>
      <c r="J71" s="434"/>
      <c r="K71" s="139">
        <f t="shared" si="41"/>
        <v>0</v>
      </c>
      <c r="L71" s="139" t="s">
        <v>102</v>
      </c>
      <c r="M71" s="87"/>
      <c r="N71" s="87" t="s">
        <v>103</v>
      </c>
      <c r="O71" s="140" t="e">
        <f t="shared" si="39"/>
        <v>#DIV/0!</v>
      </c>
    </row>
    <row r="72" spans="1:15" ht="20.100000000000001" customHeight="1" x14ac:dyDescent="0.25">
      <c r="A72" s="446"/>
      <c r="B72" s="366"/>
      <c r="C72" s="64"/>
      <c r="D72" s="434"/>
      <c r="E72" s="139">
        <f t="shared" si="8"/>
        <v>0</v>
      </c>
      <c r="F72" s="139" t="s">
        <v>102</v>
      </c>
      <c r="G72" s="87"/>
      <c r="H72" s="87" t="s">
        <v>103</v>
      </c>
      <c r="I72" s="140" t="e">
        <f t="shared" ref="I72" si="45">(G72/#REF!)*100</f>
        <v>#REF!</v>
      </c>
      <c r="J72" s="434"/>
      <c r="K72" s="139">
        <f t="shared" si="41"/>
        <v>0</v>
      </c>
      <c r="L72" s="139" t="s">
        <v>102</v>
      </c>
      <c r="M72" s="87"/>
      <c r="N72" s="87" t="s">
        <v>103</v>
      </c>
      <c r="O72" s="140" t="e">
        <f t="shared" si="39"/>
        <v>#DIV/0!</v>
      </c>
    </row>
    <row r="73" spans="1:15" ht="20.100000000000001" customHeight="1" x14ac:dyDescent="0.25">
      <c r="A73" s="444" t="s">
        <v>234</v>
      </c>
      <c r="B73" s="152" t="s">
        <v>246</v>
      </c>
      <c r="C73" s="64">
        <v>5</v>
      </c>
      <c r="D73" s="433">
        <v>8730</v>
      </c>
      <c r="E73" s="139">
        <f>($D$73*G73*$B$15*$C$15)/(1000000)</f>
        <v>6.2855999999999996</v>
      </c>
      <c r="F73" s="139" t="s">
        <v>102</v>
      </c>
      <c r="G73" s="87">
        <v>0.1</v>
      </c>
      <c r="H73" s="87" t="s">
        <v>103</v>
      </c>
      <c r="I73" s="140">
        <f>(G73/C73)*100</f>
        <v>2</v>
      </c>
      <c r="J73" s="433"/>
      <c r="K73" s="139">
        <f>($J$73*M73*$B$15*$C$15)/(1000000)</f>
        <v>0</v>
      </c>
      <c r="L73" s="139" t="s">
        <v>102</v>
      </c>
      <c r="M73" s="87"/>
      <c r="N73" s="87" t="s">
        <v>103</v>
      </c>
      <c r="O73" s="140">
        <f t="shared" ref="O73:O78" si="46">(M73/C73)*100</f>
        <v>0</v>
      </c>
    </row>
    <row r="74" spans="1:15" ht="20.100000000000001" customHeight="1" x14ac:dyDescent="0.25">
      <c r="A74" s="431"/>
      <c r="B74" s="152"/>
      <c r="C74" s="64"/>
      <c r="D74" s="434"/>
      <c r="E74" s="139">
        <f t="shared" si="8"/>
        <v>0</v>
      </c>
      <c r="F74" s="139" t="s">
        <v>102</v>
      </c>
      <c r="G74" s="87"/>
      <c r="H74" s="87" t="s">
        <v>103</v>
      </c>
      <c r="I74" s="140" t="e">
        <f t="shared" ref="I74" si="47">(G74/#REF!)*100</f>
        <v>#REF!</v>
      </c>
      <c r="J74" s="434"/>
      <c r="K74" s="139">
        <f t="shared" si="10"/>
        <v>0</v>
      </c>
      <c r="L74" s="139" t="s">
        <v>102</v>
      </c>
      <c r="M74" s="87"/>
      <c r="N74" s="87" t="s">
        <v>103</v>
      </c>
      <c r="O74" s="140" t="e">
        <f t="shared" si="46"/>
        <v>#DIV/0!</v>
      </c>
    </row>
    <row r="75" spans="1:15" ht="20.100000000000001" customHeight="1" x14ac:dyDescent="0.25">
      <c r="A75" s="431"/>
      <c r="B75" s="62"/>
      <c r="C75" s="64"/>
      <c r="D75" s="434"/>
      <c r="E75" s="139">
        <f t="shared" si="8"/>
        <v>0</v>
      </c>
      <c r="F75" s="139" t="s">
        <v>102</v>
      </c>
      <c r="G75" s="87"/>
      <c r="H75" s="87" t="s">
        <v>103</v>
      </c>
      <c r="I75" s="140" t="e">
        <f t="shared" ref="I75" si="48">(G75/#REF!)*100</f>
        <v>#REF!</v>
      </c>
      <c r="J75" s="434"/>
      <c r="K75" s="139">
        <f t="shared" ref="K75:K106" si="49">($J$37*M75*$B$8*$C$8)/(1000000)</f>
        <v>0</v>
      </c>
      <c r="L75" s="139" t="s">
        <v>102</v>
      </c>
      <c r="M75" s="87"/>
      <c r="N75" s="87" t="s">
        <v>103</v>
      </c>
      <c r="O75" s="140" t="e">
        <f t="shared" si="46"/>
        <v>#DIV/0!</v>
      </c>
    </row>
    <row r="76" spans="1:15" ht="20.100000000000001" customHeight="1" x14ac:dyDescent="0.25">
      <c r="A76" s="431"/>
      <c r="B76" s="62"/>
      <c r="C76" s="64"/>
      <c r="D76" s="434"/>
      <c r="E76" s="139">
        <f t="shared" si="8"/>
        <v>0</v>
      </c>
      <c r="F76" s="139" t="s">
        <v>102</v>
      </c>
      <c r="G76" s="87"/>
      <c r="H76" s="87" t="s">
        <v>103</v>
      </c>
      <c r="I76" s="140" t="e">
        <f t="shared" ref="I76" si="50">(G76/#REF!)*100</f>
        <v>#REF!</v>
      </c>
      <c r="J76" s="434"/>
      <c r="K76" s="139">
        <f t="shared" si="49"/>
        <v>0</v>
      </c>
      <c r="L76" s="139" t="s">
        <v>102</v>
      </c>
      <c r="M76" s="87"/>
      <c r="N76" s="87" t="s">
        <v>103</v>
      </c>
      <c r="O76" s="140" t="e">
        <f t="shared" si="46"/>
        <v>#DIV/0!</v>
      </c>
    </row>
    <row r="77" spans="1:15" ht="20.100000000000001" customHeight="1" x14ac:dyDescent="0.25">
      <c r="A77" s="431"/>
      <c r="B77" s="62"/>
      <c r="C77" s="64"/>
      <c r="D77" s="434"/>
      <c r="E77" s="139">
        <f t="shared" si="8"/>
        <v>0</v>
      </c>
      <c r="F77" s="139" t="s">
        <v>102</v>
      </c>
      <c r="G77" s="87"/>
      <c r="H77" s="87" t="s">
        <v>103</v>
      </c>
      <c r="I77" s="140" t="e">
        <f t="shared" ref="I77" si="51">(G77/#REF!)*100</f>
        <v>#REF!</v>
      </c>
      <c r="J77" s="434"/>
      <c r="K77" s="139">
        <f t="shared" si="49"/>
        <v>0</v>
      </c>
      <c r="L77" s="139" t="s">
        <v>102</v>
      </c>
      <c r="M77" s="87"/>
      <c r="N77" s="87" t="s">
        <v>103</v>
      </c>
      <c r="O77" s="140" t="e">
        <f t="shared" si="46"/>
        <v>#DIV/0!</v>
      </c>
    </row>
    <row r="78" spans="1:15" ht="20.100000000000001" customHeight="1" x14ac:dyDescent="0.25">
      <c r="A78" s="432"/>
      <c r="B78" s="62"/>
      <c r="C78" s="64"/>
      <c r="D78" s="434"/>
      <c r="E78" s="139">
        <f t="shared" si="8"/>
        <v>0</v>
      </c>
      <c r="F78" s="139" t="s">
        <v>102</v>
      </c>
      <c r="G78" s="87"/>
      <c r="H78" s="87" t="s">
        <v>103</v>
      </c>
      <c r="I78" s="140" t="e">
        <f t="shared" ref="I78" si="52">(G78/#REF!)*100</f>
        <v>#REF!</v>
      </c>
      <c r="J78" s="434"/>
      <c r="K78" s="139">
        <f t="shared" si="49"/>
        <v>0</v>
      </c>
      <c r="L78" s="139" t="s">
        <v>102</v>
      </c>
      <c r="M78" s="87"/>
      <c r="N78" s="87" t="s">
        <v>103</v>
      </c>
      <c r="O78" s="140" t="e">
        <f t="shared" si="46"/>
        <v>#DIV/0!</v>
      </c>
    </row>
    <row r="79" spans="1:15" ht="20.100000000000001" customHeight="1" x14ac:dyDescent="0.25">
      <c r="A79" s="431" t="s">
        <v>235</v>
      </c>
      <c r="B79" s="152" t="s">
        <v>246</v>
      </c>
      <c r="C79" s="64">
        <v>5</v>
      </c>
      <c r="D79" s="433">
        <v>9430</v>
      </c>
      <c r="E79" s="139">
        <f>($D$79*G79*$B$16*$C$16)/(1000000)</f>
        <v>7.4685600000000001</v>
      </c>
      <c r="F79" s="139" t="s">
        <v>102</v>
      </c>
      <c r="G79" s="87">
        <v>0.11</v>
      </c>
      <c r="H79" s="87" t="s">
        <v>103</v>
      </c>
      <c r="I79" s="140">
        <f>(G79/C79)*100</f>
        <v>2.1999999999999997</v>
      </c>
      <c r="J79" s="433"/>
      <c r="K79" s="139">
        <f>($J$79*M79*$B$16*$C$16)/(1000000)</f>
        <v>0</v>
      </c>
      <c r="L79" s="139" t="s">
        <v>102</v>
      </c>
      <c r="M79" s="87"/>
      <c r="N79" s="87" t="s">
        <v>103</v>
      </c>
      <c r="O79" s="140">
        <f t="shared" ref="O79:O84" si="53">(M79/C79)*100</f>
        <v>0</v>
      </c>
    </row>
    <row r="80" spans="1:15" ht="20.100000000000001" customHeight="1" x14ac:dyDescent="0.25">
      <c r="A80" s="431"/>
      <c r="B80" s="152"/>
      <c r="C80" s="64"/>
      <c r="D80" s="434"/>
      <c r="E80" s="139">
        <f t="shared" si="8"/>
        <v>0</v>
      </c>
      <c r="F80" s="139" t="s">
        <v>102</v>
      </c>
      <c r="G80" s="87"/>
      <c r="H80" s="87" t="s">
        <v>103</v>
      </c>
      <c r="I80" s="140" t="e">
        <f t="shared" ref="I80" si="54">(G80/#REF!)*100</f>
        <v>#REF!</v>
      </c>
      <c r="J80" s="434"/>
      <c r="K80" s="139">
        <f t="shared" si="49"/>
        <v>0</v>
      </c>
      <c r="L80" s="139" t="s">
        <v>102</v>
      </c>
      <c r="M80" s="87"/>
      <c r="N80" s="87" t="s">
        <v>103</v>
      </c>
      <c r="O80" s="140" t="e">
        <f t="shared" si="53"/>
        <v>#DIV/0!</v>
      </c>
    </row>
    <row r="81" spans="1:15" ht="20.100000000000001" customHeight="1" x14ac:dyDescent="0.25">
      <c r="A81" s="431"/>
      <c r="B81" s="62"/>
      <c r="C81" s="64"/>
      <c r="D81" s="434"/>
      <c r="E81" s="139">
        <f t="shared" si="8"/>
        <v>0</v>
      </c>
      <c r="F81" s="139" t="s">
        <v>102</v>
      </c>
      <c r="G81" s="87"/>
      <c r="H81" s="87" t="s">
        <v>103</v>
      </c>
      <c r="I81" s="140" t="e">
        <f t="shared" ref="I81" si="55">(G81/#REF!)*100</f>
        <v>#REF!</v>
      </c>
      <c r="J81" s="434"/>
      <c r="K81" s="139">
        <f t="shared" si="49"/>
        <v>0</v>
      </c>
      <c r="L81" s="139" t="s">
        <v>102</v>
      </c>
      <c r="M81" s="87"/>
      <c r="N81" s="87" t="s">
        <v>103</v>
      </c>
      <c r="O81" s="140" t="e">
        <f t="shared" si="53"/>
        <v>#DIV/0!</v>
      </c>
    </row>
    <row r="82" spans="1:15" ht="20.100000000000001" customHeight="1" x14ac:dyDescent="0.25">
      <c r="A82" s="431"/>
      <c r="B82" s="62"/>
      <c r="C82" s="64"/>
      <c r="D82" s="434"/>
      <c r="E82" s="139">
        <f t="shared" si="8"/>
        <v>0</v>
      </c>
      <c r="F82" s="139" t="s">
        <v>102</v>
      </c>
      <c r="G82" s="87"/>
      <c r="H82" s="87" t="s">
        <v>103</v>
      </c>
      <c r="I82" s="140" t="e">
        <f t="shared" ref="I82" si="56">(G82/#REF!)*100</f>
        <v>#REF!</v>
      </c>
      <c r="J82" s="434"/>
      <c r="K82" s="139">
        <f t="shared" si="49"/>
        <v>0</v>
      </c>
      <c r="L82" s="139" t="s">
        <v>102</v>
      </c>
      <c r="M82" s="87"/>
      <c r="N82" s="87" t="s">
        <v>103</v>
      </c>
      <c r="O82" s="140" t="e">
        <f t="shared" si="53"/>
        <v>#DIV/0!</v>
      </c>
    </row>
    <row r="83" spans="1:15" ht="20.100000000000001" customHeight="1" x14ac:dyDescent="0.25">
      <c r="A83" s="431"/>
      <c r="B83" s="62"/>
      <c r="C83" s="64"/>
      <c r="D83" s="434"/>
      <c r="E83" s="139">
        <f t="shared" si="8"/>
        <v>0</v>
      </c>
      <c r="F83" s="139" t="s">
        <v>102</v>
      </c>
      <c r="G83" s="87"/>
      <c r="H83" s="87" t="s">
        <v>103</v>
      </c>
      <c r="I83" s="140" t="e">
        <f t="shared" ref="I83" si="57">(G83/#REF!)*100</f>
        <v>#REF!</v>
      </c>
      <c r="J83" s="434"/>
      <c r="K83" s="139">
        <f t="shared" si="49"/>
        <v>0</v>
      </c>
      <c r="L83" s="139" t="s">
        <v>102</v>
      </c>
      <c r="M83" s="87"/>
      <c r="N83" s="87" t="s">
        <v>103</v>
      </c>
      <c r="O83" s="140" t="e">
        <f t="shared" si="53"/>
        <v>#DIV/0!</v>
      </c>
    </row>
    <row r="84" spans="1:15" ht="20.100000000000001" customHeight="1" x14ac:dyDescent="0.25">
      <c r="A84" s="432"/>
      <c r="B84" s="62"/>
      <c r="C84" s="64"/>
      <c r="D84" s="434"/>
      <c r="E84" s="139">
        <f t="shared" si="8"/>
        <v>0</v>
      </c>
      <c r="F84" s="139" t="s">
        <v>102</v>
      </c>
      <c r="G84" s="87"/>
      <c r="H84" s="87" t="s">
        <v>103</v>
      </c>
      <c r="I84" s="140" t="e">
        <f t="shared" ref="I84" si="58">(G84/#REF!)*100</f>
        <v>#REF!</v>
      </c>
      <c r="J84" s="434"/>
      <c r="K84" s="139">
        <f t="shared" si="49"/>
        <v>0</v>
      </c>
      <c r="L84" s="139" t="s">
        <v>102</v>
      </c>
      <c r="M84" s="87"/>
      <c r="N84" s="87" t="s">
        <v>103</v>
      </c>
      <c r="O84" s="140" t="e">
        <f t="shared" si="53"/>
        <v>#DIV/0!</v>
      </c>
    </row>
    <row r="85" spans="1:15" ht="20.100000000000001" customHeight="1" x14ac:dyDescent="0.25">
      <c r="A85" s="431" t="s">
        <v>236</v>
      </c>
      <c r="B85" s="152" t="s">
        <v>390</v>
      </c>
      <c r="C85" s="373">
        <v>250</v>
      </c>
      <c r="D85" s="433">
        <v>1380</v>
      </c>
      <c r="E85" s="139">
        <f>($D$85*G85*$B17*$C$17)/(1000000)</f>
        <v>625.96799999999996</v>
      </c>
      <c r="F85" s="139" t="s">
        <v>102</v>
      </c>
      <c r="G85" s="87">
        <v>63</v>
      </c>
      <c r="H85" s="87" t="s">
        <v>103</v>
      </c>
      <c r="I85" s="140">
        <f>(G85/C85)*100</f>
        <v>25.2</v>
      </c>
      <c r="J85" s="433"/>
      <c r="K85" s="139">
        <f>($J$85*M85*$B$17*$C$17)/(1000000)</f>
        <v>0</v>
      </c>
      <c r="L85" s="139" t="s">
        <v>102</v>
      </c>
      <c r="M85" s="87"/>
      <c r="N85" s="87" t="s">
        <v>103</v>
      </c>
      <c r="O85" s="140">
        <f t="shared" ref="O85:O90" si="59">(M85/C85)*100</f>
        <v>0</v>
      </c>
    </row>
    <row r="86" spans="1:15" ht="20.100000000000001" customHeight="1" x14ac:dyDescent="0.25">
      <c r="A86" s="431"/>
      <c r="B86" s="152" t="s">
        <v>391</v>
      </c>
      <c r="C86" s="373"/>
      <c r="D86" s="434"/>
      <c r="E86" s="139">
        <f t="shared" si="8"/>
        <v>0</v>
      </c>
      <c r="F86" s="139" t="s">
        <v>102</v>
      </c>
      <c r="G86" s="87">
        <v>4.87</v>
      </c>
      <c r="H86" s="87" t="s">
        <v>103</v>
      </c>
      <c r="I86" s="140" t="e">
        <f>(G86/C86)*100</f>
        <v>#DIV/0!</v>
      </c>
      <c r="J86" s="434"/>
      <c r="K86" s="139">
        <f t="shared" si="49"/>
        <v>0</v>
      </c>
      <c r="L86" s="139" t="s">
        <v>102</v>
      </c>
      <c r="M86" s="87"/>
      <c r="N86" s="87" t="s">
        <v>103</v>
      </c>
      <c r="O86" s="140" t="e">
        <f t="shared" si="59"/>
        <v>#DIV/0!</v>
      </c>
    </row>
    <row r="87" spans="1:15" ht="20.100000000000001" customHeight="1" x14ac:dyDescent="0.25">
      <c r="A87" s="431"/>
      <c r="B87" s="62"/>
      <c r="C87" s="64"/>
      <c r="D87" s="434"/>
      <c r="E87" s="139">
        <f t="shared" si="8"/>
        <v>0</v>
      </c>
      <c r="F87" s="139" t="s">
        <v>102</v>
      </c>
      <c r="G87" s="87"/>
      <c r="H87" s="87" t="s">
        <v>103</v>
      </c>
      <c r="I87" s="140" t="e">
        <f t="shared" ref="I87" si="60">(G87/#REF!)*100</f>
        <v>#REF!</v>
      </c>
      <c r="J87" s="434"/>
      <c r="K87" s="139">
        <f t="shared" si="49"/>
        <v>0</v>
      </c>
      <c r="L87" s="139" t="s">
        <v>102</v>
      </c>
      <c r="M87" s="87"/>
      <c r="N87" s="87" t="s">
        <v>103</v>
      </c>
      <c r="O87" s="140" t="e">
        <f t="shared" si="59"/>
        <v>#DIV/0!</v>
      </c>
    </row>
    <row r="88" spans="1:15" ht="20.100000000000001" customHeight="1" x14ac:dyDescent="0.25">
      <c r="A88" s="431"/>
      <c r="B88" s="62"/>
      <c r="C88" s="64"/>
      <c r="D88" s="434"/>
      <c r="E88" s="139">
        <f t="shared" si="8"/>
        <v>0</v>
      </c>
      <c r="F88" s="139" t="s">
        <v>102</v>
      </c>
      <c r="G88" s="87"/>
      <c r="H88" s="87" t="s">
        <v>103</v>
      </c>
      <c r="I88" s="140" t="e">
        <f t="shared" ref="I88" si="61">(G88/#REF!)*100</f>
        <v>#REF!</v>
      </c>
      <c r="J88" s="434"/>
      <c r="K88" s="139">
        <f t="shared" si="49"/>
        <v>0</v>
      </c>
      <c r="L88" s="139" t="s">
        <v>102</v>
      </c>
      <c r="M88" s="87"/>
      <c r="N88" s="87" t="s">
        <v>103</v>
      </c>
      <c r="O88" s="140" t="e">
        <f t="shared" si="59"/>
        <v>#DIV/0!</v>
      </c>
    </row>
    <row r="89" spans="1:15" ht="22.5" customHeight="1" x14ac:dyDescent="0.25">
      <c r="A89" s="431"/>
      <c r="B89" s="62"/>
      <c r="C89" s="64"/>
      <c r="D89" s="434"/>
      <c r="E89" s="139">
        <f t="shared" si="8"/>
        <v>0</v>
      </c>
      <c r="F89" s="139" t="s">
        <v>102</v>
      </c>
      <c r="G89" s="87"/>
      <c r="H89" s="87" t="s">
        <v>103</v>
      </c>
      <c r="I89" s="140" t="e">
        <f t="shared" ref="I89" si="62">(G89/#REF!)*100</f>
        <v>#REF!</v>
      </c>
      <c r="J89" s="434"/>
      <c r="K89" s="139">
        <f t="shared" si="49"/>
        <v>0</v>
      </c>
      <c r="L89" s="139" t="s">
        <v>102</v>
      </c>
      <c r="M89" s="87"/>
      <c r="N89" s="87" t="s">
        <v>103</v>
      </c>
      <c r="O89" s="140" t="e">
        <f t="shared" si="59"/>
        <v>#DIV/0!</v>
      </c>
    </row>
    <row r="90" spans="1:15" ht="22.5" customHeight="1" x14ac:dyDescent="0.25">
      <c r="A90" s="432"/>
      <c r="B90" s="62"/>
      <c r="C90" s="64"/>
      <c r="D90" s="434"/>
      <c r="E90" s="139">
        <f t="shared" si="8"/>
        <v>0</v>
      </c>
      <c r="F90" s="139" t="s">
        <v>102</v>
      </c>
      <c r="G90" s="87"/>
      <c r="H90" s="87" t="s">
        <v>103</v>
      </c>
      <c r="I90" s="140" t="e">
        <f t="shared" ref="I90" si="63">(G90/#REF!)*100</f>
        <v>#REF!</v>
      </c>
      <c r="J90" s="434"/>
      <c r="K90" s="139">
        <f t="shared" si="49"/>
        <v>0</v>
      </c>
      <c r="L90" s="139" t="s">
        <v>102</v>
      </c>
      <c r="M90" s="87"/>
      <c r="N90" s="87" t="s">
        <v>103</v>
      </c>
      <c r="O90" s="140" t="e">
        <f t="shared" si="59"/>
        <v>#DIV/0!</v>
      </c>
    </row>
    <row r="91" spans="1:15" ht="20.100000000000001" customHeight="1" x14ac:dyDescent="0.25">
      <c r="A91" s="431" t="s">
        <v>237</v>
      </c>
      <c r="B91" s="152" t="s">
        <v>246</v>
      </c>
      <c r="C91" s="64">
        <v>5</v>
      </c>
      <c r="D91" s="433">
        <v>13600</v>
      </c>
      <c r="E91" s="139">
        <f>($D$91*G91*$B$18*$C$18)/(1000000)</f>
        <v>19.584</v>
      </c>
      <c r="F91" s="139" t="s">
        <v>102</v>
      </c>
      <c r="G91" s="87">
        <v>0.2</v>
      </c>
      <c r="H91" s="87" t="s">
        <v>103</v>
      </c>
      <c r="I91" s="140">
        <f>(G91/C91)*100</f>
        <v>4</v>
      </c>
      <c r="J91" s="433"/>
      <c r="K91" s="139">
        <f>($J$91*M91*$B$18*$C$18)/(1000000)</f>
        <v>0</v>
      </c>
      <c r="L91" s="139" t="s">
        <v>102</v>
      </c>
      <c r="M91" s="87"/>
      <c r="N91" s="87" t="s">
        <v>103</v>
      </c>
      <c r="O91" s="140">
        <f t="shared" ref="O91:O96" si="64">(M91/C91)*100</f>
        <v>0</v>
      </c>
    </row>
    <row r="92" spans="1:15" ht="20.100000000000001" customHeight="1" x14ac:dyDescent="0.25">
      <c r="A92" s="431"/>
      <c r="B92" s="152"/>
      <c r="C92" s="64"/>
      <c r="D92" s="434"/>
      <c r="E92" s="139">
        <f t="shared" si="8"/>
        <v>0</v>
      </c>
      <c r="F92" s="139" t="s">
        <v>102</v>
      </c>
      <c r="G92" s="87"/>
      <c r="H92" s="87" t="s">
        <v>103</v>
      </c>
      <c r="I92" s="140" t="e">
        <f t="shared" ref="I92" si="65">(G92/#REF!)*100</f>
        <v>#REF!</v>
      </c>
      <c r="J92" s="434"/>
      <c r="K92" s="139">
        <f t="shared" si="49"/>
        <v>0</v>
      </c>
      <c r="L92" s="139" t="s">
        <v>102</v>
      </c>
      <c r="M92" s="87"/>
      <c r="N92" s="87" t="s">
        <v>103</v>
      </c>
      <c r="O92" s="140" t="e">
        <f t="shared" si="64"/>
        <v>#DIV/0!</v>
      </c>
    </row>
    <row r="93" spans="1:15" ht="20.100000000000001" customHeight="1" x14ac:dyDescent="0.25">
      <c r="A93" s="431"/>
      <c r="B93" s="62"/>
      <c r="C93" s="64"/>
      <c r="D93" s="434"/>
      <c r="E93" s="139">
        <f t="shared" si="8"/>
        <v>0</v>
      </c>
      <c r="F93" s="139" t="s">
        <v>102</v>
      </c>
      <c r="G93" s="87"/>
      <c r="H93" s="87" t="s">
        <v>103</v>
      </c>
      <c r="I93" s="140" t="e">
        <f t="shared" ref="I93" si="66">(G93/#REF!)*100</f>
        <v>#REF!</v>
      </c>
      <c r="J93" s="434"/>
      <c r="K93" s="139">
        <f t="shared" si="49"/>
        <v>0</v>
      </c>
      <c r="L93" s="139" t="s">
        <v>102</v>
      </c>
      <c r="M93" s="87"/>
      <c r="N93" s="87" t="s">
        <v>103</v>
      </c>
      <c r="O93" s="140" t="e">
        <f t="shared" si="64"/>
        <v>#DIV/0!</v>
      </c>
    </row>
    <row r="94" spans="1:15" ht="20.100000000000001" customHeight="1" x14ac:dyDescent="0.25">
      <c r="A94" s="431"/>
      <c r="B94" s="62"/>
      <c r="C94" s="64"/>
      <c r="D94" s="434"/>
      <c r="E94" s="139">
        <f t="shared" si="8"/>
        <v>0</v>
      </c>
      <c r="F94" s="139" t="s">
        <v>102</v>
      </c>
      <c r="G94" s="87"/>
      <c r="H94" s="87" t="s">
        <v>103</v>
      </c>
      <c r="I94" s="140" t="e">
        <f t="shared" ref="I94" si="67">(G94/#REF!)*100</f>
        <v>#REF!</v>
      </c>
      <c r="J94" s="434"/>
      <c r="K94" s="139">
        <f t="shared" si="49"/>
        <v>0</v>
      </c>
      <c r="L94" s="139" t="s">
        <v>102</v>
      </c>
      <c r="M94" s="87"/>
      <c r="N94" s="87" t="s">
        <v>103</v>
      </c>
      <c r="O94" s="140" t="e">
        <f t="shared" si="64"/>
        <v>#DIV/0!</v>
      </c>
    </row>
    <row r="95" spans="1:15" ht="20.100000000000001" customHeight="1" x14ac:dyDescent="0.25">
      <c r="A95" s="431"/>
      <c r="B95" s="62"/>
      <c r="C95" s="64"/>
      <c r="D95" s="434"/>
      <c r="E95" s="139">
        <f t="shared" si="8"/>
        <v>0</v>
      </c>
      <c r="F95" s="139" t="s">
        <v>102</v>
      </c>
      <c r="G95" s="87"/>
      <c r="H95" s="87" t="s">
        <v>103</v>
      </c>
      <c r="I95" s="140" t="e">
        <f t="shared" ref="I95" si="68">(G95/#REF!)*100</f>
        <v>#REF!</v>
      </c>
      <c r="J95" s="434"/>
      <c r="K95" s="139">
        <f t="shared" si="49"/>
        <v>0</v>
      </c>
      <c r="L95" s="139" t="s">
        <v>102</v>
      </c>
      <c r="M95" s="87"/>
      <c r="N95" s="87" t="s">
        <v>103</v>
      </c>
      <c r="O95" s="140" t="e">
        <f t="shared" si="64"/>
        <v>#DIV/0!</v>
      </c>
    </row>
    <row r="96" spans="1:15" ht="23.25" customHeight="1" x14ac:dyDescent="0.25">
      <c r="A96" s="432"/>
      <c r="B96" s="62"/>
      <c r="C96" s="64"/>
      <c r="D96" s="434"/>
      <c r="E96" s="139">
        <f t="shared" si="8"/>
        <v>0</v>
      </c>
      <c r="F96" s="139" t="s">
        <v>102</v>
      </c>
      <c r="G96" s="87"/>
      <c r="H96" s="87" t="s">
        <v>103</v>
      </c>
      <c r="I96" s="140" t="e">
        <f t="shared" ref="I96" si="69">(G96/#REF!)*100</f>
        <v>#REF!</v>
      </c>
      <c r="J96" s="434"/>
      <c r="K96" s="139">
        <f t="shared" si="49"/>
        <v>0</v>
      </c>
      <c r="L96" s="139" t="s">
        <v>102</v>
      </c>
      <c r="M96" s="87"/>
      <c r="N96" s="87" t="s">
        <v>103</v>
      </c>
      <c r="O96" s="140" t="e">
        <f t="shared" si="64"/>
        <v>#DIV/0!</v>
      </c>
    </row>
    <row r="97" spans="1:15" ht="20.100000000000001" customHeight="1" x14ac:dyDescent="0.25">
      <c r="A97" s="431" t="s">
        <v>238</v>
      </c>
      <c r="B97" s="152" t="s">
        <v>246</v>
      </c>
      <c r="C97" s="64">
        <v>5</v>
      </c>
      <c r="D97" s="433">
        <v>13100</v>
      </c>
      <c r="E97" s="139">
        <f>($D$97*G97*$B$19*$C$19)/(1000000)</f>
        <v>20.46744</v>
      </c>
      <c r="F97" s="139" t="s">
        <v>102</v>
      </c>
      <c r="G97" s="87">
        <v>0.217</v>
      </c>
      <c r="H97" s="87" t="s">
        <v>103</v>
      </c>
      <c r="I97" s="140">
        <f>(G97/C97)*100</f>
        <v>4.34</v>
      </c>
      <c r="J97" s="433"/>
      <c r="K97" s="139">
        <f>($J$97*M97*$B$19*$C$19)/(1000000)</f>
        <v>0</v>
      </c>
      <c r="L97" s="139" t="s">
        <v>102</v>
      </c>
      <c r="M97" s="87"/>
      <c r="N97" s="87" t="s">
        <v>103</v>
      </c>
      <c r="O97" s="140">
        <f t="shared" ref="O97:O102" si="70">(M97/C97)*100</f>
        <v>0</v>
      </c>
    </row>
    <row r="98" spans="1:15" ht="20.100000000000001" customHeight="1" x14ac:dyDescent="0.25">
      <c r="A98" s="431"/>
      <c r="B98" s="152"/>
      <c r="C98" s="64"/>
      <c r="D98" s="434"/>
      <c r="E98" s="139">
        <f t="shared" si="8"/>
        <v>0</v>
      </c>
      <c r="F98" s="139" t="s">
        <v>102</v>
      </c>
      <c r="G98" s="87"/>
      <c r="H98" s="87" t="s">
        <v>103</v>
      </c>
      <c r="I98" s="140" t="e">
        <f t="shared" ref="I98" si="71">(G98/#REF!)*100</f>
        <v>#REF!</v>
      </c>
      <c r="J98" s="434"/>
      <c r="K98" s="139">
        <f t="shared" si="49"/>
        <v>0</v>
      </c>
      <c r="L98" s="139" t="s">
        <v>102</v>
      </c>
      <c r="M98" s="87"/>
      <c r="N98" s="87" t="s">
        <v>103</v>
      </c>
      <c r="O98" s="140" t="e">
        <f t="shared" si="70"/>
        <v>#DIV/0!</v>
      </c>
    </row>
    <row r="99" spans="1:15" ht="24" customHeight="1" x14ac:dyDescent="0.25">
      <c r="A99" s="431"/>
      <c r="B99" s="62"/>
      <c r="C99" s="64"/>
      <c r="D99" s="434"/>
      <c r="E99" s="139">
        <f t="shared" si="8"/>
        <v>0</v>
      </c>
      <c r="F99" s="139" t="s">
        <v>102</v>
      </c>
      <c r="G99" s="87"/>
      <c r="H99" s="87" t="s">
        <v>103</v>
      </c>
      <c r="I99" s="140" t="e">
        <f t="shared" ref="I99" si="72">(G99/#REF!)*100</f>
        <v>#REF!</v>
      </c>
      <c r="J99" s="434"/>
      <c r="K99" s="139">
        <f t="shared" si="49"/>
        <v>0</v>
      </c>
      <c r="L99" s="139" t="s">
        <v>102</v>
      </c>
      <c r="M99" s="87"/>
      <c r="N99" s="87" t="s">
        <v>103</v>
      </c>
      <c r="O99" s="140" t="e">
        <f t="shared" si="70"/>
        <v>#DIV/0!</v>
      </c>
    </row>
    <row r="100" spans="1:15" ht="24" customHeight="1" x14ac:dyDescent="0.25">
      <c r="A100" s="431"/>
      <c r="B100" s="62"/>
      <c r="C100" s="64"/>
      <c r="D100" s="434"/>
      <c r="E100" s="139">
        <f t="shared" si="8"/>
        <v>0</v>
      </c>
      <c r="F100" s="139" t="s">
        <v>102</v>
      </c>
      <c r="G100" s="87"/>
      <c r="H100" s="87" t="s">
        <v>103</v>
      </c>
      <c r="I100" s="140" t="e">
        <f t="shared" ref="I100" si="73">(G100/#REF!)*100</f>
        <v>#REF!</v>
      </c>
      <c r="J100" s="434"/>
      <c r="K100" s="139">
        <f t="shared" si="49"/>
        <v>0</v>
      </c>
      <c r="L100" s="139" t="s">
        <v>102</v>
      </c>
      <c r="M100" s="87"/>
      <c r="N100" s="87" t="s">
        <v>103</v>
      </c>
      <c r="O100" s="140" t="e">
        <f t="shared" si="70"/>
        <v>#DIV/0!</v>
      </c>
    </row>
    <row r="101" spans="1:15" ht="24" customHeight="1" x14ac:dyDescent="0.25">
      <c r="A101" s="431"/>
      <c r="B101" s="62"/>
      <c r="C101" s="64"/>
      <c r="D101" s="434"/>
      <c r="E101" s="139">
        <f t="shared" ref="E101:E138" si="74">($J$37*G101*$B$8*$C$8)/(1000000)</f>
        <v>0</v>
      </c>
      <c r="F101" s="139" t="s">
        <v>102</v>
      </c>
      <c r="G101" s="87"/>
      <c r="H101" s="87" t="s">
        <v>103</v>
      </c>
      <c r="I101" s="140" t="e">
        <f t="shared" ref="I101" si="75">(G101/#REF!)*100</f>
        <v>#REF!</v>
      </c>
      <c r="J101" s="434"/>
      <c r="K101" s="139">
        <f t="shared" si="49"/>
        <v>0</v>
      </c>
      <c r="L101" s="139" t="s">
        <v>102</v>
      </c>
      <c r="M101" s="87"/>
      <c r="N101" s="87" t="s">
        <v>103</v>
      </c>
      <c r="O101" s="140" t="e">
        <f t="shared" si="70"/>
        <v>#DIV/0!</v>
      </c>
    </row>
    <row r="102" spans="1:15" ht="24" customHeight="1" x14ac:dyDescent="0.25">
      <c r="A102" s="432"/>
      <c r="B102" s="62"/>
      <c r="C102" s="64"/>
      <c r="D102" s="434"/>
      <c r="E102" s="139">
        <f t="shared" si="74"/>
        <v>0</v>
      </c>
      <c r="F102" s="139" t="s">
        <v>102</v>
      </c>
      <c r="G102" s="87"/>
      <c r="H102" s="87" t="s">
        <v>103</v>
      </c>
      <c r="I102" s="140" t="e">
        <f t="shared" ref="I102" si="76">(G102/#REF!)*100</f>
        <v>#REF!</v>
      </c>
      <c r="J102" s="434"/>
      <c r="K102" s="139">
        <f t="shared" si="49"/>
        <v>0</v>
      </c>
      <c r="L102" s="139" t="s">
        <v>102</v>
      </c>
      <c r="M102" s="87"/>
      <c r="N102" s="87" t="s">
        <v>103</v>
      </c>
      <c r="O102" s="140" t="e">
        <f t="shared" si="70"/>
        <v>#DIV/0!</v>
      </c>
    </row>
    <row r="103" spans="1:15" ht="24" customHeight="1" x14ac:dyDescent="0.25">
      <c r="A103" s="431" t="s">
        <v>239</v>
      </c>
      <c r="B103" s="152" t="s">
        <v>246</v>
      </c>
      <c r="C103" s="64">
        <v>5</v>
      </c>
      <c r="D103" s="433">
        <v>18500</v>
      </c>
      <c r="E103" s="139">
        <f>($D$103*G103*$B$20*$C$20)/(1000000)</f>
        <v>5.0875000000000004</v>
      </c>
      <c r="F103" s="139" t="s">
        <v>102</v>
      </c>
      <c r="G103" s="87">
        <v>0.11</v>
      </c>
      <c r="H103" s="87" t="s">
        <v>103</v>
      </c>
      <c r="I103" s="140">
        <f>(G103/C103)*100</f>
        <v>2.1999999999999997</v>
      </c>
      <c r="J103" s="433"/>
      <c r="K103" s="139">
        <f>($J$103*M103*$B$20*$C$20)/(1000000)</f>
        <v>0</v>
      </c>
      <c r="L103" s="139" t="s">
        <v>102</v>
      </c>
      <c r="M103" s="87"/>
      <c r="N103" s="87" t="s">
        <v>103</v>
      </c>
      <c r="O103" s="140">
        <f t="shared" ref="O103:O108" si="77">(M103/C103)*100</f>
        <v>0</v>
      </c>
    </row>
    <row r="104" spans="1:15" ht="24" customHeight="1" x14ac:dyDescent="0.25">
      <c r="A104" s="431"/>
      <c r="B104" s="152"/>
      <c r="C104" s="64"/>
      <c r="D104" s="434"/>
      <c r="E104" s="139">
        <f t="shared" si="74"/>
        <v>0</v>
      </c>
      <c r="F104" s="139" t="s">
        <v>102</v>
      </c>
      <c r="G104" s="87"/>
      <c r="H104" s="87" t="s">
        <v>103</v>
      </c>
      <c r="I104" s="140" t="e">
        <f t="shared" ref="I104" si="78">(G104/#REF!)*100</f>
        <v>#REF!</v>
      </c>
      <c r="J104" s="434"/>
      <c r="K104" s="139">
        <f t="shared" si="49"/>
        <v>0</v>
      </c>
      <c r="L104" s="139" t="s">
        <v>102</v>
      </c>
      <c r="M104" s="87"/>
      <c r="N104" s="87" t="s">
        <v>103</v>
      </c>
      <c r="O104" s="140" t="e">
        <f t="shared" si="77"/>
        <v>#DIV/0!</v>
      </c>
    </row>
    <row r="105" spans="1:15" ht="24" customHeight="1" x14ac:dyDescent="0.25">
      <c r="A105" s="431"/>
      <c r="B105" s="62"/>
      <c r="C105" s="64"/>
      <c r="D105" s="434"/>
      <c r="E105" s="139">
        <f t="shared" si="74"/>
        <v>0</v>
      </c>
      <c r="F105" s="139" t="s">
        <v>102</v>
      </c>
      <c r="G105" s="87"/>
      <c r="H105" s="87" t="s">
        <v>103</v>
      </c>
      <c r="I105" s="140" t="e">
        <f t="shared" ref="I105" si="79">(G105/#REF!)*100</f>
        <v>#REF!</v>
      </c>
      <c r="J105" s="434"/>
      <c r="K105" s="139">
        <f t="shared" si="49"/>
        <v>0</v>
      </c>
      <c r="L105" s="139" t="s">
        <v>102</v>
      </c>
      <c r="M105" s="87"/>
      <c r="N105" s="87" t="s">
        <v>103</v>
      </c>
      <c r="O105" s="140" t="e">
        <f t="shared" si="77"/>
        <v>#DIV/0!</v>
      </c>
    </row>
    <row r="106" spans="1:15" ht="24" customHeight="1" x14ac:dyDescent="0.25">
      <c r="A106" s="431"/>
      <c r="B106" s="62"/>
      <c r="C106" s="64"/>
      <c r="D106" s="434"/>
      <c r="E106" s="139">
        <f t="shared" si="74"/>
        <v>0</v>
      </c>
      <c r="F106" s="139" t="s">
        <v>102</v>
      </c>
      <c r="G106" s="87"/>
      <c r="H106" s="87" t="s">
        <v>103</v>
      </c>
      <c r="I106" s="140" t="e">
        <f t="shared" ref="I106" si="80">(G106/#REF!)*100</f>
        <v>#REF!</v>
      </c>
      <c r="J106" s="434"/>
      <c r="K106" s="139">
        <f t="shared" si="49"/>
        <v>0</v>
      </c>
      <c r="L106" s="139" t="s">
        <v>102</v>
      </c>
      <c r="M106" s="87"/>
      <c r="N106" s="87" t="s">
        <v>103</v>
      </c>
      <c r="O106" s="140" t="e">
        <f t="shared" si="77"/>
        <v>#DIV/0!</v>
      </c>
    </row>
    <row r="107" spans="1:15" ht="24" customHeight="1" x14ac:dyDescent="0.25">
      <c r="A107" s="431"/>
      <c r="B107" s="62"/>
      <c r="C107" s="64"/>
      <c r="D107" s="434"/>
      <c r="E107" s="139">
        <f t="shared" si="74"/>
        <v>0</v>
      </c>
      <c r="F107" s="139" t="s">
        <v>102</v>
      </c>
      <c r="G107" s="87"/>
      <c r="H107" s="87" t="s">
        <v>103</v>
      </c>
      <c r="I107" s="140" t="e">
        <f t="shared" ref="I107" si="81">(G107/#REF!)*100</f>
        <v>#REF!</v>
      </c>
      <c r="J107" s="434"/>
      <c r="K107" s="139">
        <f t="shared" ref="K107:K138" si="82">($J$37*M107*$B$8*$C$8)/(1000000)</f>
        <v>0</v>
      </c>
      <c r="L107" s="139" t="s">
        <v>102</v>
      </c>
      <c r="M107" s="87"/>
      <c r="N107" s="87" t="s">
        <v>103</v>
      </c>
      <c r="O107" s="140" t="e">
        <f t="shared" si="77"/>
        <v>#DIV/0!</v>
      </c>
    </row>
    <row r="108" spans="1:15" ht="24.75" customHeight="1" x14ac:dyDescent="0.25">
      <c r="A108" s="432"/>
      <c r="B108" s="62"/>
      <c r="C108" s="64"/>
      <c r="D108" s="434"/>
      <c r="E108" s="139">
        <f t="shared" si="74"/>
        <v>0</v>
      </c>
      <c r="F108" s="139" t="s">
        <v>102</v>
      </c>
      <c r="G108" s="87"/>
      <c r="H108" s="87" t="s">
        <v>103</v>
      </c>
      <c r="I108" s="140" t="e">
        <f t="shared" ref="I108" si="83">(G108/#REF!)*100</f>
        <v>#REF!</v>
      </c>
      <c r="J108" s="434"/>
      <c r="K108" s="139">
        <f t="shared" si="82"/>
        <v>0</v>
      </c>
      <c r="L108" s="139" t="s">
        <v>102</v>
      </c>
      <c r="M108" s="87"/>
      <c r="N108" s="87" t="s">
        <v>103</v>
      </c>
      <c r="O108" s="140" t="e">
        <f t="shared" si="77"/>
        <v>#DIV/0!</v>
      </c>
    </row>
    <row r="109" spans="1:15" ht="20.100000000000001" customHeight="1" x14ac:dyDescent="0.25">
      <c r="A109" s="431" t="s">
        <v>240</v>
      </c>
      <c r="B109" s="152" t="s">
        <v>246</v>
      </c>
      <c r="C109" s="64">
        <v>5</v>
      </c>
      <c r="D109" s="433">
        <v>23600</v>
      </c>
      <c r="E109" s="139">
        <f>($D$109*G109*$B$21*$C$21)/(1000000)</f>
        <v>18.691199999999998</v>
      </c>
      <c r="F109" s="139" t="s">
        <v>102</v>
      </c>
      <c r="G109" s="87">
        <v>0.11</v>
      </c>
      <c r="H109" s="87" t="s">
        <v>103</v>
      </c>
      <c r="I109" s="140">
        <f>(G109/C109)*100</f>
        <v>2.1999999999999997</v>
      </c>
      <c r="J109" s="433"/>
      <c r="K109" s="139">
        <f>($J$109*M109*$B$21*$C$21)/(1000000)</f>
        <v>0</v>
      </c>
      <c r="L109" s="139" t="s">
        <v>102</v>
      </c>
      <c r="M109" s="87"/>
      <c r="N109" s="87" t="s">
        <v>103</v>
      </c>
      <c r="O109" s="140">
        <f t="shared" ref="O109:O114" si="84">(M109/C109)*100</f>
        <v>0</v>
      </c>
    </row>
    <row r="110" spans="1:15" ht="20.100000000000001" customHeight="1" x14ac:dyDescent="0.25">
      <c r="A110" s="431"/>
      <c r="B110" s="152"/>
      <c r="C110" s="64"/>
      <c r="D110" s="434"/>
      <c r="E110" s="139">
        <f t="shared" si="74"/>
        <v>0</v>
      </c>
      <c r="F110" s="139" t="s">
        <v>102</v>
      </c>
      <c r="G110" s="87"/>
      <c r="H110" s="87" t="s">
        <v>103</v>
      </c>
      <c r="I110" s="140" t="e">
        <f t="shared" ref="I110" si="85">(G110/#REF!)*100</f>
        <v>#REF!</v>
      </c>
      <c r="J110" s="434"/>
      <c r="K110" s="139">
        <f t="shared" si="82"/>
        <v>0</v>
      </c>
      <c r="L110" s="139" t="s">
        <v>102</v>
      </c>
      <c r="M110" s="87"/>
      <c r="N110" s="87" t="s">
        <v>103</v>
      </c>
      <c r="O110" s="140" t="e">
        <f t="shared" si="84"/>
        <v>#DIV/0!</v>
      </c>
    </row>
    <row r="111" spans="1:15" ht="20.100000000000001" customHeight="1" x14ac:dyDescent="0.25">
      <c r="A111" s="431"/>
      <c r="B111" s="62"/>
      <c r="C111" s="64"/>
      <c r="D111" s="434"/>
      <c r="E111" s="139">
        <f t="shared" si="74"/>
        <v>0</v>
      </c>
      <c r="F111" s="139" t="s">
        <v>102</v>
      </c>
      <c r="G111" s="87"/>
      <c r="H111" s="87" t="s">
        <v>103</v>
      </c>
      <c r="I111" s="140" t="e">
        <f t="shared" ref="I111" si="86">(G111/#REF!)*100</f>
        <v>#REF!</v>
      </c>
      <c r="J111" s="434"/>
      <c r="K111" s="139">
        <f t="shared" si="82"/>
        <v>0</v>
      </c>
      <c r="L111" s="139" t="s">
        <v>102</v>
      </c>
      <c r="M111" s="87"/>
      <c r="N111" s="87" t="s">
        <v>103</v>
      </c>
      <c r="O111" s="140" t="e">
        <f t="shared" si="84"/>
        <v>#DIV/0!</v>
      </c>
    </row>
    <row r="112" spans="1:15" ht="20.100000000000001" customHeight="1" x14ac:dyDescent="0.25">
      <c r="A112" s="431"/>
      <c r="B112" s="62"/>
      <c r="C112" s="64"/>
      <c r="D112" s="434"/>
      <c r="E112" s="139">
        <f t="shared" si="74"/>
        <v>0</v>
      </c>
      <c r="F112" s="139" t="s">
        <v>102</v>
      </c>
      <c r="G112" s="87"/>
      <c r="H112" s="87" t="s">
        <v>103</v>
      </c>
      <c r="I112" s="140" t="e">
        <f t="shared" ref="I112" si="87">(G112/#REF!)*100</f>
        <v>#REF!</v>
      </c>
      <c r="J112" s="434"/>
      <c r="K112" s="139">
        <f t="shared" si="82"/>
        <v>0</v>
      </c>
      <c r="L112" s="139" t="s">
        <v>102</v>
      </c>
      <c r="M112" s="87"/>
      <c r="N112" s="87" t="s">
        <v>103</v>
      </c>
      <c r="O112" s="140" t="e">
        <f t="shared" si="84"/>
        <v>#DIV/0!</v>
      </c>
    </row>
    <row r="113" spans="1:15" ht="20.100000000000001" customHeight="1" x14ac:dyDescent="0.25">
      <c r="A113" s="431"/>
      <c r="B113" s="62"/>
      <c r="C113" s="64"/>
      <c r="D113" s="434"/>
      <c r="E113" s="139">
        <f t="shared" si="74"/>
        <v>0</v>
      </c>
      <c r="F113" s="139" t="s">
        <v>102</v>
      </c>
      <c r="G113" s="87"/>
      <c r="H113" s="87" t="s">
        <v>103</v>
      </c>
      <c r="I113" s="140" t="e">
        <f t="shared" ref="I113" si="88">(G113/#REF!)*100</f>
        <v>#REF!</v>
      </c>
      <c r="J113" s="434"/>
      <c r="K113" s="139">
        <f t="shared" si="82"/>
        <v>0</v>
      </c>
      <c r="L113" s="139" t="s">
        <v>102</v>
      </c>
      <c r="M113" s="87"/>
      <c r="N113" s="87" t="s">
        <v>103</v>
      </c>
      <c r="O113" s="140" t="e">
        <f t="shared" si="84"/>
        <v>#DIV/0!</v>
      </c>
    </row>
    <row r="114" spans="1:15" ht="20.100000000000001" customHeight="1" x14ac:dyDescent="0.25">
      <c r="A114" s="432"/>
      <c r="B114" s="62"/>
      <c r="C114" s="64"/>
      <c r="D114" s="434"/>
      <c r="E114" s="139">
        <f t="shared" si="74"/>
        <v>0</v>
      </c>
      <c r="F114" s="139" t="s">
        <v>102</v>
      </c>
      <c r="G114" s="87"/>
      <c r="H114" s="87" t="s">
        <v>103</v>
      </c>
      <c r="I114" s="140" t="e">
        <f t="shared" ref="I114" si="89">(G114/#REF!)*100</f>
        <v>#REF!</v>
      </c>
      <c r="J114" s="434"/>
      <c r="K114" s="139">
        <f t="shared" si="82"/>
        <v>0</v>
      </c>
      <c r="L114" s="139" t="s">
        <v>102</v>
      </c>
      <c r="M114" s="87"/>
      <c r="N114" s="87" t="s">
        <v>103</v>
      </c>
      <c r="O114" s="140" t="e">
        <f t="shared" si="84"/>
        <v>#DIV/0!</v>
      </c>
    </row>
    <row r="115" spans="1:15" ht="20.100000000000001" customHeight="1" x14ac:dyDescent="0.25">
      <c r="A115" s="431" t="s">
        <v>241</v>
      </c>
      <c r="B115" s="152" t="s">
        <v>246</v>
      </c>
      <c r="C115" s="64">
        <v>5</v>
      </c>
      <c r="D115" s="433"/>
      <c r="E115" s="139">
        <f>($D$115*G115*$B$23*$C$23)/(1000000)</f>
        <v>0</v>
      </c>
      <c r="F115" s="139" t="s">
        <v>102</v>
      </c>
      <c r="G115" s="87"/>
      <c r="H115" s="87" t="s">
        <v>103</v>
      </c>
      <c r="I115" s="140">
        <f>(G115/C115)*100</f>
        <v>0</v>
      </c>
      <c r="J115" s="433">
        <v>2020</v>
      </c>
      <c r="K115" s="139">
        <f>($J$115*M115*$B$23*$C$23)/(1000000)</f>
        <v>0.72719999999999996</v>
      </c>
      <c r="L115" s="139" t="s">
        <v>102</v>
      </c>
      <c r="M115" s="87">
        <v>0.12</v>
      </c>
      <c r="N115" s="87" t="s">
        <v>103</v>
      </c>
      <c r="O115" s="140">
        <f t="shared" ref="O115:O120" si="90">(M115/C115)*100</f>
        <v>2.4</v>
      </c>
    </row>
    <row r="116" spans="1:15" ht="20.100000000000001" customHeight="1" x14ac:dyDescent="0.25">
      <c r="A116" s="431"/>
      <c r="B116" s="152"/>
      <c r="C116" s="64"/>
      <c r="D116" s="434"/>
      <c r="E116" s="139">
        <f t="shared" si="74"/>
        <v>0</v>
      </c>
      <c r="F116" s="139" t="s">
        <v>102</v>
      </c>
      <c r="G116" s="87"/>
      <c r="H116" s="87" t="s">
        <v>103</v>
      </c>
      <c r="I116" s="140" t="e">
        <f t="shared" ref="I116" si="91">(G116/#REF!)*100</f>
        <v>#REF!</v>
      </c>
      <c r="J116" s="434"/>
      <c r="K116" s="139">
        <f t="shared" si="82"/>
        <v>0</v>
      </c>
      <c r="L116" s="139" t="s">
        <v>102</v>
      </c>
      <c r="M116" s="87"/>
      <c r="N116" s="87" t="s">
        <v>103</v>
      </c>
      <c r="O116" s="140" t="e">
        <f t="shared" si="90"/>
        <v>#DIV/0!</v>
      </c>
    </row>
    <row r="117" spans="1:15" ht="20.100000000000001" customHeight="1" x14ac:dyDescent="0.25">
      <c r="A117" s="431"/>
      <c r="B117" s="62"/>
      <c r="C117" s="64"/>
      <c r="D117" s="434"/>
      <c r="E117" s="139">
        <f t="shared" si="74"/>
        <v>0</v>
      </c>
      <c r="F117" s="139" t="s">
        <v>102</v>
      </c>
      <c r="G117" s="87"/>
      <c r="H117" s="87" t="s">
        <v>103</v>
      </c>
      <c r="I117" s="140" t="e">
        <f t="shared" ref="I117" si="92">(G117/#REF!)*100</f>
        <v>#REF!</v>
      </c>
      <c r="J117" s="434"/>
      <c r="K117" s="139">
        <f t="shared" si="82"/>
        <v>0</v>
      </c>
      <c r="L117" s="139" t="s">
        <v>102</v>
      </c>
      <c r="M117" s="87"/>
      <c r="N117" s="87" t="s">
        <v>103</v>
      </c>
      <c r="O117" s="140" t="e">
        <f t="shared" si="90"/>
        <v>#DIV/0!</v>
      </c>
    </row>
    <row r="118" spans="1:15" ht="20.100000000000001" customHeight="1" x14ac:dyDescent="0.25">
      <c r="A118" s="431"/>
      <c r="B118" s="62"/>
      <c r="C118" s="64"/>
      <c r="D118" s="434"/>
      <c r="E118" s="139">
        <f t="shared" si="74"/>
        <v>0</v>
      </c>
      <c r="F118" s="139" t="s">
        <v>102</v>
      </c>
      <c r="G118" s="87"/>
      <c r="H118" s="87" t="s">
        <v>103</v>
      </c>
      <c r="I118" s="140" t="e">
        <f t="shared" ref="I118" si="93">(G118/#REF!)*100</f>
        <v>#REF!</v>
      </c>
      <c r="J118" s="434"/>
      <c r="K118" s="139">
        <f t="shared" si="82"/>
        <v>0</v>
      </c>
      <c r="L118" s="139" t="s">
        <v>102</v>
      </c>
      <c r="M118" s="87"/>
      <c r="N118" s="87" t="s">
        <v>103</v>
      </c>
      <c r="O118" s="140" t="e">
        <f t="shared" si="90"/>
        <v>#DIV/0!</v>
      </c>
    </row>
    <row r="119" spans="1:15" ht="20.100000000000001" customHeight="1" x14ac:dyDescent="0.25">
      <c r="A119" s="431"/>
      <c r="B119" s="62"/>
      <c r="C119" s="64"/>
      <c r="D119" s="434"/>
      <c r="E119" s="139">
        <f t="shared" si="74"/>
        <v>0</v>
      </c>
      <c r="F119" s="139" t="s">
        <v>102</v>
      </c>
      <c r="G119" s="87"/>
      <c r="H119" s="87" t="s">
        <v>103</v>
      </c>
      <c r="I119" s="140" t="e">
        <f t="shared" ref="I119" si="94">(G119/#REF!)*100</f>
        <v>#REF!</v>
      </c>
      <c r="J119" s="434"/>
      <c r="K119" s="139">
        <f t="shared" si="82"/>
        <v>0</v>
      </c>
      <c r="L119" s="139" t="s">
        <v>102</v>
      </c>
      <c r="M119" s="87"/>
      <c r="N119" s="87" t="s">
        <v>103</v>
      </c>
      <c r="O119" s="140" t="e">
        <f t="shared" si="90"/>
        <v>#DIV/0!</v>
      </c>
    </row>
    <row r="120" spans="1:15" ht="20.100000000000001" customHeight="1" x14ac:dyDescent="0.25">
      <c r="A120" s="432"/>
      <c r="B120" s="62"/>
      <c r="C120" s="64"/>
      <c r="D120" s="434"/>
      <c r="E120" s="139">
        <f t="shared" si="74"/>
        <v>0</v>
      </c>
      <c r="F120" s="139" t="s">
        <v>102</v>
      </c>
      <c r="G120" s="87"/>
      <c r="H120" s="87" t="s">
        <v>103</v>
      </c>
      <c r="I120" s="140" t="e">
        <f t="shared" ref="I120" si="95">(G120/#REF!)*100</f>
        <v>#REF!</v>
      </c>
      <c r="J120" s="434"/>
      <c r="K120" s="139">
        <f t="shared" si="82"/>
        <v>0</v>
      </c>
      <c r="L120" s="139" t="s">
        <v>102</v>
      </c>
      <c r="M120" s="87"/>
      <c r="N120" s="87" t="s">
        <v>103</v>
      </c>
      <c r="O120" s="140" t="e">
        <f t="shared" si="90"/>
        <v>#DIV/0!</v>
      </c>
    </row>
    <row r="121" spans="1:15" ht="20.100000000000001" customHeight="1" x14ac:dyDescent="0.25">
      <c r="A121" s="431" t="s">
        <v>242</v>
      </c>
      <c r="B121" s="152" t="s">
        <v>246</v>
      </c>
      <c r="C121" s="64">
        <v>5</v>
      </c>
      <c r="D121" s="433"/>
      <c r="E121" s="139">
        <f>($D$121*G121*$B$23*$C$23)/(1000000)</f>
        <v>0</v>
      </c>
      <c r="F121" s="139" t="s">
        <v>102</v>
      </c>
      <c r="G121" s="87"/>
      <c r="H121" s="87" t="s">
        <v>103</v>
      </c>
      <c r="I121" s="140">
        <f>(G121/C121)*100</f>
        <v>0</v>
      </c>
      <c r="J121" s="433">
        <v>2160</v>
      </c>
      <c r="K121" s="139">
        <f>($J$121*M121*$B$23*$C$23)/(1000000)</f>
        <v>0.77759999999999996</v>
      </c>
      <c r="L121" s="139" t="s">
        <v>102</v>
      </c>
      <c r="M121" s="87">
        <v>0.12</v>
      </c>
      <c r="N121" s="87" t="s">
        <v>103</v>
      </c>
      <c r="O121" s="140">
        <f t="shared" ref="O121:O126" si="96">(M121/C121)*100</f>
        <v>2.4</v>
      </c>
    </row>
    <row r="122" spans="1:15" ht="20.100000000000001" customHeight="1" x14ac:dyDescent="0.25">
      <c r="A122" s="431"/>
      <c r="B122" s="152"/>
      <c r="C122" s="64"/>
      <c r="D122" s="434"/>
      <c r="E122" s="139">
        <f t="shared" si="74"/>
        <v>0</v>
      </c>
      <c r="F122" s="139" t="s">
        <v>102</v>
      </c>
      <c r="G122" s="87"/>
      <c r="H122" s="87" t="s">
        <v>103</v>
      </c>
      <c r="I122" s="140" t="e">
        <f t="shared" ref="I122" si="97">(G122/#REF!)*100</f>
        <v>#REF!</v>
      </c>
      <c r="J122" s="434"/>
      <c r="K122" s="139">
        <f t="shared" si="82"/>
        <v>0</v>
      </c>
      <c r="L122" s="139" t="s">
        <v>102</v>
      </c>
      <c r="M122" s="87"/>
      <c r="N122" s="87" t="s">
        <v>103</v>
      </c>
      <c r="O122" s="140" t="e">
        <f t="shared" si="96"/>
        <v>#DIV/0!</v>
      </c>
    </row>
    <row r="123" spans="1:15" ht="20.100000000000001" customHeight="1" x14ac:dyDescent="0.25">
      <c r="A123" s="431"/>
      <c r="B123" s="62"/>
      <c r="C123" s="64"/>
      <c r="D123" s="434"/>
      <c r="E123" s="139">
        <f t="shared" si="74"/>
        <v>0</v>
      </c>
      <c r="F123" s="139" t="s">
        <v>102</v>
      </c>
      <c r="G123" s="87"/>
      <c r="H123" s="87" t="s">
        <v>103</v>
      </c>
      <c r="I123" s="140" t="e">
        <f t="shared" ref="I123" si="98">(G123/#REF!)*100</f>
        <v>#REF!</v>
      </c>
      <c r="J123" s="434"/>
      <c r="K123" s="139">
        <f t="shared" si="82"/>
        <v>0</v>
      </c>
      <c r="L123" s="139" t="s">
        <v>102</v>
      </c>
      <c r="M123" s="87"/>
      <c r="N123" s="87" t="s">
        <v>103</v>
      </c>
      <c r="O123" s="140" t="e">
        <f t="shared" si="96"/>
        <v>#DIV/0!</v>
      </c>
    </row>
    <row r="124" spans="1:15" ht="20.100000000000001" customHeight="1" x14ac:dyDescent="0.25">
      <c r="A124" s="431"/>
      <c r="B124" s="62"/>
      <c r="C124" s="64"/>
      <c r="D124" s="434"/>
      <c r="E124" s="139">
        <f t="shared" si="74"/>
        <v>0</v>
      </c>
      <c r="F124" s="139" t="s">
        <v>102</v>
      </c>
      <c r="G124" s="87"/>
      <c r="H124" s="87" t="s">
        <v>103</v>
      </c>
      <c r="I124" s="140" t="e">
        <f t="shared" ref="I124" si="99">(G124/#REF!)*100</f>
        <v>#REF!</v>
      </c>
      <c r="J124" s="434"/>
      <c r="K124" s="139">
        <f t="shared" si="82"/>
        <v>0</v>
      </c>
      <c r="L124" s="139" t="s">
        <v>102</v>
      </c>
      <c r="M124" s="87"/>
      <c r="N124" s="87" t="s">
        <v>103</v>
      </c>
      <c r="O124" s="140" t="e">
        <f t="shared" si="96"/>
        <v>#DIV/0!</v>
      </c>
    </row>
    <row r="125" spans="1:15" ht="20.100000000000001" customHeight="1" x14ac:dyDescent="0.25">
      <c r="A125" s="431"/>
      <c r="B125" s="62"/>
      <c r="C125" s="64"/>
      <c r="D125" s="434"/>
      <c r="E125" s="139">
        <f t="shared" si="74"/>
        <v>0</v>
      </c>
      <c r="F125" s="139" t="s">
        <v>102</v>
      </c>
      <c r="G125" s="87"/>
      <c r="H125" s="87" t="s">
        <v>103</v>
      </c>
      <c r="I125" s="140" t="e">
        <f t="shared" ref="I125" si="100">(G125/#REF!)*100</f>
        <v>#REF!</v>
      </c>
      <c r="J125" s="434"/>
      <c r="K125" s="139">
        <f t="shared" si="82"/>
        <v>0</v>
      </c>
      <c r="L125" s="139" t="s">
        <v>102</v>
      </c>
      <c r="M125" s="87"/>
      <c r="N125" s="87" t="s">
        <v>103</v>
      </c>
      <c r="O125" s="140" t="e">
        <f t="shared" si="96"/>
        <v>#DIV/0!</v>
      </c>
    </row>
    <row r="126" spans="1:15" ht="20.100000000000001" customHeight="1" x14ac:dyDescent="0.25">
      <c r="A126" s="432"/>
      <c r="B126" s="62"/>
      <c r="C126" s="64"/>
      <c r="D126" s="434"/>
      <c r="E126" s="139">
        <f t="shared" si="74"/>
        <v>0</v>
      </c>
      <c r="F126" s="139" t="s">
        <v>102</v>
      </c>
      <c r="G126" s="87"/>
      <c r="H126" s="87" t="s">
        <v>103</v>
      </c>
      <c r="I126" s="140" t="e">
        <f t="shared" ref="I126" si="101">(G126/#REF!)*100</f>
        <v>#REF!</v>
      </c>
      <c r="J126" s="434"/>
      <c r="K126" s="139">
        <f t="shared" si="82"/>
        <v>0</v>
      </c>
      <c r="L126" s="139" t="s">
        <v>102</v>
      </c>
      <c r="M126" s="87"/>
      <c r="N126" s="87" t="s">
        <v>103</v>
      </c>
      <c r="O126" s="140" t="e">
        <f t="shared" si="96"/>
        <v>#DIV/0!</v>
      </c>
    </row>
    <row r="127" spans="1:15" ht="20.100000000000001" customHeight="1" x14ac:dyDescent="0.25">
      <c r="A127" s="431" t="s">
        <v>243</v>
      </c>
      <c r="B127" s="152" t="s">
        <v>246</v>
      </c>
      <c r="C127" s="64">
        <v>5</v>
      </c>
      <c r="D127" s="433"/>
      <c r="E127" s="139">
        <f>($D$127*G127*$B$23*$C$23)/(1000000)</f>
        <v>0</v>
      </c>
      <c r="F127" s="139" t="s">
        <v>102</v>
      </c>
      <c r="G127" s="87"/>
      <c r="H127" s="87" t="s">
        <v>103</v>
      </c>
      <c r="I127" s="140">
        <f>(G127/C127)*100</f>
        <v>0</v>
      </c>
      <c r="J127" s="433">
        <v>2210</v>
      </c>
      <c r="K127" s="139">
        <f>($J$127*M127*$B$23*$C$23)/(1000000)</f>
        <v>0.79559999999999997</v>
      </c>
      <c r="L127" s="139" t="s">
        <v>102</v>
      </c>
      <c r="M127" s="87">
        <v>0.12</v>
      </c>
      <c r="N127" s="87" t="s">
        <v>103</v>
      </c>
      <c r="O127" s="140">
        <f t="shared" ref="O127:O132" si="102">(M127/C127)*100</f>
        <v>2.4</v>
      </c>
    </row>
    <row r="128" spans="1:15" ht="20.100000000000001" customHeight="1" x14ac:dyDescent="0.25">
      <c r="A128" s="431"/>
      <c r="B128" s="152"/>
      <c r="C128" s="64"/>
      <c r="D128" s="434"/>
      <c r="E128" s="139">
        <f t="shared" si="74"/>
        <v>0</v>
      </c>
      <c r="F128" s="139" t="s">
        <v>102</v>
      </c>
      <c r="G128" s="87"/>
      <c r="H128" s="87" t="s">
        <v>103</v>
      </c>
      <c r="I128" s="140" t="e">
        <f t="shared" ref="I128" si="103">(G128/#REF!)*100</f>
        <v>#REF!</v>
      </c>
      <c r="J128" s="434"/>
      <c r="K128" s="139">
        <f t="shared" si="82"/>
        <v>0</v>
      </c>
      <c r="L128" s="139" t="s">
        <v>102</v>
      </c>
      <c r="M128" s="87"/>
      <c r="N128" s="87" t="s">
        <v>103</v>
      </c>
      <c r="O128" s="140" t="e">
        <f t="shared" si="102"/>
        <v>#DIV/0!</v>
      </c>
    </row>
    <row r="129" spans="1:15" ht="20.100000000000001" customHeight="1" x14ac:dyDescent="0.25">
      <c r="A129" s="431"/>
      <c r="B129" s="62"/>
      <c r="C129" s="64"/>
      <c r="D129" s="434"/>
      <c r="E129" s="139">
        <f t="shared" si="74"/>
        <v>0</v>
      </c>
      <c r="F129" s="139" t="s">
        <v>102</v>
      </c>
      <c r="G129" s="87"/>
      <c r="H129" s="87" t="s">
        <v>103</v>
      </c>
      <c r="I129" s="140" t="e">
        <f t="shared" ref="I129" si="104">(G129/#REF!)*100</f>
        <v>#REF!</v>
      </c>
      <c r="J129" s="434"/>
      <c r="K129" s="139">
        <f t="shared" si="82"/>
        <v>0</v>
      </c>
      <c r="L129" s="139" t="s">
        <v>102</v>
      </c>
      <c r="M129" s="87"/>
      <c r="N129" s="87" t="s">
        <v>103</v>
      </c>
      <c r="O129" s="140" t="e">
        <f t="shared" si="102"/>
        <v>#DIV/0!</v>
      </c>
    </row>
    <row r="130" spans="1:15" ht="20.100000000000001" customHeight="1" x14ac:dyDescent="0.25">
      <c r="A130" s="431"/>
      <c r="B130" s="62"/>
      <c r="C130" s="64"/>
      <c r="D130" s="434"/>
      <c r="E130" s="139">
        <f t="shared" si="74"/>
        <v>0</v>
      </c>
      <c r="F130" s="139" t="s">
        <v>102</v>
      </c>
      <c r="G130" s="87"/>
      <c r="H130" s="87" t="s">
        <v>103</v>
      </c>
      <c r="I130" s="140" t="e">
        <f t="shared" ref="I130" si="105">(G130/#REF!)*100</f>
        <v>#REF!</v>
      </c>
      <c r="J130" s="434"/>
      <c r="K130" s="139">
        <f t="shared" si="82"/>
        <v>0</v>
      </c>
      <c r="L130" s="139" t="s">
        <v>102</v>
      </c>
      <c r="M130" s="87"/>
      <c r="N130" s="87" t="s">
        <v>103</v>
      </c>
      <c r="O130" s="140" t="e">
        <f t="shared" si="102"/>
        <v>#DIV/0!</v>
      </c>
    </row>
    <row r="131" spans="1:15" ht="20.100000000000001" customHeight="1" x14ac:dyDescent="0.25">
      <c r="A131" s="431"/>
      <c r="B131" s="62"/>
      <c r="C131" s="64"/>
      <c r="D131" s="434"/>
      <c r="E131" s="139">
        <f t="shared" si="74"/>
        <v>0</v>
      </c>
      <c r="F131" s="139" t="s">
        <v>102</v>
      </c>
      <c r="G131" s="87"/>
      <c r="H131" s="87" t="s">
        <v>103</v>
      </c>
      <c r="I131" s="140" t="e">
        <f t="shared" ref="I131" si="106">(G131/#REF!)*100</f>
        <v>#REF!</v>
      </c>
      <c r="J131" s="434"/>
      <c r="K131" s="139">
        <f t="shared" si="82"/>
        <v>0</v>
      </c>
      <c r="L131" s="139" t="s">
        <v>102</v>
      </c>
      <c r="M131" s="87"/>
      <c r="N131" s="87" t="s">
        <v>103</v>
      </c>
      <c r="O131" s="140" t="e">
        <f t="shared" si="102"/>
        <v>#DIV/0!</v>
      </c>
    </row>
    <row r="132" spans="1:15" ht="20.100000000000001" customHeight="1" x14ac:dyDescent="0.25">
      <c r="A132" s="432"/>
      <c r="B132" s="62"/>
      <c r="C132" s="64"/>
      <c r="D132" s="434"/>
      <c r="E132" s="139">
        <f t="shared" si="74"/>
        <v>0</v>
      </c>
      <c r="F132" s="139" t="s">
        <v>102</v>
      </c>
      <c r="G132" s="87"/>
      <c r="H132" s="87" t="s">
        <v>103</v>
      </c>
      <c r="I132" s="140" t="e">
        <f t="shared" ref="I132" si="107">(G132/#REF!)*100</f>
        <v>#REF!</v>
      </c>
      <c r="J132" s="434"/>
      <c r="K132" s="139">
        <f t="shared" si="82"/>
        <v>0</v>
      </c>
      <c r="L132" s="139" t="s">
        <v>102</v>
      </c>
      <c r="M132" s="87"/>
      <c r="N132" s="87" t="s">
        <v>103</v>
      </c>
      <c r="O132" s="140" t="e">
        <f t="shared" si="102"/>
        <v>#DIV/0!</v>
      </c>
    </row>
    <row r="133" spans="1:15" ht="20.100000000000001" customHeight="1" x14ac:dyDescent="0.25">
      <c r="A133" s="431" t="s">
        <v>244</v>
      </c>
      <c r="B133" s="152" t="s">
        <v>246</v>
      </c>
      <c r="C133" s="64">
        <v>5</v>
      </c>
      <c r="D133" s="433"/>
      <c r="E133" s="139">
        <f>($D$133*G133*$B$23*$C$23)/(1000000)</f>
        <v>0</v>
      </c>
      <c r="F133" s="139" t="s">
        <v>102</v>
      </c>
      <c r="G133" s="87"/>
      <c r="H133" s="87" t="s">
        <v>103</v>
      </c>
      <c r="I133" s="140">
        <f>(G133/C133)*100</f>
        <v>0</v>
      </c>
      <c r="J133" s="433">
        <v>2070</v>
      </c>
      <c r="K133" s="139">
        <f>($J$133*M133*$B$23*$C$23)/(1000000)</f>
        <v>0.74519999999999997</v>
      </c>
      <c r="L133" s="139" t="s">
        <v>102</v>
      </c>
      <c r="M133" s="87">
        <v>0.12</v>
      </c>
      <c r="N133" s="87" t="s">
        <v>103</v>
      </c>
      <c r="O133" s="140">
        <f t="shared" ref="O133:O138" si="108">(M133/C133)*100</f>
        <v>2.4</v>
      </c>
    </row>
    <row r="134" spans="1:15" ht="20.100000000000001" customHeight="1" x14ac:dyDescent="0.25">
      <c r="A134" s="431"/>
      <c r="B134" s="152"/>
      <c r="C134" s="64"/>
      <c r="D134" s="434"/>
      <c r="E134" s="139">
        <f t="shared" si="74"/>
        <v>0</v>
      </c>
      <c r="F134" s="139" t="s">
        <v>102</v>
      </c>
      <c r="G134" s="87"/>
      <c r="H134" s="87" t="s">
        <v>103</v>
      </c>
      <c r="I134" s="140" t="e">
        <f t="shared" ref="I134" si="109">(G134/#REF!)*100</f>
        <v>#REF!</v>
      </c>
      <c r="J134" s="434"/>
      <c r="K134" s="139">
        <f t="shared" si="82"/>
        <v>0</v>
      </c>
      <c r="L134" s="139" t="s">
        <v>102</v>
      </c>
      <c r="M134" s="87"/>
      <c r="N134" s="87" t="s">
        <v>103</v>
      </c>
      <c r="O134" s="140" t="e">
        <f t="shared" si="108"/>
        <v>#DIV/0!</v>
      </c>
    </row>
    <row r="135" spans="1:15" ht="20.100000000000001" customHeight="1" x14ac:dyDescent="0.25">
      <c r="A135" s="431"/>
      <c r="B135" s="62"/>
      <c r="C135" s="64"/>
      <c r="D135" s="434"/>
      <c r="E135" s="139">
        <f t="shared" si="74"/>
        <v>0</v>
      </c>
      <c r="F135" s="139" t="s">
        <v>102</v>
      </c>
      <c r="G135" s="87"/>
      <c r="H135" s="87" t="s">
        <v>103</v>
      </c>
      <c r="I135" s="140" t="e">
        <f t="shared" ref="I135" si="110">(G135/#REF!)*100</f>
        <v>#REF!</v>
      </c>
      <c r="J135" s="434"/>
      <c r="K135" s="139">
        <f t="shared" si="82"/>
        <v>0</v>
      </c>
      <c r="L135" s="139" t="s">
        <v>102</v>
      </c>
      <c r="M135" s="87"/>
      <c r="N135" s="87" t="s">
        <v>103</v>
      </c>
      <c r="O135" s="140" t="e">
        <f t="shared" si="108"/>
        <v>#DIV/0!</v>
      </c>
    </row>
    <row r="136" spans="1:15" ht="20.100000000000001" customHeight="1" x14ac:dyDescent="0.25">
      <c r="A136" s="431"/>
      <c r="B136" s="62"/>
      <c r="C136" s="64"/>
      <c r="D136" s="434"/>
      <c r="E136" s="139">
        <f t="shared" si="74"/>
        <v>0</v>
      </c>
      <c r="F136" s="139" t="s">
        <v>102</v>
      </c>
      <c r="G136" s="87"/>
      <c r="H136" s="87" t="s">
        <v>103</v>
      </c>
      <c r="I136" s="140" t="e">
        <f t="shared" ref="I136" si="111">(G136/#REF!)*100</f>
        <v>#REF!</v>
      </c>
      <c r="J136" s="434"/>
      <c r="K136" s="139">
        <f t="shared" si="82"/>
        <v>0</v>
      </c>
      <c r="L136" s="139" t="s">
        <v>102</v>
      </c>
      <c r="M136" s="87"/>
      <c r="N136" s="87" t="s">
        <v>103</v>
      </c>
      <c r="O136" s="140" t="e">
        <f t="shared" si="108"/>
        <v>#DIV/0!</v>
      </c>
    </row>
    <row r="137" spans="1:15" ht="20.100000000000001" customHeight="1" x14ac:dyDescent="0.25">
      <c r="A137" s="431"/>
      <c r="B137" s="62"/>
      <c r="C137" s="64"/>
      <c r="D137" s="434"/>
      <c r="E137" s="139">
        <f t="shared" si="74"/>
        <v>0</v>
      </c>
      <c r="F137" s="139" t="s">
        <v>102</v>
      </c>
      <c r="G137" s="87"/>
      <c r="H137" s="87" t="s">
        <v>103</v>
      </c>
      <c r="I137" s="140" t="e">
        <f t="shared" ref="I137" si="112">(G137/#REF!)*100</f>
        <v>#REF!</v>
      </c>
      <c r="J137" s="434"/>
      <c r="K137" s="139">
        <f t="shared" si="82"/>
        <v>0</v>
      </c>
      <c r="L137" s="139" t="s">
        <v>102</v>
      </c>
      <c r="M137" s="87"/>
      <c r="N137" s="87" t="s">
        <v>103</v>
      </c>
      <c r="O137" s="140" t="e">
        <f t="shared" si="108"/>
        <v>#DIV/0!</v>
      </c>
    </row>
    <row r="138" spans="1:15" ht="20.100000000000001" customHeight="1" thickBot="1" x14ac:dyDescent="0.3">
      <c r="A138" s="447"/>
      <c r="B138" s="67"/>
      <c r="C138" s="69"/>
      <c r="D138" s="448"/>
      <c r="E138" s="143">
        <f t="shared" si="74"/>
        <v>0</v>
      </c>
      <c r="F138" s="143" t="s">
        <v>102</v>
      </c>
      <c r="G138" s="90"/>
      <c r="H138" s="90" t="s">
        <v>103</v>
      </c>
      <c r="I138" s="144" t="e">
        <f t="shared" ref="I138" si="113">(G138/#REF!)*100</f>
        <v>#REF!</v>
      </c>
      <c r="J138" s="448"/>
      <c r="K138" s="143">
        <f t="shared" si="82"/>
        <v>0</v>
      </c>
      <c r="L138" s="143" t="s">
        <v>102</v>
      </c>
      <c r="M138" s="90"/>
      <c r="N138" s="90" t="s">
        <v>103</v>
      </c>
      <c r="O138" s="144" t="e">
        <f t="shared" si="108"/>
        <v>#DIV/0!</v>
      </c>
    </row>
    <row r="139" spans="1:15" ht="20.100000000000001" customHeight="1" x14ac:dyDescent="0.25"/>
    <row r="140" spans="1:15" ht="20.100000000000001" customHeight="1" x14ac:dyDescent="0.25"/>
    <row r="141" spans="1:15" ht="20.100000000000001" customHeight="1" x14ac:dyDescent="0.25"/>
    <row r="142" spans="1:15" ht="20.100000000000001" customHeight="1" x14ac:dyDescent="0.25"/>
    <row r="143" spans="1:15" ht="20.100000000000001" customHeight="1" x14ac:dyDescent="0.25"/>
    <row r="144" spans="1:15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  <row r="219" ht="20.100000000000001" customHeight="1" x14ac:dyDescent="0.25"/>
    <row r="220" ht="20.100000000000001" customHeight="1" x14ac:dyDescent="0.25"/>
    <row r="221" ht="20.100000000000001" customHeight="1" x14ac:dyDescent="0.25"/>
    <row r="222" ht="20.100000000000001" customHeight="1" x14ac:dyDescent="0.25"/>
    <row r="223" ht="20.100000000000001" customHeight="1" x14ac:dyDescent="0.25"/>
    <row r="224" ht="20.100000000000001" customHeight="1" x14ac:dyDescent="0.25"/>
    <row r="225" ht="20.100000000000001" customHeight="1" x14ac:dyDescent="0.25"/>
    <row r="226" ht="20.100000000000001" customHeight="1" x14ac:dyDescent="0.25"/>
    <row r="227" ht="20.100000000000001" customHeight="1" x14ac:dyDescent="0.25"/>
    <row r="228" ht="20.100000000000001" customHeight="1" x14ac:dyDescent="0.25"/>
    <row r="229" ht="20.100000000000001" customHeight="1" x14ac:dyDescent="0.25"/>
    <row r="230" ht="20.100000000000001" customHeight="1" x14ac:dyDescent="0.25"/>
    <row r="231" ht="20.100000000000001" customHeight="1" x14ac:dyDescent="0.25"/>
    <row r="232" ht="20.100000000000001" customHeight="1" x14ac:dyDescent="0.25"/>
    <row r="233" ht="20.100000000000001" customHeight="1" x14ac:dyDescent="0.25"/>
    <row r="234" ht="20.100000000000001" customHeight="1" x14ac:dyDescent="0.25"/>
    <row r="235" ht="20.100000000000001" customHeight="1" x14ac:dyDescent="0.25"/>
    <row r="236" ht="20.100000000000001" customHeight="1" x14ac:dyDescent="0.25"/>
    <row r="237" ht="20.100000000000001" customHeight="1" x14ac:dyDescent="0.25"/>
    <row r="238" ht="20.100000000000001" customHeight="1" x14ac:dyDescent="0.25"/>
    <row r="239" ht="20.100000000000001" customHeight="1" x14ac:dyDescent="0.25"/>
    <row r="240" ht="20.100000000000001" customHeight="1" x14ac:dyDescent="0.25"/>
    <row r="241" ht="20.100000000000001" customHeight="1" x14ac:dyDescent="0.25"/>
    <row r="242" ht="20.100000000000001" customHeight="1" x14ac:dyDescent="0.25"/>
    <row r="243" ht="20.100000000000001" customHeight="1" x14ac:dyDescent="0.25"/>
    <row r="244" ht="20.100000000000001" customHeight="1" x14ac:dyDescent="0.25"/>
    <row r="245" ht="20.100000000000001" customHeight="1" x14ac:dyDescent="0.25"/>
    <row r="246" ht="20.100000000000001" customHeight="1" x14ac:dyDescent="0.25"/>
    <row r="247" ht="20.100000000000001" customHeight="1" x14ac:dyDescent="0.25"/>
    <row r="248" ht="20.100000000000001" customHeight="1" x14ac:dyDescent="0.25"/>
    <row r="249" ht="20.100000000000001" customHeight="1" x14ac:dyDescent="0.25"/>
    <row r="250" ht="20.100000000000001" customHeight="1" x14ac:dyDescent="0.25"/>
    <row r="251" ht="20.100000000000001" customHeight="1" x14ac:dyDescent="0.25"/>
    <row r="252" ht="20.100000000000001" customHeight="1" x14ac:dyDescent="0.25"/>
    <row r="253" ht="20.100000000000001" customHeight="1" x14ac:dyDescent="0.25"/>
    <row r="254" ht="20.100000000000001" customHeight="1" x14ac:dyDescent="0.25"/>
    <row r="255" ht="20.100000000000001" customHeight="1" x14ac:dyDescent="0.25"/>
    <row r="256" ht="20.100000000000001" customHeight="1" x14ac:dyDescent="0.25"/>
    <row r="257" ht="20.100000000000001" customHeight="1" x14ac:dyDescent="0.25"/>
    <row r="258" ht="20.100000000000001" customHeight="1" x14ac:dyDescent="0.25"/>
    <row r="259" ht="20.100000000000001" customHeight="1" x14ac:dyDescent="0.25"/>
    <row r="260" ht="20.100000000000001" customHeight="1" x14ac:dyDescent="0.25"/>
    <row r="261" ht="20.100000000000001" customHeight="1" x14ac:dyDescent="0.25"/>
    <row r="262" ht="20.100000000000001" customHeight="1" x14ac:dyDescent="0.25"/>
    <row r="263" ht="20.100000000000001" customHeight="1" x14ac:dyDescent="0.25"/>
    <row r="264" ht="20.100000000000001" customHeight="1" x14ac:dyDescent="0.25"/>
    <row r="265" ht="20.100000000000001" customHeight="1" x14ac:dyDescent="0.25"/>
    <row r="266" ht="20.100000000000001" customHeight="1" x14ac:dyDescent="0.25"/>
    <row r="267" ht="20.100000000000001" customHeight="1" x14ac:dyDescent="0.25"/>
    <row r="268" ht="20.100000000000001" customHeight="1" x14ac:dyDescent="0.25"/>
    <row r="269" ht="20.100000000000001" customHeight="1" x14ac:dyDescent="0.25"/>
    <row r="270" ht="20.100000000000001" customHeight="1" x14ac:dyDescent="0.25"/>
    <row r="271" ht="20.100000000000001" customHeight="1" x14ac:dyDescent="0.25"/>
    <row r="272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  <row r="292" ht="20.100000000000001" customHeight="1" x14ac:dyDescent="0.25"/>
    <row r="293" ht="20.100000000000001" customHeight="1" x14ac:dyDescent="0.25"/>
    <row r="294" ht="20.100000000000001" customHeight="1" x14ac:dyDescent="0.25"/>
    <row r="295" ht="20.100000000000001" customHeight="1" x14ac:dyDescent="0.25"/>
    <row r="296" ht="20.100000000000001" customHeight="1" x14ac:dyDescent="0.25"/>
    <row r="297" ht="20.100000000000001" customHeight="1" x14ac:dyDescent="0.25"/>
    <row r="298" ht="20.100000000000001" customHeight="1" x14ac:dyDescent="0.25"/>
    <row r="299" ht="20.100000000000001" customHeight="1" x14ac:dyDescent="0.25"/>
    <row r="300" ht="20.100000000000001" customHeight="1" x14ac:dyDescent="0.25"/>
    <row r="301" ht="20.100000000000001" customHeight="1" x14ac:dyDescent="0.25"/>
    <row r="302" ht="20.100000000000001" customHeight="1" x14ac:dyDescent="0.25"/>
    <row r="303" ht="20.100000000000001" customHeight="1" x14ac:dyDescent="0.25"/>
    <row r="304" ht="20.100000000000001" customHeight="1" x14ac:dyDescent="0.25"/>
    <row r="305" ht="20.100000000000001" customHeight="1" x14ac:dyDescent="0.25"/>
  </sheetData>
  <mergeCells count="60">
    <mergeCell ref="J115:J120"/>
    <mergeCell ref="A115:A120"/>
    <mergeCell ref="J103:J108"/>
    <mergeCell ref="A133:A138"/>
    <mergeCell ref="J133:J138"/>
    <mergeCell ref="A121:A126"/>
    <mergeCell ref="J121:J126"/>
    <mergeCell ref="A127:A132"/>
    <mergeCell ref="J127:J132"/>
    <mergeCell ref="D103:D108"/>
    <mergeCell ref="D115:D120"/>
    <mergeCell ref="D121:D126"/>
    <mergeCell ref="D127:D132"/>
    <mergeCell ref="D133:D138"/>
    <mergeCell ref="A91:A96"/>
    <mergeCell ref="A79:A84"/>
    <mergeCell ref="A109:A114"/>
    <mergeCell ref="J109:J114"/>
    <mergeCell ref="J79:J84"/>
    <mergeCell ref="J91:J96"/>
    <mergeCell ref="A85:A90"/>
    <mergeCell ref="A103:A108"/>
    <mergeCell ref="J85:J90"/>
    <mergeCell ref="A97:A102"/>
    <mergeCell ref="J97:J102"/>
    <mergeCell ref="D109:D114"/>
    <mergeCell ref="D79:D84"/>
    <mergeCell ref="D85:D90"/>
    <mergeCell ref="D91:D96"/>
    <mergeCell ref="D97:D102"/>
    <mergeCell ref="A61:A66"/>
    <mergeCell ref="J61:J66"/>
    <mergeCell ref="A73:A78"/>
    <mergeCell ref="J73:J78"/>
    <mergeCell ref="A67:A72"/>
    <mergeCell ref="J67:J72"/>
    <mergeCell ref="D61:D66"/>
    <mergeCell ref="D67:D72"/>
    <mergeCell ref="D73:D78"/>
    <mergeCell ref="J49:J54"/>
    <mergeCell ref="D43:D48"/>
    <mergeCell ref="D49:D54"/>
    <mergeCell ref="A55:A60"/>
    <mergeCell ref="J55:J60"/>
    <mergeCell ref="D55:D60"/>
    <mergeCell ref="A43:A48"/>
    <mergeCell ref="J43:J48"/>
    <mergeCell ref="A49:A54"/>
    <mergeCell ref="A2:O2"/>
    <mergeCell ref="A4:O4"/>
    <mergeCell ref="A31:A36"/>
    <mergeCell ref="A37:A42"/>
    <mergeCell ref="J31:J36"/>
    <mergeCell ref="B23:B26"/>
    <mergeCell ref="C23:C26"/>
    <mergeCell ref="D29:I29"/>
    <mergeCell ref="D31:D36"/>
    <mergeCell ref="D37:D42"/>
    <mergeCell ref="J29:O29"/>
    <mergeCell ref="J37:J42"/>
  </mergeCells>
  <phoneticPr fontId="0" type="noConversion"/>
  <pageMargins left="0.74791666666666667" right="0.74791666666666667" top="0.98402777777777783" bottom="0.98402777777777783" header="0.51180555555555562" footer="0.51180555555555562"/>
  <pageSetup paperSize="8" scale="65" firstPageNumber="0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R177"/>
  <sheetViews>
    <sheetView zoomScale="75" zoomScaleNormal="75" workbookViewId="0">
      <selection activeCell="I21" sqref="I21"/>
    </sheetView>
  </sheetViews>
  <sheetFormatPr defaultColWidth="9.109375" defaultRowHeight="13.2" x14ac:dyDescent="0.25"/>
  <cols>
    <col min="1" max="1" width="39.88671875" style="31" customWidth="1"/>
    <col min="2" max="2" width="17.5546875" style="31" customWidth="1"/>
    <col min="3" max="3" width="25.33203125" style="31" customWidth="1"/>
    <col min="4" max="4" width="13.44140625" style="31" customWidth="1"/>
    <col min="5" max="5" width="15.33203125" style="31" customWidth="1"/>
    <col min="6" max="6" width="18.44140625" style="31" customWidth="1"/>
    <col min="7" max="7" width="13.5546875" style="31" customWidth="1"/>
    <col min="8" max="8" width="15" style="31" customWidth="1"/>
    <col min="9" max="9" width="13.5546875" style="31" customWidth="1"/>
    <col min="10" max="10" width="13.109375" style="31" customWidth="1"/>
    <col min="11" max="11" width="20.109375" style="31" customWidth="1"/>
    <col min="12" max="12" width="16.44140625" style="31" customWidth="1"/>
    <col min="13" max="13" width="20.44140625" style="31" customWidth="1"/>
    <col min="14" max="14" width="16.44140625" style="31" customWidth="1"/>
    <col min="15" max="15" width="16.6640625" style="31" customWidth="1"/>
    <col min="16" max="16" width="13.6640625" style="31" customWidth="1"/>
    <col min="17" max="17" width="11.5546875" style="31" customWidth="1"/>
    <col min="18" max="18" width="18.33203125" style="31" customWidth="1"/>
    <col min="19" max="19" width="21.88671875" style="31" customWidth="1"/>
    <col min="20" max="16384" width="9.109375" style="31"/>
  </cols>
  <sheetData>
    <row r="2" spans="1:44" ht="15" x14ac:dyDescent="0.25">
      <c r="A2" s="401" t="s">
        <v>15</v>
      </c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</row>
    <row r="3" spans="1:44" ht="15" x14ac:dyDescent="0.25">
      <c r="A3" s="48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1:44" ht="15" x14ac:dyDescent="0.25">
      <c r="A4" s="401" t="s">
        <v>31</v>
      </c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</row>
    <row r="5" spans="1:44" ht="22.5" customHeight="1" x14ac:dyDescent="0.25">
      <c r="A5" s="48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</row>
    <row r="6" spans="1:44" ht="20.100000000000001" customHeight="1" thickBot="1" x14ac:dyDescent="0.3">
      <c r="A6" s="176" t="s">
        <v>134</v>
      </c>
      <c r="B6" s="51"/>
      <c r="C6" s="51"/>
      <c r="E6" s="145"/>
      <c r="F6" s="145"/>
      <c r="G6" s="145"/>
    </row>
    <row r="7" spans="1:44" ht="43.5" customHeight="1" thickBot="1" x14ac:dyDescent="0.3">
      <c r="A7" s="240" t="s">
        <v>3</v>
      </c>
      <c r="B7" s="241" t="s">
        <v>85</v>
      </c>
      <c r="C7" s="242" t="s">
        <v>86</v>
      </c>
      <c r="D7" s="145"/>
    </row>
    <row r="8" spans="1:44" ht="20.100000000000001" customHeight="1" x14ac:dyDescent="0.25">
      <c r="A8" s="146" t="s">
        <v>249</v>
      </c>
      <c r="B8" s="298" t="s">
        <v>248</v>
      </c>
      <c r="C8" s="299">
        <v>365</v>
      </c>
      <c r="D8" s="145"/>
    </row>
    <row r="9" spans="1:44" ht="20.100000000000001" customHeight="1" thickBot="1" x14ac:dyDescent="0.3">
      <c r="A9" s="147" t="s">
        <v>250</v>
      </c>
      <c r="B9" s="163" t="s">
        <v>248</v>
      </c>
      <c r="C9" s="300" t="s">
        <v>248</v>
      </c>
      <c r="D9" s="145"/>
    </row>
    <row r="10" spans="1:44" ht="20.100000000000001" customHeight="1" x14ac:dyDescent="0.25">
      <c r="A10" s="76"/>
      <c r="B10" s="148"/>
      <c r="C10" s="148"/>
      <c r="D10" s="149"/>
      <c r="E10" s="149"/>
      <c r="F10" s="149"/>
      <c r="G10" s="145"/>
    </row>
    <row r="11" spans="1:44" ht="20.100000000000001" customHeight="1" thickBot="1" x14ac:dyDescent="0.3">
      <c r="A11" s="150"/>
      <c r="B11" s="150"/>
      <c r="C11" s="150"/>
      <c r="D11" s="150"/>
      <c r="E11" s="150"/>
      <c r="F11" s="150"/>
      <c r="G11" s="145"/>
      <c r="H11" s="145"/>
      <c r="I11" s="145"/>
      <c r="J11" s="145"/>
      <c r="K11" s="145"/>
      <c r="L11" s="145"/>
      <c r="M11" s="145"/>
    </row>
    <row r="12" spans="1:44" ht="26.25" customHeight="1" thickBot="1" x14ac:dyDescent="0.3">
      <c r="A12" s="176" t="s">
        <v>168</v>
      </c>
      <c r="B12" s="47"/>
      <c r="C12" s="47"/>
      <c r="D12" s="454" t="s">
        <v>366</v>
      </c>
      <c r="E12" s="455"/>
      <c r="F12" s="455"/>
      <c r="G12" s="455"/>
      <c r="H12" s="455"/>
      <c r="I12" s="455"/>
      <c r="J12" s="454" t="s">
        <v>372</v>
      </c>
      <c r="K12" s="455"/>
      <c r="L12" s="455"/>
      <c r="M12" s="455"/>
      <c r="N12" s="455"/>
      <c r="O12" s="455"/>
      <c r="R12" s="457"/>
      <c r="S12" s="457"/>
      <c r="T12" s="457"/>
      <c r="U12" s="457"/>
      <c r="V12" s="457"/>
      <c r="W12" s="457"/>
      <c r="X12" s="457"/>
      <c r="Y12" s="457"/>
      <c r="Z12" s="457"/>
      <c r="AA12" s="457"/>
      <c r="AB12" s="457"/>
      <c r="AC12" s="457"/>
      <c r="AD12" s="457"/>
      <c r="AE12" s="457"/>
      <c r="AF12" s="457"/>
      <c r="AG12" s="457"/>
      <c r="AH12" s="457"/>
      <c r="AI12" s="457"/>
      <c r="AJ12" s="457"/>
      <c r="AK12" s="457"/>
      <c r="AL12" s="457"/>
    </row>
    <row r="13" spans="1:44" ht="62.25" customHeight="1" x14ac:dyDescent="0.25">
      <c r="A13" s="82" t="s">
        <v>30</v>
      </c>
      <c r="B13" s="83" t="s">
        <v>4</v>
      </c>
      <c r="C13" s="239" t="s">
        <v>157</v>
      </c>
      <c r="D13" s="255" t="s">
        <v>181</v>
      </c>
      <c r="E13" s="83" t="s">
        <v>109</v>
      </c>
      <c r="F13" s="83" t="s">
        <v>17</v>
      </c>
      <c r="G13" s="83" t="s">
        <v>183</v>
      </c>
      <c r="H13" s="83" t="s">
        <v>17</v>
      </c>
      <c r="I13" s="83" t="s">
        <v>29</v>
      </c>
      <c r="J13" s="255" t="s">
        <v>181</v>
      </c>
      <c r="K13" s="83" t="s">
        <v>109</v>
      </c>
      <c r="L13" s="83" t="s">
        <v>17</v>
      </c>
      <c r="M13" s="83" t="s">
        <v>184</v>
      </c>
      <c r="N13" s="83" t="s">
        <v>17</v>
      </c>
      <c r="O13" s="84" t="s">
        <v>29</v>
      </c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</row>
    <row r="14" spans="1:44" ht="20.100000000000001" customHeight="1" x14ac:dyDescent="0.25">
      <c r="A14" s="431" t="s">
        <v>250</v>
      </c>
      <c r="B14" s="152" t="s">
        <v>306</v>
      </c>
      <c r="C14" s="64" t="s">
        <v>343</v>
      </c>
      <c r="D14" s="449"/>
      <c r="E14" s="140" t="e">
        <f t="shared" ref="E14:E19" si="0">($D$14*G14/1000000000)</f>
        <v>#VALUE!</v>
      </c>
      <c r="F14" s="140" t="s">
        <v>133</v>
      </c>
      <c r="G14" s="152" t="s">
        <v>367</v>
      </c>
      <c r="H14" s="141"/>
      <c r="I14" s="140" t="e">
        <f t="shared" ref="I14:I19" si="1">(G14/$C14)*100</f>
        <v>#VALUE!</v>
      </c>
      <c r="J14" s="443"/>
      <c r="K14" s="140" t="e">
        <f t="shared" ref="K14:K19" si="2">($J$14*M14/1000000000)</f>
        <v>#VALUE!</v>
      </c>
      <c r="L14" s="153" t="s">
        <v>133</v>
      </c>
      <c r="M14" s="152" t="s">
        <v>373</v>
      </c>
      <c r="N14" s="141"/>
      <c r="O14" s="257" t="e">
        <f t="shared" ref="O14:O19" si="3">(M14/$C14)*100</f>
        <v>#VALUE!</v>
      </c>
    </row>
    <row r="15" spans="1:44" ht="20.100000000000001" customHeight="1" x14ac:dyDescent="0.25">
      <c r="A15" s="431"/>
      <c r="B15" s="152" t="s">
        <v>307</v>
      </c>
      <c r="C15" s="64" t="s">
        <v>344</v>
      </c>
      <c r="D15" s="450"/>
      <c r="E15" s="140" t="e">
        <f t="shared" si="0"/>
        <v>#VALUE!</v>
      </c>
      <c r="F15" s="140" t="s">
        <v>133</v>
      </c>
      <c r="G15" s="152" t="s">
        <v>365</v>
      </c>
      <c r="H15" s="141" t="s">
        <v>88</v>
      </c>
      <c r="I15" s="140" t="e">
        <f t="shared" si="1"/>
        <v>#VALUE!</v>
      </c>
      <c r="J15" s="452"/>
      <c r="K15" s="140" t="e">
        <f t="shared" si="2"/>
        <v>#VALUE!</v>
      </c>
      <c r="L15" s="153" t="s">
        <v>133</v>
      </c>
      <c r="M15" s="152" t="s">
        <v>365</v>
      </c>
      <c r="N15" s="141" t="s">
        <v>88</v>
      </c>
      <c r="O15" s="257" t="e">
        <f t="shared" si="3"/>
        <v>#VALUE!</v>
      </c>
    </row>
    <row r="16" spans="1:44" ht="20.100000000000001" customHeight="1" x14ac:dyDescent="0.3">
      <c r="A16" s="431"/>
      <c r="B16" s="62" t="s">
        <v>308</v>
      </c>
      <c r="C16" s="64" t="s">
        <v>345</v>
      </c>
      <c r="D16" s="450"/>
      <c r="E16" s="140" t="e">
        <f t="shared" si="0"/>
        <v>#VALUE!</v>
      </c>
      <c r="F16" s="140" t="s">
        <v>133</v>
      </c>
      <c r="G16" s="152" t="s">
        <v>365</v>
      </c>
      <c r="H16" s="141" t="s">
        <v>88</v>
      </c>
      <c r="I16" s="139" t="e">
        <f t="shared" si="1"/>
        <v>#VALUE!</v>
      </c>
      <c r="J16" s="452"/>
      <c r="K16" s="140" t="e">
        <f t="shared" si="2"/>
        <v>#VALUE!</v>
      </c>
      <c r="L16" s="153" t="s">
        <v>133</v>
      </c>
      <c r="M16" s="152" t="s">
        <v>365</v>
      </c>
      <c r="N16" s="141" t="s">
        <v>88</v>
      </c>
      <c r="O16" s="257" t="e">
        <f t="shared" si="3"/>
        <v>#VALUE!</v>
      </c>
      <c r="R16" s="154"/>
      <c r="U16" s="154"/>
      <c r="X16" s="154"/>
      <c r="AA16" s="154"/>
      <c r="AD16" s="154"/>
      <c r="AG16" s="154"/>
      <c r="AJ16" s="154"/>
      <c r="AM16" s="154"/>
      <c r="AP16" s="154"/>
    </row>
    <row r="17" spans="1:42" ht="20.100000000000001" customHeight="1" x14ac:dyDescent="0.3">
      <c r="A17" s="431"/>
      <c r="B17" s="62" t="s">
        <v>309</v>
      </c>
      <c r="C17" s="64" t="s">
        <v>346</v>
      </c>
      <c r="D17" s="450"/>
      <c r="E17" s="140" t="e">
        <f t="shared" si="0"/>
        <v>#VALUE!</v>
      </c>
      <c r="F17" s="140" t="s">
        <v>133</v>
      </c>
      <c r="G17" s="152" t="s">
        <v>368</v>
      </c>
      <c r="H17" s="141" t="s">
        <v>88</v>
      </c>
      <c r="I17" s="139" t="e">
        <f t="shared" si="1"/>
        <v>#VALUE!</v>
      </c>
      <c r="J17" s="452"/>
      <c r="K17" s="140" t="e">
        <f t="shared" si="2"/>
        <v>#VALUE!</v>
      </c>
      <c r="L17" s="153" t="s">
        <v>133</v>
      </c>
      <c r="M17" s="152" t="s">
        <v>374</v>
      </c>
      <c r="N17" s="141" t="s">
        <v>88</v>
      </c>
      <c r="O17" s="257" t="e">
        <f t="shared" si="3"/>
        <v>#VALUE!</v>
      </c>
      <c r="R17" s="154"/>
      <c r="U17" s="154"/>
      <c r="X17" s="154"/>
      <c r="AA17" s="154"/>
      <c r="AD17" s="154"/>
      <c r="AG17" s="154"/>
      <c r="AJ17" s="154"/>
      <c r="AM17" s="154"/>
      <c r="AP17" s="154"/>
    </row>
    <row r="18" spans="1:42" ht="20.100000000000001" customHeight="1" x14ac:dyDescent="0.3">
      <c r="A18" s="431"/>
      <c r="B18" s="62" t="s">
        <v>310</v>
      </c>
      <c r="C18" s="64" t="s">
        <v>347</v>
      </c>
      <c r="D18" s="450"/>
      <c r="E18" s="140" t="e">
        <f t="shared" si="0"/>
        <v>#VALUE!</v>
      </c>
      <c r="F18" s="140" t="s">
        <v>133</v>
      </c>
      <c r="G18" s="152" t="s">
        <v>369</v>
      </c>
      <c r="H18" s="141" t="s">
        <v>88</v>
      </c>
      <c r="I18" s="139" t="e">
        <f t="shared" si="1"/>
        <v>#VALUE!</v>
      </c>
      <c r="J18" s="452"/>
      <c r="K18" s="140" t="e">
        <f t="shared" si="2"/>
        <v>#VALUE!</v>
      </c>
      <c r="L18" s="153" t="s">
        <v>133</v>
      </c>
      <c r="M18" s="152" t="s">
        <v>375</v>
      </c>
      <c r="N18" s="141" t="s">
        <v>88</v>
      </c>
      <c r="O18" s="257" t="e">
        <f t="shared" si="3"/>
        <v>#VALUE!</v>
      </c>
      <c r="R18" s="154"/>
      <c r="U18" s="154"/>
      <c r="X18" s="154"/>
      <c r="AA18" s="154"/>
      <c r="AD18" s="154"/>
      <c r="AG18" s="154"/>
      <c r="AJ18" s="154"/>
      <c r="AM18" s="154"/>
      <c r="AP18" s="154"/>
    </row>
    <row r="19" spans="1:42" ht="24" customHeight="1" thickBot="1" x14ac:dyDescent="0.35">
      <c r="A19" s="456"/>
      <c r="B19" s="67"/>
      <c r="C19" s="69"/>
      <c r="D19" s="451"/>
      <c r="E19" s="144">
        <f t="shared" si="0"/>
        <v>0</v>
      </c>
      <c r="F19" s="144" t="s">
        <v>133</v>
      </c>
      <c r="G19" s="359"/>
      <c r="H19" s="301"/>
      <c r="I19" s="143" t="e">
        <f t="shared" si="1"/>
        <v>#DIV/0!</v>
      </c>
      <c r="J19" s="453"/>
      <c r="K19" s="144">
        <f t="shared" si="2"/>
        <v>0</v>
      </c>
      <c r="L19" s="156" t="s">
        <v>133</v>
      </c>
      <c r="M19" s="301"/>
      <c r="N19" s="301" t="s">
        <v>88</v>
      </c>
      <c r="O19" s="258" t="e">
        <f t="shared" si="3"/>
        <v>#DIV/0!</v>
      </c>
      <c r="R19" s="154"/>
      <c r="U19" s="154"/>
      <c r="X19" s="154"/>
      <c r="AA19" s="154"/>
      <c r="AD19" s="154"/>
      <c r="AG19" s="154"/>
      <c r="AJ19" s="154"/>
      <c r="AM19" s="154"/>
      <c r="AP19" s="154"/>
    </row>
    <row r="20" spans="1:42" ht="32.25" customHeight="1" x14ac:dyDescent="0.25"/>
    <row r="21" spans="1:42" ht="20.100000000000001" customHeight="1" x14ac:dyDescent="0.25"/>
    <row r="22" spans="1:42" ht="20.100000000000001" customHeight="1" x14ac:dyDescent="0.25"/>
    <row r="23" spans="1:42" ht="20.100000000000001" customHeight="1" x14ac:dyDescent="0.25">
      <c r="A23" s="137"/>
    </row>
    <row r="24" spans="1:42" ht="20.100000000000001" customHeight="1" x14ac:dyDescent="0.25">
      <c r="A24" s="137"/>
    </row>
    <row r="25" spans="1:42" ht="20.100000000000001" customHeight="1" x14ac:dyDescent="0.25"/>
    <row r="26" spans="1:42" ht="20.100000000000001" customHeight="1" x14ac:dyDescent="0.25"/>
    <row r="27" spans="1:42" ht="20.100000000000001" customHeight="1" x14ac:dyDescent="0.25"/>
    <row r="28" spans="1:42" ht="20.100000000000001" customHeight="1" x14ac:dyDescent="0.25"/>
    <row r="29" spans="1:42" ht="20.100000000000001" customHeight="1" x14ac:dyDescent="0.25"/>
    <row r="30" spans="1:42" ht="20.100000000000001" customHeight="1" x14ac:dyDescent="0.25"/>
    <row r="31" spans="1:42" ht="20.100000000000001" customHeight="1" x14ac:dyDescent="0.25"/>
    <row r="32" spans="1:42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</sheetData>
  <mergeCells count="14">
    <mergeCell ref="R12:T12"/>
    <mergeCell ref="AG12:AI12"/>
    <mergeCell ref="AJ12:AL12"/>
    <mergeCell ref="U12:W12"/>
    <mergeCell ref="X12:Z12"/>
    <mergeCell ref="AA12:AC12"/>
    <mergeCell ref="AD12:AF12"/>
    <mergeCell ref="A2:N2"/>
    <mergeCell ref="A4:N4"/>
    <mergeCell ref="D14:D19"/>
    <mergeCell ref="J14:J19"/>
    <mergeCell ref="D12:I12"/>
    <mergeCell ref="J12:O12"/>
    <mergeCell ref="A14:A19"/>
  </mergeCells>
  <phoneticPr fontId="0" type="noConversion"/>
  <pageMargins left="0.74803149606299213" right="0.74803149606299213" top="0.98425196850393704" bottom="0.98425196850393704" header="0.51181102362204722" footer="0.51181102362204722"/>
  <pageSetup paperSize="8" scale="75" firstPageNumber="0" orientation="landscape" horizontalDpi="300" verticalDpi="300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9"/>
  <sheetViews>
    <sheetView topLeftCell="A6" zoomScale="110" zoomScaleNormal="110" workbookViewId="0">
      <selection activeCell="D24" sqref="D24"/>
    </sheetView>
  </sheetViews>
  <sheetFormatPr defaultColWidth="9.109375" defaultRowHeight="13.2" x14ac:dyDescent="0.25"/>
  <cols>
    <col min="1" max="1" width="20.5546875" style="31" customWidth="1"/>
    <col min="2" max="2" width="21.33203125" style="31" customWidth="1"/>
    <col min="3" max="3" width="20.5546875" style="31" customWidth="1"/>
    <col min="4" max="4" width="19" style="31" customWidth="1"/>
    <col min="5" max="5" width="22.88671875" style="31" customWidth="1"/>
    <col min="6" max="6" width="15.33203125" style="31" customWidth="1"/>
    <col min="7" max="7" width="15.6640625" style="31" customWidth="1"/>
    <col min="8" max="8" width="19.33203125" style="31" customWidth="1"/>
    <col min="9" max="9" width="23" style="31" customWidth="1"/>
    <col min="10" max="16384" width="9.109375" style="31"/>
  </cols>
  <sheetData>
    <row r="1" spans="1:14" ht="15" x14ac:dyDescent="0.25">
      <c r="A1" s="401" t="s">
        <v>15</v>
      </c>
      <c r="B1" s="411"/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</row>
    <row r="2" spans="1:14" ht="15" x14ac:dyDescent="0.25">
      <c r="A2" s="48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ht="15" x14ac:dyDescent="0.25">
      <c r="A3" s="401" t="s">
        <v>158</v>
      </c>
      <c r="B3" s="411"/>
      <c r="C3" s="411"/>
      <c r="D3" s="411"/>
      <c r="E3" s="411"/>
      <c r="F3" s="411"/>
      <c r="G3" s="411"/>
      <c r="H3" s="411"/>
      <c r="I3" s="411"/>
      <c r="J3" s="411"/>
      <c r="K3" s="411"/>
      <c r="L3" s="411"/>
      <c r="M3" s="411"/>
      <c r="N3" s="411"/>
    </row>
    <row r="4" spans="1:14" ht="15.6" thickBot="1" x14ac:dyDescent="0.3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2.25" customHeight="1" thickBot="1" x14ac:dyDescent="0.3">
      <c r="A5" s="458" t="s">
        <v>159</v>
      </c>
      <c r="B5" s="459"/>
      <c r="C5" s="460"/>
      <c r="D5" s="80" t="s">
        <v>251</v>
      </c>
    </row>
    <row r="6" spans="1:14" ht="39.75" customHeight="1" thickBot="1" x14ac:dyDescent="0.3">
      <c r="A6" s="458" t="s">
        <v>160</v>
      </c>
      <c r="B6" s="459"/>
      <c r="C6" s="460"/>
      <c r="D6" s="358" t="s">
        <v>251</v>
      </c>
    </row>
    <row r="7" spans="1:14" ht="24" customHeight="1" x14ac:dyDescent="0.25"/>
    <row r="8" spans="1:14" ht="24.75" customHeight="1" thickBot="1" x14ac:dyDescent="0.3">
      <c r="A8" s="34" t="s">
        <v>167</v>
      </c>
    </row>
    <row r="9" spans="1:14" ht="35.25" customHeight="1" x14ac:dyDescent="0.25">
      <c r="A9" s="243" t="s">
        <v>161</v>
      </c>
      <c r="B9" s="244" t="s">
        <v>162</v>
      </c>
      <c r="C9" s="245" t="s">
        <v>163</v>
      </c>
      <c r="D9" s="244" t="s">
        <v>164</v>
      </c>
      <c r="E9" s="244" t="s">
        <v>2</v>
      </c>
      <c r="F9" s="246" t="s">
        <v>165</v>
      </c>
    </row>
    <row r="10" spans="1:14" x14ac:dyDescent="0.25">
      <c r="A10" s="157" t="s">
        <v>376</v>
      </c>
      <c r="B10" s="158" t="s">
        <v>377</v>
      </c>
      <c r="C10" s="159" t="s">
        <v>378</v>
      </c>
      <c r="D10" s="158">
        <v>42.5</v>
      </c>
      <c r="E10" s="158" t="s">
        <v>379</v>
      </c>
      <c r="F10" s="160"/>
    </row>
    <row r="11" spans="1:14" x14ac:dyDescent="0.25">
      <c r="A11" s="157" t="s">
        <v>380</v>
      </c>
      <c r="B11" s="158" t="s">
        <v>377</v>
      </c>
      <c r="C11" s="159" t="s">
        <v>378</v>
      </c>
      <c r="D11" s="158">
        <v>45</v>
      </c>
      <c r="E11" s="158" t="s">
        <v>379</v>
      </c>
      <c r="F11" s="160"/>
    </row>
    <row r="12" spans="1:14" x14ac:dyDescent="0.25">
      <c r="A12" s="157" t="s">
        <v>381</v>
      </c>
      <c r="B12" s="158" t="s">
        <v>377</v>
      </c>
      <c r="C12" s="159" t="s">
        <v>378</v>
      </c>
      <c r="D12" s="158">
        <v>38</v>
      </c>
      <c r="E12" s="158" t="s">
        <v>379</v>
      </c>
      <c r="F12" s="160"/>
    </row>
    <row r="13" spans="1:14" x14ac:dyDescent="0.25">
      <c r="A13" s="157" t="s">
        <v>382</v>
      </c>
      <c r="B13" s="158" t="s">
        <v>377</v>
      </c>
      <c r="C13" s="159" t="s">
        <v>378</v>
      </c>
      <c r="D13" s="158">
        <v>41</v>
      </c>
      <c r="E13" s="158" t="s">
        <v>379</v>
      </c>
      <c r="F13" s="160"/>
    </row>
    <row r="14" spans="1:14" x14ac:dyDescent="0.25">
      <c r="A14" s="157" t="s">
        <v>383</v>
      </c>
      <c r="B14" s="158" t="s">
        <v>377</v>
      </c>
      <c r="C14" s="159" t="s">
        <v>378</v>
      </c>
      <c r="D14" s="372">
        <v>40.5</v>
      </c>
      <c r="E14" s="158" t="s">
        <v>379</v>
      </c>
      <c r="F14" s="160"/>
    </row>
    <row r="15" spans="1:14" x14ac:dyDescent="0.25">
      <c r="A15" s="157" t="s">
        <v>384</v>
      </c>
      <c r="B15" s="158" t="s">
        <v>377</v>
      </c>
      <c r="C15" s="159" t="s">
        <v>378</v>
      </c>
      <c r="D15" s="372">
        <v>42.5</v>
      </c>
      <c r="E15" s="158" t="s">
        <v>379</v>
      </c>
      <c r="F15" s="160"/>
    </row>
    <row r="16" spans="1:14" x14ac:dyDescent="0.25">
      <c r="A16" s="157" t="s">
        <v>385</v>
      </c>
      <c r="B16" s="158" t="s">
        <v>377</v>
      </c>
      <c r="C16" s="159" t="s">
        <v>378</v>
      </c>
      <c r="D16" s="372">
        <v>39</v>
      </c>
      <c r="E16" s="158" t="s">
        <v>379</v>
      </c>
      <c r="F16" s="160"/>
    </row>
    <row r="17" spans="1:6" x14ac:dyDescent="0.25">
      <c r="A17" s="157" t="s">
        <v>386</v>
      </c>
      <c r="B17" s="158" t="s">
        <v>377</v>
      </c>
      <c r="C17" s="159" t="s">
        <v>378</v>
      </c>
      <c r="D17" s="372">
        <v>37</v>
      </c>
      <c r="E17" s="158" t="s">
        <v>379</v>
      </c>
      <c r="F17" s="160"/>
    </row>
    <row r="18" spans="1:6" ht="13.8" thickBot="1" x14ac:dyDescent="0.3">
      <c r="A18" s="161"/>
      <c r="B18" s="162"/>
      <c r="C18" s="163"/>
      <c r="D18" s="162"/>
      <c r="E18" s="162"/>
      <c r="F18" s="164"/>
    </row>
    <row r="19" spans="1:6" x14ac:dyDescent="0.25">
      <c r="A19" s="47" t="s">
        <v>166</v>
      </c>
    </row>
    <row r="29" spans="1:6" x14ac:dyDescent="0.25">
      <c r="E29" s="259"/>
    </row>
  </sheetData>
  <mergeCells count="4">
    <mergeCell ref="A1:N1"/>
    <mergeCell ref="A3:N3"/>
    <mergeCell ref="A5:C5"/>
    <mergeCell ref="A6:C6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884"/>
  <sheetViews>
    <sheetView topLeftCell="J17" zoomScale="75" zoomScaleNormal="75" workbookViewId="0">
      <selection activeCell="C45" sqref="C45"/>
    </sheetView>
  </sheetViews>
  <sheetFormatPr defaultColWidth="9.109375" defaultRowHeight="13.2" x14ac:dyDescent="0.25"/>
  <cols>
    <col min="1" max="1" width="56.88671875" style="31" customWidth="1"/>
    <col min="2" max="3" width="20.6640625" style="31" customWidth="1"/>
    <col min="4" max="5" width="20.6640625" style="175" customWidth="1"/>
    <col min="6" max="6" width="19.33203125" style="31" customWidth="1"/>
    <col min="7" max="7" width="20.6640625" style="31" hidden="1" customWidth="1"/>
    <col min="8" max="8" width="20.6640625" style="31" customWidth="1"/>
    <col min="9" max="9" width="20.33203125" style="175" customWidth="1"/>
    <col min="10" max="10" width="20.6640625" style="175" customWidth="1"/>
    <col min="11" max="22" width="20.6640625" style="31" customWidth="1"/>
    <col min="23" max="16384" width="9.109375" style="31"/>
  </cols>
  <sheetData>
    <row r="1" spans="1:18" x14ac:dyDescent="0.25">
      <c r="D1" s="31"/>
      <c r="E1" s="31"/>
      <c r="I1" s="31"/>
      <c r="J1" s="31"/>
    </row>
    <row r="2" spans="1:18" ht="15" x14ac:dyDescent="0.25">
      <c r="A2" s="401" t="s">
        <v>15</v>
      </c>
      <c r="B2" s="402"/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02"/>
      <c r="O2" s="402"/>
    </row>
    <row r="3" spans="1:18" ht="15" x14ac:dyDescent="0.25">
      <c r="A3" s="48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18" ht="15" x14ac:dyDescent="0.25">
      <c r="A4" s="32" t="s">
        <v>32</v>
      </c>
      <c r="D4" s="31"/>
      <c r="E4" s="31"/>
      <c r="I4" s="31"/>
      <c r="J4" s="31"/>
    </row>
    <row r="5" spans="1:18" ht="15" x14ac:dyDescent="0.25">
      <c r="A5" s="32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spans="1:18" ht="24.9" customHeight="1" thickBot="1" x14ac:dyDescent="0.3">
      <c r="A6" s="48" t="s">
        <v>140</v>
      </c>
      <c r="D6" s="31"/>
      <c r="E6" s="31"/>
      <c r="I6" s="31"/>
      <c r="J6" s="31"/>
    </row>
    <row r="7" spans="1:18" ht="24.9" customHeight="1" thickBot="1" x14ac:dyDescent="0.3">
      <c r="A7" s="465" t="s">
        <v>185</v>
      </c>
      <c r="B7" s="466"/>
      <c r="C7" s="467"/>
      <c r="D7" s="80" t="s">
        <v>252</v>
      </c>
      <c r="E7" s="31"/>
      <c r="I7" s="31"/>
      <c r="J7" s="31"/>
    </row>
    <row r="8" spans="1:18" ht="24.9" customHeight="1" thickBot="1" x14ac:dyDescent="0.3">
      <c r="B8" s="165"/>
      <c r="C8" s="125"/>
      <c r="D8" s="125"/>
      <c r="E8" s="31"/>
      <c r="I8" s="31"/>
      <c r="J8" s="31"/>
    </row>
    <row r="9" spans="1:18" ht="36" customHeight="1" thickBot="1" x14ac:dyDescent="0.3">
      <c r="A9" s="463" t="s">
        <v>105</v>
      </c>
      <c r="B9" s="463" t="s">
        <v>7</v>
      </c>
      <c r="C9" s="463" t="s">
        <v>11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39"/>
      <c r="R9" s="461" t="s">
        <v>17</v>
      </c>
    </row>
    <row r="10" spans="1:18" ht="24.9" customHeight="1" thickBot="1" x14ac:dyDescent="0.3">
      <c r="A10" s="464"/>
      <c r="B10" s="464"/>
      <c r="C10" s="464"/>
      <c r="D10" s="54" t="s">
        <v>69</v>
      </c>
      <c r="E10" s="54" t="s">
        <v>82</v>
      </c>
      <c r="F10" s="54" t="s">
        <v>71</v>
      </c>
      <c r="G10" s="54" t="s">
        <v>72</v>
      </c>
      <c r="H10" s="54" t="s">
        <v>72</v>
      </c>
      <c r="I10" s="54" t="s">
        <v>73</v>
      </c>
      <c r="J10" s="54" t="s">
        <v>74</v>
      </c>
      <c r="K10" s="54" t="s">
        <v>75</v>
      </c>
      <c r="L10" s="54" t="s">
        <v>76</v>
      </c>
      <c r="M10" s="54" t="s">
        <v>77</v>
      </c>
      <c r="N10" s="54" t="s">
        <v>78</v>
      </c>
      <c r="O10" s="54" t="s">
        <v>79</v>
      </c>
      <c r="P10" s="54" t="s">
        <v>80</v>
      </c>
      <c r="Q10" s="166" t="s">
        <v>93</v>
      </c>
      <c r="R10" s="462"/>
    </row>
    <row r="11" spans="1:18" ht="24.9" customHeight="1" x14ac:dyDescent="0.25">
      <c r="A11" s="236" t="s">
        <v>253</v>
      </c>
      <c r="B11" s="167" t="s">
        <v>253</v>
      </c>
      <c r="C11" s="167" t="s">
        <v>253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7"/>
      <c r="Q11" s="168">
        <f>SUM(D11:P11)</f>
        <v>0</v>
      </c>
      <c r="R11" s="169"/>
    </row>
    <row r="12" spans="1:18" ht="24.9" customHeight="1" x14ac:dyDescent="0.25">
      <c r="A12" s="60" t="s">
        <v>253</v>
      </c>
      <c r="B12" s="61" t="s">
        <v>253</v>
      </c>
      <c r="C12" s="61" t="s">
        <v>253</v>
      </c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170">
        <f t="shared" ref="Q12:Q17" si="0">SUM(D12:P12)</f>
        <v>0</v>
      </c>
      <c r="R12" s="171"/>
    </row>
    <row r="13" spans="1:18" ht="24.9" customHeight="1" x14ac:dyDescent="0.25">
      <c r="A13" s="60" t="s">
        <v>253</v>
      </c>
      <c r="B13" s="61" t="s">
        <v>253</v>
      </c>
      <c r="C13" s="61" t="s">
        <v>253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2"/>
      <c r="Q13" s="170">
        <f t="shared" si="0"/>
        <v>0</v>
      </c>
      <c r="R13" s="171"/>
    </row>
    <row r="14" spans="1:18" ht="24.9" customHeight="1" x14ac:dyDescent="0.25">
      <c r="A14" s="60" t="s">
        <v>253</v>
      </c>
      <c r="B14" s="61" t="s">
        <v>253</v>
      </c>
      <c r="C14" s="61" t="s">
        <v>253</v>
      </c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2"/>
      <c r="Q14" s="170">
        <f t="shared" si="0"/>
        <v>0</v>
      </c>
      <c r="R14" s="171"/>
    </row>
    <row r="15" spans="1:18" ht="24.9" customHeight="1" x14ac:dyDescent="0.25">
      <c r="A15" s="60" t="s">
        <v>253</v>
      </c>
      <c r="B15" s="61" t="s">
        <v>253</v>
      </c>
      <c r="C15" s="61" t="s">
        <v>253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2"/>
      <c r="Q15" s="170">
        <f t="shared" si="0"/>
        <v>0</v>
      </c>
      <c r="R15" s="171"/>
    </row>
    <row r="16" spans="1:18" ht="24.9" customHeight="1" x14ac:dyDescent="0.25">
      <c r="A16" s="60" t="s">
        <v>253</v>
      </c>
      <c r="B16" s="61" t="s">
        <v>253</v>
      </c>
      <c r="C16" s="61" t="s">
        <v>253</v>
      </c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2"/>
      <c r="Q16" s="170">
        <f t="shared" si="0"/>
        <v>0</v>
      </c>
      <c r="R16" s="171"/>
    </row>
    <row r="17" spans="1:19" ht="24.9" customHeight="1" thickBot="1" x14ac:dyDescent="0.3">
      <c r="A17" s="172" t="s">
        <v>253</v>
      </c>
      <c r="B17" s="66" t="s">
        <v>253</v>
      </c>
      <c r="C17" s="66" t="s">
        <v>253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7"/>
      <c r="Q17" s="173">
        <f t="shared" si="0"/>
        <v>0</v>
      </c>
      <c r="R17" s="174"/>
    </row>
    <row r="18" spans="1:19" ht="24.9" customHeight="1" thickBot="1" x14ac:dyDescent="0.3">
      <c r="D18" s="31"/>
      <c r="E18" s="31"/>
      <c r="I18" s="31"/>
      <c r="J18" s="31"/>
      <c r="Q18" s="54">
        <f>SUM(Q11:Q17)</f>
        <v>0</v>
      </c>
    </row>
    <row r="19" spans="1:19" ht="19.5" customHeight="1" thickBot="1" x14ac:dyDescent="0.3">
      <c r="A19" s="32" t="s">
        <v>141</v>
      </c>
      <c r="B19" s="32"/>
      <c r="D19" s="31"/>
      <c r="E19" s="31"/>
      <c r="I19" s="31"/>
      <c r="J19" s="31"/>
    </row>
    <row r="20" spans="1:19" ht="42.75" customHeight="1" thickBot="1" x14ac:dyDescent="0.3">
      <c r="A20" s="468" t="s">
        <v>6</v>
      </c>
      <c r="B20" s="468" t="s">
        <v>7</v>
      </c>
      <c r="C20" s="468" t="s">
        <v>8</v>
      </c>
      <c r="D20" s="468" t="s">
        <v>9</v>
      </c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3"/>
      <c r="S20" s="398" t="s">
        <v>17</v>
      </c>
    </row>
    <row r="21" spans="1:19" ht="24.9" customHeight="1" thickBot="1" x14ac:dyDescent="0.3">
      <c r="A21" s="469"/>
      <c r="B21" s="469"/>
      <c r="C21" s="469"/>
      <c r="D21" s="469"/>
      <c r="E21" s="54" t="s">
        <v>69</v>
      </c>
      <c r="F21" s="54" t="s">
        <v>82</v>
      </c>
      <c r="G21" s="54" t="s">
        <v>71</v>
      </c>
      <c r="H21" s="54" t="s">
        <v>71</v>
      </c>
      <c r="I21" s="54" t="s">
        <v>72</v>
      </c>
      <c r="J21" s="54" t="s">
        <v>73</v>
      </c>
      <c r="K21" s="54" t="s">
        <v>74</v>
      </c>
      <c r="L21" s="54" t="s">
        <v>75</v>
      </c>
      <c r="M21" s="54" t="s">
        <v>76</v>
      </c>
      <c r="N21" s="54" t="s">
        <v>77</v>
      </c>
      <c r="O21" s="54" t="s">
        <v>78</v>
      </c>
      <c r="P21" s="54" t="s">
        <v>79</v>
      </c>
      <c r="Q21" s="54" t="s">
        <v>80</v>
      </c>
      <c r="R21" s="81" t="s">
        <v>93</v>
      </c>
      <c r="S21" s="399"/>
    </row>
    <row r="22" spans="1:19" ht="24.9" customHeight="1" x14ac:dyDescent="0.25">
      <c r="A22" s="102" t="s">
        <v>262</v>
      </c>
      <c r="B22" s="354" t="s">
        <v>263</v>
      </c>
      <c r="C22" s="118"/>
      <c r="D22" s="118" t="s">
        <v>266</v>
      </c>
      <c r="E22" s="352">
        <v>0.2</v>
      </c>
      <c r="F22" s="352">
        <v>0.4</v>
      </c>
      <c r="G22" s="352"/>
      <c r="H22" s="352">
        <v>0.2</v>
      </c>
      <c r="I22" s="352">
        <v>0.3</v>
      </c>
      <c r="J22" s="352">
        <v>0.5</v>
      </c>
      <c r="K22" s="352"/>
      <c r="L22" s="352">
        <v>13.9</v>
      </c>
      <c r="M22" s="352">
        <v>1.1000000000000001</v>
      </c>
      <c r="N22" s="352">
        <v>0.2</v>
      </c>
      <c r="O22" s="352">
        <v>0.2</v>
      </c>
      <c r="P22" s="352">
        <v>0.2</v>
      </c>
      <c r="Q22" s="352">
        <v>2</v>
      </c>
      <c r="R22" s="304">
        <f t="shared" ref="R22:R61" si="1">SUM(E22:Q22)</f>
        <v>19.2</v>
      </c>
      <c r="S22" s="237" t="s">
        <v>215</v>
      </c>
    </row>
    <row r="23" spans="1:19" ht="24.9" customHeight="1" x14ac:dyDescent="0.25">
      <c r="A23" s="102" t="s">
        <v>363</v>
      </c>
      <c r="B23" s="364" t="s">
        <v>362</v>
      </c>
      <c r="C23" s="118" t="s">
        <v>285</v>
      </c>
      <c r="D23" s="118"/>
      <c r="E23" s="352"/>
      <c r="F23" s="352"/>
      <c r="G23" s="352"/>
      <c r="H23" s="352"/>
      <c r="I23" s="352"/>
      <c r="J23" s="352"/>
      <c r="K23" s="352"/>
      <c r="L23" s="352"/>
      <c r="M23" s="352"/>
      <c r="N23" s="352"/>
      <c r="O23" s="352"/>
      <c r="P23" s="352"/>
      <c r="Q23" s="352"/>
      <c r="R23" s="304">
        <f t="shared" si="1"/>
        <v>0</v>
      </c>
      <c r="S23" s="237" t="s">
        <v>215</v>
      </c>
    </row>
    <row r="24" spans="1:19" ht="24.9" customHeight="1" x14ac:dyDescent="0.25">
      <c r="A24" s="102" t="s">
        <v>337</v>
      </c>
      <c r="B24" s="355" t="s">
        <v>336</v>
      </c>
      <c r="C24" s="103" t="s">
        <v>268</v>
      </c>
      <c r="D24" s="118"/>
      <c r="E24" s="352"/>
      <c r="F24" s="352"/>
      <c r="G24" s="352"/>
      <c r="H24" s="352">
        <v>5.0000000000000001E-3</v>
      </c>
      <c r="I24" s="352"/>
      <c r="J24" s="352"/>
      <c r="K24" s="352"/>
      <c r="L24" s="352"/>
      <c r="M24" s="352"/>
      <c r="N24" s="352"/>
      <c r="O24" s="352"/>
      <c r="P24" s="352">
        <v>1.6E-2</v>
      </c>
      <c r="Q24" s="352"/>
      <c r="R24" s="304">
        <f t="shared" si="1"/>
        <v>2.1000000000000001E-2</v>
      </c>
      <c r="S24" s="237" t="s">
        <v>215</v>
      </c>
    </row>
    <row r="25" spans="1:19" ht="24.9" customHeight="1" x14ac:dyDescent="0.25">
      <c r="A25" s="102" t="s">
        <v>254</v>
      </c>
      <c r="B25" s="302" t="s">
        <v>264</v>
      </c>
      <c r="C25" s="103"/>
      <c r="D25" s="103" t="s">
        <v>266</v>
      </c>
      <c r="E25" s="306">
        <v>0.03</v>
      </c>
      <c r="F25" s="306">
        <v>2.5000000000000001E-2</v>
      </c>
      <c r="G25" s="306"/>
      <c r="H25" s="306">
        <v>0.03</v>
      </c>
      <c r="I25" s="306">
        <v>0.03</v>
      </c>
      <c r="J25" s="306">
        <v>0.01</v>
      </c>
      <c r="K25" s="306">
        <v>1.4999999999999999E-2</v>
      </c>
      <c r="L25" s="306">
        <v>0.04</v>
      </c>
      <c r="M25" s="306">
        <v>1.4999999999999999E-2</v>
      </c>
      <c r="N25" s="306">
        <v>2.5000000000000001E-2</v>
      </c>
      <c r="O25" s="306">
        <v>2.5000000000000001E-2</v>
      </c>
      <c r="P25" s="306">
        <v>0.09</v>
      </c>
      <c r="Q25" s="306">
        <v>6.5000000000000002E-2</v>
      </c>
      <c r="R25" s="307">
        <f t="shared" si="1"/>
        <v>0.39999999999999997</v>
      </c>
      <c r="S25" s="64" t="s">
        <v>215</v>
      </c>
    </row>
    <row r="26" spans="1:19" ht="24.9" customHeight="1" x14ac:dyDescent="0.25">
      <c r="A26" s="102" t="s">
        <v>297</v>
      </c>
      <c r="B26" s="302" t="s">
        <v>296</v>
      </c>
      <c r="C26" s="103" t="s">
        <v>292</v>
      </c>
      <c r="D26" s="103"/>
      <c r="E26" s="306">
        <v>1</v>
      </c>
      <c r="F26" s="306">
        <v>1</v>
      </c>
      <c r="G26" s="306"/>
      <c r="H26" s="306">
        <v>1</v>
      </c>
      <c r="I26" s="306">
        <v>1</v>
      </c>
      <c r="J26" s="306"/>
      <c r="K26" s="306">
        <v>1</v>
      </c>
      <c r="L26" s="306">
        <v>1</v>
      </c>
      <c r="M26" s="306">
        <v>1</v>
      </c>
      <c r="N26" s="306">
        <v>0.92</v>
      </c>
      <c r="O26" s="306"/>
      <c r="P26" s="306">
        <v>1</v>
      </c>
      <c r="Q26" s="306">
        <v>1</v>
      </c>
      <c r="R26" s="307">
        <f>SUM(E26:Q26)</f>
        <v>9.92</v>
      </c>
      <c r="S26" s="64" t="s">
        <v>215</v>
      </c>
    </row>
    <row r="27" spans="1:19" ht="24.9" customHeight="1" x14ac:dyDescent="0.25">
      <c r="A27" s="102" t="s">
        <v>255</v>
      </c>
      <c r="B27" s="302" t="s">
        <v>265</v>
      </c>
      <c r="C27" s="103"/>
      <c r="D27" s="103" t="s">
        <v>266</v>
      </c>
      <c r="E27" s="306"/>
      <c r="F27" s="306">
        <v>0.1</v>
      </c>
      <c r="G27" s="306"/>
      <c r="H27" s="306"/>
      <c r="I27" s="306"/>
      <c r="J27" s="306"/>
      <c r="K27" s="306"/>
      <c r="L27" s="306"/>
      <c r="M27" s="306"/>
      <c r="N27" s="306"/>
      <c r="O27" s="306"/>
      <c r="P27" s="306">
        <v>0.1</v>
      </c>
      <c r="Q27" s="306"/>
      <c r="R27" s="307">
        <f>SUM(E27:Q27)</f>
        <v>0.2</v>
      </c>
      <c r="S27" s="64" t="s">
        <v>215</v>
      </c>
    </row>
    <row r="28" spans="1:19" ht="24.9" customHeight="1" x14ac:dyDescent="0.25">
      <c r="A28" s="102" t="s">
        <v>350</v>
      </c>
      <c r="B28" s="302" t="s">
        <v>351</v>
      </c>
      <c r="C28" s="103"/>
      <c r="D28" s="103" t="s">
        <v>266</v>
      </c>
      <c r="E28" s="306"/>
      <c r="F28" s="306"/>
      <c r="G28" s="306"/>
      <c r="H28" s="306"/>
      <c r="I28" s="306"/>
      <c r="J28" s="306"/>
      <c r="K28" s="306"/>
      <c r="L28" s="306"/>
      <c r="M28" s="306"/>
      <c r="N28" s="306"/>
      <c r="O28" s="306"/>
      <c r="P28" s="306"/>
      <c r="Q28" s="306"/>
      <c r="R28" s="307">
        <f t="shared" si="1"/>
        <v>0</v>
      </c>
      <c r="S28" s="64" t="s">
        <v>215</v>
      </c>
    </row>
    <row r="29" spans="1:19" ht="24.9" customHeight="1" x14ac:dyDescent="0.25">
      <c r="A29" s="102" t="s">
        <v>256</v>
      </c>
      <c r="B29" s="302" t="s">
        <v>267</v>
      </c>
      <c r="C29" s="103"/>
      <c r="D29" s="103" t="s">
        <v>266</v>
      </c>
      <c r="E29" s="306"/>
      <c r="F29" s="306">
        <v>0.1</v>
      </c>
      <c r="G29" s="306"/>
      <c r="H29" s="306">
        <v>0.1</v>
      </c>
      <c r="I29" s="306"/>
      <c r="J29" s="306"/>
      <c r="K29" s="306"/>
      <c r="L29" s="306">
        <v>0.1</v>
      </c>
      <c r="M29" s="306"/>
      <c r="N29" s="306"/>
      <c r="O29" s="306"/>
      <c r="P29" s="306">
        <v>0.1</v>
      </c>
      <c r="Q29" s="306">
        <v>0.1</v>
      </c>
      <c r="R29" s="307">
        <f>SUM(E29:Q29)</f>
        <v>0.5</v>
      </c>
      <c r="S29" s="64" t="s">
        <v>215</v>
      </c>
    </row>
    <row r="30" spans="1:19" ht="24.9" customHeight="1" x14ac:dyDescent="0.25">
      <c r="A30" s="102" t="s">
        <v>299</v>
      </c>
      <c r="B30" s="302" t="s">
        <v>298</v>
      </c>
      <c r="C30" s="353"/>
      <c r="D30" s="103" t="s">
        <v>266</v>
      </c>
      <c r="E30" s="306"/>
      <c r="F30" s="306"/>
      <c r="G30" s="306"/>
      <c r="H30" s="306"/>
      <c r="I30" s="306"/>
      <c r="J30" s="306"/>
      <c r="K30" s="306"/>
      <c r="L30" s="306"/>
      <c r="M30" s="306"/>
      <c r="N30" s="306"/>
      <c r="O30" s="306"/>
      <c r="P30" s="306"/>
      <c r="Q30" s="306"/>
      <c r="R30" s="307">
        <f>SUM(E30:Q30)</f>
        <v>0</v>
      </c>
      <c r="S30" s="64" t="s">
        <v>215</v>
      </c>
    </row>
    <row r="31" spans="1:19" ht="24.9" customHeight="1" x14ac:dyDescent="0.25">
      <c r="A31" s="102" t="s">
        <v>340</v>
      </c>
      <c r="B31" s="302" t="s">
        <v>269</v>
      </c>
      <c r="C31" s="103"/>
      <c r="D31" s="103" t="s">
        <v>266</v>
      </c>
      <c r="E31" s="306">
        <v>6.3</v>
      </c>
      <c r="F31" s="306">
        <v>4.5</v>
      </c>
      <c r="G31" s="306"/>
      <c r="H31" s="306">
        <v>5</v>
      </c>
      <c r="I31" s="306">
        <v>7.14</v>
      </c>
      <c r="J31" s="306">
        <v>4.3</v>
      </c>
      <c r="K31" s="306">
        <v>3.5</v>
      </c>
      <c r="L31" s="306">
        <v>4.0999999999999996</v>
      </c>
      <c r="M31" s="306">
        <v>4.1399999999999997</v>
      </c>
      <c r="N31" s="306">
        <v>4.16</v>
      </c>
      <c r="O31" s="306">
        <v>7.88</v>
      </c>
      <c r="P31" s="306">
        <v>7.28</v>
      </c>
      <c r="Q31" s="306">
        <v>6.06</v>
      </c>
      <c r="R31" s="307">
        <f t="shared" si="1"/>
        <v>64.36</v>
      </c>
      <c r="S31" s="64" t="s">
        <v>215</v>
      </c>
    </row>
    <row r="32" spans="1:19" ht="24.9" customHeight="1" x14ac:dyDescent="0.25">
      <c r="A32" s="102" t="s">
        <v>353</v>
      </c>
      <c r="B32" s="302" t="s">
        <v>352</v>
      </c>
      <c r="C32" s="103"/>
      <c r="D32" s="103" t="s">
        <v>266</v>
      </c>
      <c r="E32" s="306">
        <v>0.3</v>
      </c>
      <c r="F32" s="306">
        <v>0.74</v>
      </c>
      <c r="G32" s="306"/>
      <c r="H32" s="306">
        <v>1.1200000000000001</v>
      </c>
      <c r="I32" s="306">
        <v>0.34</v>
      </c>
      <c r="J32" s="306">
        <v>0.72</v>
      </c>
      <c r="K32" s="306">
        <v>0.2</v>
      </c>
      <c r="L32" s="306">
        <v>0.38</v>
      </c>
      <c r="M32" s="306">
        <v>0.15</v>
      </c>
      <c r="N32" s="306">
        <v>0.47</v>
      </c>
      <c r="O32" s="306">
        <v>0.6</v>
      </c>
      <c r="P32" s="306">
        <v>0.48</v>
      </c>
      <c r="Q32" s="306">
        <v>0.04</v>
      </c>
      <c r="R32" s="307">
        <f t="shared" si="1"/>
        <v>5.54</v>
      </c>
      <c r="S32" s="64" t="s">
        <v>215</v>
      </c>
    </row>
    <row r="33" spans="1:19" ht="24.9" customHeight="1" x14ac:dyDescent="0.25">
      <c r="A33" s="102" t="s">
        <v>257</v>
      </c>
      <c r="B33" s="302" t="s">
        <v>270</v>
      </c>
      <c r="C33" s="103"/>
      <c r="D33" s="103" t="s">
        <v>266</v>
      </c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7">
        <f t="shared" si="1"/>
        <v>0</v>
      </c>
      <c r="S33" s="64" t="s">
        <v>215</v>
      </c>
    </row>
    <row r="34" spans="1:19" ht="24.9" customHeight="1" x14ac:dyDescent="0.25">
      <c r="A34" s="102" t="s">
        <v>271</v>
      </c>
      <c r="B34" s="302" t="s">
        <v>272</v>
      </c>
      <c r="C34" s="103"/>
      <c r="D34" s="103" t="s">
        <v>333</v>
      </c>
      <c r="E34" s="306">
        <v>0.25</v>
      </c>
      <c r="F34" s="306">
        <v>0.3</v>
      </c>
      <c r="G34" s="306"/>
      <c r="H34" s="306">
        <v>0.15</v>
      </c>
      <c r="I34" s="306">
        <v>0.3</v>
      </c>
      <c r="J34" s="306">
        <v>0.96</v>
      </c>
      <c r="K34" s="306">
        <v>0.2</v>
      </c>
      <c r="L34" s="306">
        <v>0.2</v>
      </c>
      <c r="M34" s="306">
        <v>0.1</v>
      </c>
      <c r="N34" s="306">
        <v>0.1</v>
      </c>
      <c r="O34" s="306">
        <v>0.3</v>
      </c>
      <c r="P34" s="306">
        <v>0.24</v>
      </c>
      <c r="Q34" s="306"/>
      <c r="R34" s="307">
        <f t="shared" si="1"/>
        <v>3.1000000000000005</v>
      </c>
      <c r="S34" s="64" t="s">
        <v>215</v>
      </c>
    </row>
    <row r="35" spans="1:19" ht="24.9" customHeight="1" x14ac:dyDescent="0.25">
      <c r="A35" s="102" t="s">
        <v>273</v>
      </c>
      <c r="B35" s="302" t="s">
        <v>274</v>
      </c>
      <c r="C35" s="353"/>
      <c r="D35" s="103" t="s">
        <v>266</v>
      </c>
      <c r="E35" s="306">
        <v>0.01</v>
      </c>
      <c r="F35" s="306">
        <v>0.01</v>
      </c>
      <c r="G35" s="306"/>
      <c r="H35" s="306"/>
      <c r="I35" s="356">
        <v>5.0000000000000001E-3</v>
      </c>
      <c r="J35" s="306"/>
      <c r="K35" s="306"/>
      <c r="L35" s="306">
        <v>5.0000000000000001E-3</v>
      </c>
      <c r="M35" s="306">
        <v>0.01</v>
      </c>
      <c r="N35" s="306"/>
      <c r="O35" s="306">
        <v>0.01</v>
      </c>
      <c r="P35" s="306"/>
      <c r="Q35" s="306">
        <v>0.01</v>
      </c>
      <c r="R35" s="307">
        <f t="shared" si="1"/>
        <v>6.0000000000000005E-2</v>
      </c>
      <c r="S35" s="64" t="s">
        <v>215</v>
      </c>
    </row>
    <row r="36" spans="1:19" ht="24.9" customHeight="1" x14ac:dyDescent="0.25">
      <c r="A36" s="102" t="s">
        <v>258</v>
      </c>
      <c r="B36" s="302" t="s">
        <v>275</v>
      </c>
      <c r="C36" s="353"/>
      <c r="D36" s="103" t="s">
        <v>266</v>
      </c>
      <c r="E36" s="306"/>
      <c r="F36" s="306"/>
      <c r="G36" s="306"/>
      <c r="H36" s="306">
        <v>1E-3</v>
      </c>
      <c r="I36" s="306"/>
      <c r="J36" s="306"/>
      <c r="K36" s="306">
        <v>2E-3</v>
      </c>
      <c r="L36" s="306">
        <v>1E-3</v>
      </c>
      <c r="M36" s="306"/>
      <c r="N36" s="306"/>
      <c r="O36" s="306"/>
      <c r="P36" s="306">
        <v>0.02</v>
      </c>
      <c r="Q36" s="306">
        <v>1.6E-2</v>
      </c>
      <c r="R36" s="307">
        <f t="shared" si="1"/>
        <v>0.04</v>
      </c>
      <c r="S36" s="64" t="s">
        <v>215</v>
      </c>
    </row>
    <row r="37" spans="1:19" ht="24.9" customHeight="1" x14ac:dyDescent="0.25">
      <c r="A37" s="102" t="s">
        <v>277</v>
      </c>
      <c r="B37" s="302" t="s">
        <v>276</v>
      </c>
      <c r="C37" s="353"/>
      <c r="D37" s="103" t="s">
        <v>266</v>
      </c>
      <c r="E37" s="306">
        <v>0.01</v>
      </c>
      <c r="F37" s="306">
        <v>0.02</v>
      </c>
      <c r="G37" s="306"/>
      <c r="H37" s="306">
        <v>0.01</v>
      </c>
      <c r="I37" s="306">
        <v>0.01</v>
      </c>
      <c r="J37" s="306">
        <v>0.05</v>
      </c>
      <c r="K37" s="306">
        <v>0.02</v>
      </c>
      <c r="L37" s="306">
        <v>0.01</v>
      </c>
      <c r="M37" s="306">
        <v>0.02</v>
      </c>
      <c r="N37" s="306"/>
      <c r="O37" s="306">
        <v>8.0000000000000002E-3</v>
      </c>
      <c r="P37" s="306"/>
      <c r="Q37" s="306"/>
      <c r="R37" s="307">
        <f t="shared" si="1"/>
        <v>0.158</v>
      </c>
      <c r="S37" s="64" t="s">
        <v>215</v>
      </c>
    </row>
    <row r="38" spans="1:19" ht="24.9" customHeight="1" x14ac:dyDescent="0.25">
      <c r="A38" s="102" t="s">
        <v>259</v>
      </c>
      <c r="B38" s="302" t="s">
        <v>278</v>
      </c>
      <c r="C38" s="103"/>
      <c r="D38" s="103" t="s">
        <v>333</v>
      </c>
      <c r="E38" s="365">
        <v>0.1</v>
      </c>
      <c r="F38" s="365"/>
      <c r="G38" s="365"/>
      <c r="H38" s="365"/>
      <c r="I38" s="365">
        <v>0.15</v>
      </c>
      <c r="J38" s="365">
        <v>0.15</v>
      </c>
      <c r="K38" s="365">
        <v>0.1</v>
      </c>
      <c r="L38" s="365">
        <v>0.05</v>
      </c>
      <c r="M38" s="365">
        <v>0.1</v>
      </c>
      <c r="N38" s="365">
        <v>0.08</v>
      </c>
      <c r="O38" s="365">
        <v>0.19</v>
      </c>
      <c r="P38" s="365">
        <v>0.22</v>
      </c>
      <c r="Q38" s="365"/>
      <c r="R38" s="307">
        <f t="shared" si="1"/>
        <v>1.1399999999999999</v>
      </c>
      <c r="S38" s="64" t="s">
        <v>215</v>
      </c>
    </row>
    <row r="39" spans="1:19" ht="24.9" customHeight="1" x14ac:dyDescent="0.25">
      <c r="A39" s="102" t="s">
        <v>279</v>
      </c>
      <c r="B39" s="302" t="s">
        <v>280</v>
      </c>
      <c r="C39" s="353"/>
      <c r="D39" s="361" t="s">
        <v>266</v>
      </c>
      <c r="E39" s="306"/>
      <c r="F39" s="306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06"/>
      <c r="R39" s="307">
        <f t="shared" si="1"/>
        <v>0</v>
      </c>
      <c r="S39" s="64" t="s">
        <v>215</v>
      </c>
    </row>
    <row r="40" spans="1:19" ht="24.9" customHeight="1" x14ac:dyDescent="0.25">
      <c r="A40" s="102" t="s">
        <v>281</v>
      </c>
      <c r="B40" s="302" t="s">
        <v>282</v>
      </c>
      <c r="C40" s="103"/>
      <c r="D40" s="103" t="s">
        <v>266</v>
      </c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7">
        <f t="shared" si="1"/>
        <v>0</v>
      </c>
      <c r="S40" s="64" t="s">
        <v>215</v>
      </c>
    </row>
    <row r="41" spans="1:19" ht="24.9" customHeight="1" x14ac:dyDescent="0.25">
      <c r="A41" s="102" t="s">
        <v>303</v>
      </c>
      <c r="B41" s="302" t="s">
        <v>300</v>
      </c>
      <c r="C41" s="103"/>
      <c r="D41" s="103" t="s">
        <v>266</v>
      </c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7">
        <f>SUM(E41:Q41)</f>
        <v>0</v>
      </c>
      <c r="S41" s="64" t="s">
        <v>215</v>
      </c>
    </row>
    <row r="42" spans="1:19" ht="24.9" customHeight="1" x14ac:dyDescent="0.25">
      <c r="A42" s="102" t="s">
        <v>301</v>
      </c>
      <c r="B42" s="302" t="s">
        <v>302</v>
      </c>
      <c r="C42" s="103"/>
      <c r="D42" s="103" t="s">
        <v>266</v>
      </c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7">
        <f>SUM(E42:Q42)</f>
        <v>0</v>
      </c>
      <c r="S42" s="64" t="s">
        <v>215</v>
      </c>
    </row>
    <row r="43" spans="1:19" ht="24.9" customHeight="1" x14ac:dyDescent="0.25">
      <c r="A43" s="102" t="s">
        <v>356</v>
      </c>
      <c r="B43" s="302" t="s">
        <v>357</v>
      </c>
      <c r="C43" s="361" t="s">
        <v>268</v>
      </c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06"/>
      <c r="R43" s="307">
        <f t="shared" ref="R43:R44" si="2">SUM(E43:Q43)</f>
        <v>0</v>
      </c>
      <c r="S43" s="64" t="s">
        <v>215</v>
      </c>
    </row>
    <row r="44" spans="1:19" ht="24.9" customHeight="1" x14ac:dyDescent="0.25">
      <c r="A44" s="102" t="s">
        <v>342</v>
      </c>
      <c r="B44" s="302" t="s">
        <v>341</v>
      </c>
      <c r="C44" s="103"/>
      <c r="D44" s="103" t="s">
        <v>266</v>
      </c>
      <c r="E44" s="306"/>
      <c r="F44" s="306"/>
      <c r="G44" s="306"/>
      <c r="H44" s="306"/>
      <c r="I44" s="306"/>
      <c r="J44" s="306"/>
      <c r="K44" s="306"/>
      <c r="L44" s="306"/>
      <c r="M44" s="306"/>
      <c r="N44" s="306"/>
      <c r="O44" s="306"/>
      <c r="P44" s="306"/>
      <c r="Q44" s="306"/>
      <c r="R44" s="307">
        <f t="shared" si="2"/>
        <v>0</v>
      </c>
      <c r="S44" s="64" t="s">
        <v>215</v>
      </c>
    </row>
    <row r="45" spans="1:19" ht="24.9" customHeight="1" x14ac:dyDescent="0.25">
      <c r="A45" s="102" t="s">
        <v>283</v>
      </c>
      <c r="B45" s="302" t="s">
        <v>284</v>
      </c>
      <c r="C45" s="103" t="s">
        <v>268</v>
      </c>
      <c r="D45" s="103"/>
      <c r="E45" s="306"/>
      <c r="F45" s="306"/>
      <c r="G45" s="306"/>
      <c r="H45" s="306"/>
      <c r="I45" s="306"/>
      <c r="J45" s="306"/>
      <c r="K45" s="306"/>
      <c r="L45" s="306"/>
      <c r="M45" s="306"/>
      <c r="N45" s="306"/>
      <c r="O45" s="306"/>
      <c r="P45" s="306"/>
      <c r="Q45" s="306">
        <v>1E-3</v>
      </c>
      <c r="R45" s="307">
        <f t="shared" si="1"/>
        <v>1E-3</v>
      </c>
      <c r="S45" s="64" t="s">
        <v>215</v>
      </c>
    </row>
    <row r="46" spans="1:19" ht="24.9" customHeight="1" x14ac:dyDescent="0.25">
      <c r="A46" s="102" t="s">
        <v>339</v>
      </c>
      <c r="B46" s="302" t="s">
        <v>338</v>
      </c>
      <c r="C46" s="103" t="s">
        <v>268</v>
      </c>
      <c r="D46" s="103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7">
        <f t="shared" si="1"/>
        <v>0</v>
      </c>
      <c r="S46" s="64" t="s">
        <v>215</v>
      </c>
    </row>
    <row r="47" spans="1:19" ht="24.9" customHeight="1" x14ac:dyDescent="0.25">
      <c r="A47" s="102" t="s">
        <v>331</v>
      </c>
      <c r="B47" s="302" t="s">
        <v>332</v>
      </c>
      <c r="C47" s="103"/>
      <c r="D47" s="103" t="s">
        <v>266</v>
      </c>
      <c r="E47" s="306"/>
      <c r="F47" s="306">
        <v>0.02</v>
      </c>
      <c r="G47" s="306"/>
      <c r="H47" s="306"/>
      <c r="I47" s="306"/>
      <c r="J47" s="306">
        <v>0.03</v>
      </c>
      <c r="K47" s="306"/>
      <c r="L47" s="306">
        <v>0.01</v>
      </c>
      <c r="M47" s="306">
        <v>0.02</v>
      </c>
      <c r="N47" s="306"/>
      <c r="O47" s="306"/>
      <c r="P47" s="306">
        <v>0.04</v>
      </c>
      <c r="Q47" s="306"/>
      <c r="R47" s="307">
        <f t="shared" si="1"/>
        <v>0.12</v>
      </c>
      <c r="S47" s="64" t="s">
        <v>215</v>
      </c>
    </row>
    <row r="48" spans="1:19" ht="24.9" customHeight="1" x14ac:dyDescent="0.25">
      <c r="A48" s="102" t="s">
        <v>260</v>
      </c>
      <c r="B48" s="302" t="s">
        <v>286</v>
      </c>
      <c r="C48" s="103"/>
      <c r="D48" s="103" t="s">
        <v>287</v>
      </c>
      <c r="E48" s="306"/>
      <c r="F48" s="306">
        <v>0.1</v>
      </c>
      <c r="G48" s="306"/>
      <c r="H48" s="306">
        <v>0.1</v>
      </c>
      <c r="I48" s="306">
        <v>0.1</v>
      </c>
      <c r="J48" s="306">
        <v>0.1</v>
      </c>
      <c r="K48" s="306">
        <v>0.1</v>
      </c>
      <c r="L48" s="306">
        <v>0.05</v>
      </c>
      <c r="M48" s="306">
        <v>0.05</v>
      </c>
      <c r="N48" s="306"/>
      <c r="O48" s="306"/>
      <c r="P48" s="306">
        <v>0.65</v>
      </c>
      <c r="Q48" s="306">
        <v>0.25</v>
      </c>
      <c r="R48" s="307">
        <f t="shared" si="1"/>
        <v>1.5</v>
      </c>
      <c r="S48" s="64" t="s">
        <v>215</v>
      </c>
    </row>
    <row r="49" spans="1:19" ht="24.9" customHeight="1" x14ac:dyDescent="0.25">
      <c r="A49" s="102" t="s">
        <v>305</v>
      </c>
      <c r="B49" s="302" t="s">
        <v>304</v>
      </c>
      <c r="C49" s="103" t="s">
        <v>268</v>
      </c>
      <c r="D49" s="103"/>
      <c r="E49" s="306"/>
      <c r="F49" s="306"/>
      <c r="G49" s="306"/>
      <c r="H49" s="306"/>
      <c r="I49" s="306"/>
      <c r="J49" s="306"/>
      <c r="K49" s="306"/>
      <c r="L49" s="306"/>
      <c r="M49" s="306"/>
      <c r="N49" s="306"/>
      <c r="O49" s="306"/>
      <c r="P49" s="306"/>
      <c r="Q49" s="306"/>
      <c r="R49" s="307">
        <f>SUM(E49:Q49)</f>
        <v>0</v>
      </c>
      <c r="S49" s="64" t="s">
        <v>215</v>
      </c>
    </row>
    <row r="50" spans="1:19" ht="24.9" customHeight="1" x14ac:dyDescent="0.25">
      <c r="A50" s="102" t="s">
        <v>355</v>
      </c>
      <c r="B50" s="302" t="s">
        <v>354</v>
      </c>
      <c r="C50" s="103"/>
      <c r="D50" s="103" t="s">
        <v>266</v>
      </c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7">
        <f>SUM(E50:Q50)</f>
        <v>0</v>
      </c>
      <c r="S50" s="64" t="s">
        <v>215</v>
      </c>
    </row>
    <row r="51" spans="1:19" ht="24.9" customHeight="1" x14ac:dyDescent="0.25">
      <c r="A51" s="102" t="s">
        <v>288</v>
      </c>
      <c r="B51" s="302" t="s">
        <v>289</v>
      </c>
      <c r="C51" s="103" t="s">
        <v>285</v>
      </c>
      <c r="D51" s="103"/>
      <c r="E51" s="306"/>
      <c r="F51" s="306"/>
      <c r="G51" s="306"/>
      <c r="H51" s="306"/>
      <c r="I51" s="306"/>
      <c r="J51" s="306"/>
      <c r="K51" s="306"/>
      <c r="L51" s="306"/>
      <c r="M51" s="306"/>
      <c r="N51" s="306"/>
      <c r="O51" s="306"/>
      <c r="P51" s="306"/>
      <c r="Q51" s="306"/>
      <c r="R51" s="307">
        <f>SUM(E51:Q51)</f>
        <v>0</v>
      </c>
      <c r="S51" s="64" t="s">
        <v>215</v>
      </c>
    </row>
    <row r="52" spans="1:19" ht="24.9" customHeight="1" x14ac:dyDescent="0.25">
      <c r="A52" s="102" t="s">
        <v>290</v>
      </c>
      <c r="B52" s="302" t="s">
        <v>291</v>
      </c>
      <c r="C52" s="103" t="s">
        <v>292</v>
      </c>
      <c r="D52" s="103"/>
      <c r="E52" s="306"/>
      <c r="F52" s="306">
        <v>0.15</v>
      </c>
      <c r="G52" s="306"/>
      <c r="H52" s="306">
        <v>0.15</v>
      </c>
      <c r="I52" s="306"/>
      <c r="J52" s="306"/>
      <c r="K52" s="306"/>
      <c r="L52" s="306"/>
      <c r="M52" s="306">
        <v>0.2</v>
      </c>
      <c r="N52" s="306"/>
      <c r="O52" s="306"/>
      <c r="P52" s="306">
        <v>0.22</v>
      </c>
      <c r="Q52" s="306"/>
      <c r="R52" s="307">
        <f t="shared" si="1"/>
        <v>0.72</v>
      </c>
      <c r="S52" s="64" t="s">
        <v>215</v>
      </c>
    </row>
    <row r="53" spans="1:19" ht="24.9" customHeight="1" x14ac:dyDescent="0.25">
      <c r="A53" s="102" t="s">
        <v>349</v>
      </c>
      <c r="B53" s="302" t="s">
        <v>348</v>
      </c>
      <c r="C53" s="103"/>
      <c r="D53" s="103" t="s">
        <v>266</v>
      </c>
      <c r="E53" s="306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06"/>
      <c r="R53" s="307">
        <f t="shared" si="1"/>
        <v>0</v>
      </c>
      <c r="S53" s="64" t="s">
        <v>215</v>
      </c>
    </row>
    <row r="54" spans="1:19" ht="24.9" customHeight="1" x14ac:dyDescent="0.25">
      <c r="A54" s="102" t="s">
        <v>261</v>
      </c>
      <c r="B54" s="302" t="s">
        <v>293</v>
      </c>
      <c r="C54" s="353"/>
      <c r="D54" s="103" t="s">
        <v>266</v>
      </c>
      <c r="E54" s="306"/>
      <c r="F54" s="306">
        <v>0.03</v>
      </c>
      <c r="G54" s="306"/>
      <c r="H54" s="306"/>
      <c r="I54" s="306"/>
      <c r="J54" s="306">
        <v>0.05</v>
      </c>
      <c r="K54" s="306">
        <v>0.02</v>
      </c>
      <c r="L54" s="306"/>
      <c r="M54" s="306">
        <v>0.03</v>
      </c>
      <c r="N54" s="306"/>
      <c r="O54" s="306"/>
      <c r="P54" s="306">
        <v>7.0000000000000007E-2</v>
      </c>
      <c r="Q54" s="306">
        <v>0.08</v>
      </c>
      <c r="R54" s="307">
        <f t="shared" si="1"/>
        <v>0.28000000000000003</v>
      </c>
      <c r="S54" s="64" t="s">
        <v>215</v>
      </c>
    </row>
    <row r="55" spans="1:19" ht="24.9" customHeight="1" x14ac:dyDescent="0.25">
      <c r="A55" s="102" t="s">
        <v>294</v>
      </c>
      <c r="B55" s="302" t="s">
        <v>295</v>
      </c>
      <c r="C55" s="103" t="s">
        <v>389</v>
      </c>
      <c r="D55" s="103"/>
      <c r="E55" s="306"/>
      <c r="F55" s="306"/>
      <c r="G55" s="306"/>
      <c r="H55" s="306"/>
      <c r="I55" s="306"/>
      <c r="J55" s="306"/>
      <c r="K55" s="306"/>
      <c r="L55" s="306"/>
      <c r="M55" s="306"/>
      <c r="N55" s="306"/>
      <c r="O55" s="306"/>
      <c r="P55" s="306"/>
      <c r="Q55" s="306"/>
      <c r="R55" s="307">
        <f t="shared" si="1"/>
        <v>0</v>
      </c>
      <c r="S55" s="64" t="s">
        <v>215</v>
      </c>
    </row>
    <row r="56" spans="1:19" ht="24.9" customHeight="1" x14ac:dyDescent="0.25">
      <c r="A56" s="102"/>
      <c r="B56" s="302"/>
      <c r="C56" s="103"/>
      <c r="D56" s="103"/>
      <c r="E56" s="306"/>
      <c r="F56" s="306"/>
      <c r="G56" s="306"/>
      <c r="H56" s="306"/>
      <c r="I56" s="306"/>
      <c r="J56" s="306"/>
      <c r="K56" s="306"/>
      <c r="L56" s="306"/>
      <c r="M56" s="306"/>
      <c r="N56" s="306"/>
      <c r="O56" s="306"/>
      <c r="P56" s="306"/>
      <c r="Q56" s="306"/>
      <c r="R56" s="307">
        <f t="shared" si="1"/>
        <v>0</v>
      </c>
      <c r="S56" s="64"/>
    </row>
    <row r="57" spans="1:19" ht="24.9" customHeight="1" x14ac:dyDescent="0.25">
      <c r="A57" s="102"/>
      <c r="B57" s="302"/>
      <c r="C57" s="103"/>
      <c r="D57" s="103"/>
      <c r="E57" s="306"/>
      <c r="F57" s="306"/>
      <c r="G57" s="306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307">
        <f t="shared" si="1"/>
        <v>0</v>
      </c>
      <c r="S57" s="64"/>
    </row>
    <row r="58" spans="1:19" ht="24.9" customHeight="1" x14ac:dyDescent="0.25">
      <c r="A58" s="102"/>
      <c r="B58" s="302"/>
      <c r="C58" s="103"/>
      <c r="D58" s="103"/>
      <c r="E58" s="306"/>
      <c r="F58" s="306"/>
      <c r="G58" s="306"/>
      <c r="H58" s="306"/>
      <c r="I58" s="306"/>
      <c r="J58" s="306"/>
      <c r="K58" s="306"/>
      <c r="L58" s="306"/>
      <c r="M58" s="306"/>
      <c r="N58" s="306"/>
      <c r="O58" s="306"/>
      <c r="P58" s="306"/>
      <c r="Q58" s="306"/>
      <c r="R58" s="307">
        <f t="shared" si="1"/>
        <v>0</v>
      </c>
      <c r="S58" s="64"/>
    </row>
    <row r="59" spans="1:19" ht="24.9" customHeight="1" x14ac:dyDescent="0.25">
      <c r="A59" s="102"/>
      <c r="B59" s="302"/>
      <c r="C59" s="103"/>
      <c r="D59" s="103"/>
      <c r="E59" s="306"/>
      <c r="F59" s="306"/>
      <c r="G59" s="306"/>
      <c r="H59" s="306"/>
      <c r="I59" s="306"/>
      <c r="J59" s="306"/>
      <c r="K59" s="306"/>
      <c r="L59" s="306"/>
      <c r="M59" s="306"/>
      <c r="N59" s="306"/>
      <c r="O59" s="306"/>
      <c r="P59" s="306"/>
      <c r="Q59" s="306"/>
      <c r="R59" s="307">
        <f t="shared" si="1"/>
        <v>0</v>
      </c>
      <c r="S59" s="64"/>
    </row>
    <row r="60" spans="1:19" ht="24.9" customHeight="1" x14ac:dyDescent="0.25">
      <c r="A60" s="102"/>
      <c r="B60" s="302"/>
      <c r="C60" s="103"/>
      <c r="D60" s="103"/>
      <c r="E60" s="305"/>
      <c r="F60" s="305"/>
      <c r="G60" s="305"/>
      <c r="H60" s="305"/>
      <c r="I60" s="305"/>
      <c r="J60" s="305"/>
      <c r="K60" s="305"/>
      <c r="L60" s="305"/>
      <c r="M60" s="305"/>
      <c r="N60" s="305"/>
      <c r="O60" s="305"/>
      <c r="P60" s="305"/>
      <c r="Q60" s="306"/>
      <c r="R60" s="307">
        <f t="shared" si="1"/>
        <v>0</v>
      </c>
      <c r="S60" s="64"/>
    </row>
    <row r="61" spans="1:19" ht="24.9" customHeight="1" thickBot="1" x14ac:dyDescent="0.3">
      <c r="A61" s="89"/>
      <c r="B61" s="303"/>
      <c r="C61" s="90"/>
      <c r="D61" s="90"/>
      <c r="E61" s="308"/>
      <c r="F61" s="308"/>
      <c r="G61" s="308"/>
      <c r="H61" s="308"/>
      <c r="I61" s="308"/>
      <c r="J61" s="308"/>
      <c r="K61" s="308"/>
      <c r="L61" s="308"/>
      <c r="M61" s="308"/>
      <c r="N61" s="308"/>
      <c r="O61" s="308"/>
      <c r="P61" s="308"/>
      <c r="Q61" s="309"/>
      <c r="R61" s="310">
        <f t="shared" si="1"/>
        <v>0</v>
      </c>
      <c r="S61" s="69"/>
    </row>
    <row r="62" spans="1:19" ht="24.9" customHeight="1" thickBot="1" x14ac:dyDescent="0.3">
      <c r="D62" s="31"/>
      <c r="E62" s="31"/>
      <c r="I62" s="31"/>
      <c r="J62" s="31"/>
      <c r="R62" s="311">
        <f>SUM(R22:R61)</f>
        <v>107.26000000000002</v>
      </c>
    </row>
    <row r="63" spans="1:19" ht="20.100000000000001" customHeight="1" x14ac:dyDescent="0.25">
      <c r="D63" s="31"/>
      <c r="E63" s="31"/>
      <c r="I63" s="31"/>
      <c r="J63" s="31"/>
    </row>
    <row r="64" spans="1:19" x14ac:dyDescent="0.25">
      <c r="D64" s="31"/>
      <c r="E64" s="31"/>
      <c r="I64" s="31"/>
      <c r="J64" s="31"/>
    </row>
    <row r="65" s="31" customFormat="1" x14ac:dyDescent="0.25"/>
    <row r="66" s="31" customFormat="1" x14ac:dyDescent="0.25"/>
    <row r="67" s="31" customFormat="1" x14ac:dyDescent="0.25"/>
    <row r="68" s="31" customFormat="1" x14ac:dyDescent="0.25"/>
    <row r="69" s="31" customFormat="1" x14ac:dyDescent="0.25"/>
    <row r="70" s="31" customFormat="1" x14ac:dyDescent="0.25"/>
    <row r="71" s="31" customFormat="1" x14ac:dyDescent="0.25"/>
    <row r="72" s="31" customFormat="1" x14ac:dyDescent="0.25"/>
    <row r="73" s="31" customFormat="1" x14ac:dyDescent="0.25"/>
    <row r="74" s="31" customFormat="1" x14ac:dyDescent="0.25"/>
    <row r="75" s="31" customFormat="1" x14ac:dyDescent="0.25"/>
    <row r="76" s="31" customFormat="1" x14ac:dyDescent="0.25"/>
    <row r="77" s="31" customFormat="1" x14ac:dyDescent="0.25"/>
    <row r="78" s="31" customFormat="1" x14ac:dyDescent="0.25"/>
    <row r="79" s="31" customFormat="1" x14ac:dyDescent="0.25"/>
    <row r="80" s="31" customFormat="1" x14ac:dyDescent="0.25"/>
    <row r="81" s="31" customFormat="1" x14ac:dyDescent="0.25"/>
    <row r="82" s="31" customFormat="1" x14ac:dyDescent="0.25"/>
    <row r="83" s="31" customFormat="1" x14ac:dyDescent="0.25"/>
    <row r="84" s="31" customFormat="1" x14ac:dyDescent="0.25"/>
    <row r="85" s="31" customFormat="1" x14ac:dyDescent="0.25"/>
    <row r="86" s="31" customFormat="1" x14ac:dyDescent="0.25"/>
    <row r="87" s="31" customFormat="1" ht="20.100000000000001" customHeight="1" x14ac:dyDescent="0.25"/>
    <row r="88" s="31" customFormat="1" ht="20.100000000000001" customHeight="1" x14ac:dyDescent="0.25"/>
    <row r="89" s="31" customFormat="1" ht="20.100000000000001" customHeight="1" x14ac:dyDescent="0.25"/>
    <row r="90" s="31" customFormat="1" ht="20.100000000000001" customHeight="1" x14ac:dyDescent="0.25"/>
    <row r="91" s="31" customFormat="1" ht="20.100000000000001" customHeight="1" x14ac:dyDescent="0.25"/>
    <row r="92" s="31" customFormat="1" ht="20.100000000000001" customHeight="1" x14ac:dyDescent="0.25"/>
    <row r="93" s="31" customFormat="1" ht="20.100000000000001" customHeight="1" x14ac:dyDescent="0.25"/>
    <row r="94" s="31" customFormat="1" ht="20.100000000000001" customHeight="1" x14ac:dyDescent="0.25"/>
    <row r="95" s="31" customFormat="1" ht="20.100000000000001" customHeight="1" x14ac:dyDescent="0.25"/>
    <row r="96" s="31" customFormat="1" ht="20.100000000000001" customHeight="1" x14ac:dyDescent="0.25"/>
    <row r="97" s="31" customFormat="1" ht="20.100000000000001" customHeight="1" x14ac:dyDescent="0.25"/>
    <row r="98" s="31" customFormat="1" ht="20.100000000000001" customHeight="1" x14ac:dyDescent="0.25"/>
    <row r="99" s="31" customFormat="1" ht="20.100000000000001" customHeight="1" x14ac:dyDescent="0.25"/>
    <row r="100" s="31" customFormat="1" ht="20.100000000000001" customHeight="1" x14ac:dyDescent="0.25"/>
    <row r="101" s="31" customFormat="1" ht="20.100000000000001" customHeight="1" x14ac:dyDescent="0.25"/>
    <row r="102" s="31" customFormat="1" ht="20.100000000000001" customHeight="1" x14ac:dyDescent="0.25"/>
    <row r="103" s="31" customFormat="1" ht="20.100000000000001" customHeight="1" x14ac:dyDescent="0.25"/>
    <row r="104" s="31" customFormat="1" ht="20.100000000000001" customHeight="1" x14ac:dyDescent="0.25"/>
    <row r="105" s="31" customFormat="1" ht="20.100000000000001" customHeight="1" x14ac:dyDescent="0.25"/>
    <row r="106" s="31" customFormat="1" ht="20.100000000000001" customHeight="1" x14ac:dyDescent="0.25"/>
    <row r="107" s="31" customFormat="1" ht="20.100000000000001" customHeight="1" x14ac:dyDescent="0.25"/>
    <row r="108" s="31" customFormat="1" ht="20.100000000000001" customHeight="1" x14ac:dyDescent="0.25"/>
    <row r="109" s="31" customFormat="1" ht="20.100000000000001" customHeight="1" x14ac:dyDescent="0.25"/>
    <row r="110" s="31" customFormat="1" ht="20.100000000000001" customHeight="1" x14ac:dyDescent="0.25"/>
    <row r="111" s="31" customFormat="1" ht="20.100000000000001" customHeight="1" x14ac:dyDescent="0.25"/>
    <row r="112" s="31" customFormat="1" ht="20.100000000000001" customHeight="1" x14ac:dyDescent="0.25"/>
    <row r="113" s="31" customFormat="1" ht="20.100000000000001" customHeight="1" x14ac:dyDescent="0.25"/>
    <row r="114" s="31" customFormat="1" ht="20.100000000000001" customHeight="1" x14ac:dyDescent="0.25"/>
    <row r="115" s="31" customFormat="1" ht="20.100000000000001" customHeight="1" x14ac:dyDescent="0.25"/>
    <row r="116" s="31" customFormat="1" ht="20.100000000000001" customHeight="1" x14ac:dyDescent="0.25"/>
    <row r="117" s="31" customFormat="1" ht="20.100000000000001" customHeight="1" x14ac:dyDescent="0.25"/>
    <row r="118" s="31" customFormat="1" ht="20.100000000000001" customHeight="1" x14ac:dyDescent="0.25"/>
    <row r="119" s="31" customFormat="1" ht="20.100000000000001" customHeight="1" x14ac:dyDescent="0.25"/>
    <row r="120" s="31" customFormat="1" ht="20.100000000000001" customHeight="1" x14ac:dyDescent="0.25"/>
    <row r="121" s="31" customFormat="1" ht="20.100000000000001" customHeight="1" x14ac:dyDescent="0.25"/>
    <row r="122" s="31" customFormat="1" ht="20.100000000000001" customHeight="1" x14ac:dyDescent="0.25"/>
    <row r="123" s="31" customFormat="1" ht="20.100000000000001" customHeight="1" x14ac:dyDescent="0.25"/>
    <row r="124" s="31" customFormat="1" ht="20.100000000000001" customHeight="1" x14ac:dyDescent="0.25"/>
    <row r="125" s="31" customFormat="1" ht="20.100000000000001" customHeight="1" x14ac:dyDescent="0.25"/>
    <row r="126" s="31" customFormat="1" ht="20.100000000000001" customHeight="1" x14ac:dyDescent="0.25"/>
    <row r="127" s="31" customFormat="1" ht="20.100000000000001" customHeight="1" x14ac:dyDescent="0.25"/>
    <row r="128" s="31" customFormat="1" ht="20.100000000000001" customHeight="1" x14ac:dyDescent="0.25"/>
    <row r="129" s="31" customFormat="1" ht="20.100000000000001" customHeight="1" x14ac:dyDescent="0.25"/>
    <row r="130" s="31" customFormat="1" ht="20.100000000000001" customHeight="1" x14ac:dyDescent="0.25"/>
    <row r="131" s="31" customFormat="1" ht="20.100000000000001" customHeight="1" x14ac:dyDescent="0.25"/>
    <row r="132" s="31" customFormat="1" ht="20.100000000000001" customHeight="1" x14ac:dyDescent="0.25"/>
    <row r="133" s="31" customFormat="1" x14ac:dyDescent="0.25"/>
    <row r="134" s="31" customFormat="1" x14ac:dyDescent="0.25"/>
    <row r="135" s="31" customFormat="1" x14ac:dyDescent="0.25"/>
    <row r="136" s="31" customFormat="1" x14ac:dyDescent="0.25"/>
    <row r="137" s="31" customFormat="1" x14ac:dyDescent="0.25"/>
    <row r="138" s="31" customFormat="1" x14ac:dyDescent="0.25"/>
    <row r="139" s="31" customFormat="1" x14ac:dyDescent="0.25"/>
    <row r="140" s="31" customFormat="1" x14ac:dyDescent="0.25"/>
    <row r="141" s="31" customFormat="1" x14ac:dyDescent="0.25"/>
    <row r="142" s="31" customFormat="1" x14ac:dyDescent="0.25"/>
    <row r="143" s="31" customFormat="1" x14ac:dyDescent="0.25"/>
    <row r="144" s="31" customFormat="1" x14ac:dyDescent="0.25"/>
    <row r="145" s="31" customFormat="1" x14ac:dyDescent="0.25"/>
    <row r="146" s="31" customFormat="1" x14ac:dyDescent="0.25"/>
    <row r="147" s="31" customFormat="1" x14ac:dyDescent="0.25"/>
    <row r="148" s="31" customFormat="1" x14ac:dyDescent="0.25"/>
    <row r="149" s="31" customFormat="1" x14ac:dyDescent="0.25"/>
    <row r="150" s="31" customFormat="1" x14ac:dyDescent="0.25"/>
    <row r="151" s="31" customFormat="1" x14ac:dyDescent="0.25"/>
    <row r="152" s="31" customFormat="1" x14ac:dyDescent="0.25"/>
    <row r="153" s="31" customFormat="1" x14ac:dyDescent="0.25"/>
    <row r="154" s="31" customFormat="1" x14ac:dyDescent="0.25"/>
    <row r="155" s="31" customFormat="1" x14ac:dyDescent="0.25"/>
    <row r="156" s="31" customFormat="1" x14ac:dyDescent="0.25"/>
    <row r="157" s="31" customFormat="1" x14ac:dyDescent="0.25"/>
    <row r="158" s="31" customFormat="1" x14ac:dyDescent="0.25"/>
    <row r="159" s="31" customFormat="1" x14ac:dyDescent="0.25"/>
    <row r="160" s="31" customFormat="1" x14ac:dyDescent="0.25"/>
    <row r="161" s="31" customFormat="1" x14ac:dyDescent="0.25"/>
    <row r="162" s="31" customFormat="1" x14ac:dyDescent="0.25"/>
    <row r="163" s="31" customFormat="1" x14ac:dyDescent="0.25"/>
    <row r="164" s="31" customFormat="1" x14ac:dyDescent="0.25"/>
    <row r="165" s="31" customFormat="1" x14ac:dyDescent="0.25"/>
    <row r="166" s="31" customFormat="1" x14ac:dyDescent="0.25"/>
    <row r="167" s="31" customFormat="1" x14ac:dyDescent="0.25"/>
    <row r="168" s="31" customFormat="1" x14ac:dyDescent="0.25"/>
    <row r="169" s="31" customFormat="1" x14ac:dyDescent="0.25"/>
    <row r="170" s="31" customFormat="1" x14ac:dyDescent="0.25"/>
    <row r="171" s="31" customFormat="1" x14ac:dyDescent="0.25"/>
    <row r="172" s="31" customFormat="1" x14ac:dyDescent="0.25"/>
    <row r="173" s="31" customFormat="1" x14ac:dyDescent="0.25"/>
    <row r="174" s="31" customFormat="1" x14ac:dyDescent="0.25"/>
    <row r="175" s="31" customFormat="1" x14ac:dyDescent="0.25"/>
    <row r="176" s="31" customFormat="1" x14ac:dyDescent="0.25"/>
    <row r="177" s="31" customFormat="1" x14ac:dyDescent="0.25"/>
    <row r="178" s="31" customFormat="1" x14ac:dyDescent="0.25"/>
    <row r="179" s="31" customFormat="1" x14ac:dyDescent="0.25"/>
    <row r="180" s="31" customFormat="1" x14ac:dyDescent="0.25"/>
    <row r="181" s="31" customFormat="1" x14ac:dyDescent="0.25"/>
    <row r="182" s="31" customFormat="1" x14ac:dyDescent="0.25"/>
    <row r="183" s="31" customFormat="1" x14ac:dyDescent="0.25"/>
    <row r="184" s="31" customFormat="1" x14ac:dyDescent="0.25"/>
    <row r="185" s="31" customFormat="1" x14ac:dyDescent="0.25"/>
    <row r="186" s="31" customFormat="1" x14ac:dyDescent="0.25"/>
    <row r="187" s="31" customFormat="1" x14ac:dyDescent="0.25"/>
    <row r="188" s="31" customFormat="1" x14ac:dyDescent="0.25"/>
    <row r="189" s="31" customFormat="1" x14ac:dyDescent="0.25"/>
    <row r="190" s="31" customFormat="1" x14ac:dyDescent="0.25"/>
    <row r="191" s="31" customFormat="1" x14ac:dyDescent="0.25"/>
    <row r="192" s="31" customFormat="1" x14ac:dyDescent="0.25"/>
    <row r="193" s="31" customFormat="1" x14ac:dyDescent="0.25"/>
    <row r="194" s="31" customFormat="1" x14ac:dyDescent="0.25"/>
    <row r="195" s="31" customFormat="1" x14ac:dyDescent="0.25"/>
    <row r="196" s="31" customFormat="1" x14ac:dyDescent="0.25"/>
    <row r="197" s="31" customFormat="1" x14ac:dyDescent="0.25"/>
    <row r="198" s="31" customFormat="1" x14ac:dyDescent="0.25"/>
    <row r="199" s="31" customFormat="1" x14ac:dyDescent="0.25"/>
    <row r="200" s="31" customFormat="1" x14ac:dyDescent="0.25"/>
    <row r="201" s="31" customFormat="1" x14ac:dyDescent="0.25"/>
    <row r="202" s="31" customFormat="1" x14ac:dyDescent="0.25"/>
    <row r="203" s="31" customFormat="1" x14ac:dyDescent="0.25"/>
    <row r="204" s="31" customFormat="1" x14ac:dyDescent="0.25"/>
    <row r="205" s="31" customFormat="1" x14ac:dyDescent="0.25"/>
    <row r="206" s="31" customFormat="1" x14ac:dyDescent="0.25"/>
    <row r="207" s="31" customFormat="1" x14ac:dyDescent="0.25"/>
    <row r="208" s="31" customFormat="1" x14ac:dyDescent="0.25"/>
    <row r="209" s="31" customFormat="1" x14ac:dyDescent="0.25"/>
    <row r="210" s="31" customFormat="1" x14ac:dyDescent="0.25"/>
    <row r="211" s="31" customFormat="1" x14ac:dyDescent="0.25"/>
    <row r="212" s="31" customFormat="1" x14ac:dyDescent="0.25"/>
    <row r="213" s="31" customFormat="1" x14ac:dyDescent="0.25"/>
    <row r="214" s="31" customFormat="1" x14ac:dyDescent="0.25"/>
    <row r="215" s="31" customFormat="1" x14ac:dyDescent="0.25"/>
    <row r="216" s="31" customFormat="1" x14ac:dyDescent="0.25"/>
    <row r="217" s="31" customFormat="1" x14ac:dyDescent="0.25"/>
    <row r="218" s="31" customFormat="1" x14ac:dyDescent="0.25"/>
    <row r="219" s="31" customFormat="1" x14ac:dyDescent="0.25"/>
    <row r="220" s="31" customFormat="1" x14ac:dyDescent="0.25"/>
    <row r="221" s="31" customFormat="1" x14ac:dyDescent="0.25"/>
    <row r="222" s="31" customFormat="1" x14ac:dyDescent="0.25"/>
    <row r="223" s="31" customFormat="1" x14ac:dyDescent="0.25"/>
    <row r="224" s="31" customFormat="1" x14ac:dyDescent="0.25"/>
    <row r="225" s="31" customFormat="1" x14ac:dyDescent="0.25"/>
    <row r="226" s="31" customFormat="1" x14ac:dyDescent="0.25"/>
    <row r="227" s="31" customFormat="1" x14ac:dyDescent="0.25"/>
    <row r="228" s="31" customFormat="1" x14ac:dyDescent="0.25"/>
    <row r="229" s="31" customFormat="1" x14ac:dyDescent="0.25"/>
    <row r="230" s="31" customFormat="1" x14ac:dyDescent="0.25"/>
    <row r="231" s="31" customFormat="1" x14ac:dyDescent="0.25"/>
    <row r="232" s="31" customFormat="1" x14ac:dyDescent="0.25"/>
    <row r="233" s="31" customFormat="1" x14ac:dyDescent="0.25"/>
    <row r="234" s="31" customFormat="1" x14ac:dyDescent="0.25"/>
    <row r="235" s="31" customFormat="1" x14ac:dyDescent="0.25"/>
    <row r="236" s="31" customFormat="1" x14ac:dyDescent="0.25"/>
    <row r="237" s="31" customFormat="1" x14ac:dyDescent="0.25"/>
    <row r="238" s="31" customFormat="1" x14ac:dyDescent="0.25"/>
    <row r="239" s="31" customFormat="1" x14ac:dyDescent="0.25"/>
    <row r="240" s="31" customFormat="1" x14ac:dyDescent="0.25"/>
    <row r="241" s="31" customFormat="1" x14ac:dyDescent="0.25"/>
    <row r="242" s="31" customFormat="1" x14ac:dyDescent="0.25"/>
    <row r="243" s="31" customFormat="1" x14ac:dyDescent="0.25"/>
    <row r="244" s="31" customFormat="1" x14ac:dyDescent="0.25"/>
    <row r="245" s="31" customFormat="1" x14ac:dyDescent="0.25"/>
    <row r="246" s="31" customFormat="1" x14ac:dyDescent="0.25"/>
    <row r="247" s="31" customFormat="1" x14ac:dyDescent="0.25"/>
    <row r="248" s="31" customFormat="1" x14ac:dyDescent="0.25"/>
    <row r="249" s="31" customFormat="1" x14ac:dyDescent="0.25"/>
    <row r="250" s="31" customFormat="1" x14ac:dyDescent="0.25"/>
    <row r="251" s="31" customFormat="1" x14ac:dyDescent="0.25"/>
    <row r="252" s="31" customFormat="1" x14ac:dyDescent="0.25"/>
    <row r="253" s="31" customFormat="1" x14ac:dyDescent="0.25"/>
    <row r="254" s="31" customFormat="1" x14ac:dyDescent="0.25"/>
    <row r="255" s="31" customFormat="1" x14ac:dyDescent="0.25"/>
    <row r="256" s="31" customFormat="1" x14ac:dyDescent="0.25"/>
    <row r="257" s="31" customFormat="1" x14ac:dyDescent="0.25"/>
    <row r="258" s="31" customFormat="1" x14ac:dyDescent="0.25"/>
    <row r="259" s="31" customFormat="1" x14ac:dyDescent="0.25"/>
    <row r="260" s="31" customFormat="1" x14ac:dyDescent="0.25"/>
    <row r="261" s="31" customFormat="1" x14ac:dyDescent="0.25"/>
    <row r="262" s="31" customFormat="1" x14ac:dyDescent="0.25"/>
    <row r="263" s="31" customFormat="1" x14ac:dyDescent="0.25"/>
    <row r="264" s="31" customFormat="1" x14ac:dyDescent="0.25"/>
    <row r="265" s="31" customFormat="1" x14ac:dyDescent="0.25"/>
    <row r="266" s="31" customFormat="1" x14ac:dyDescent="0.25"/>
    <row r="267" s="31" customFormat="1" x14ac:dyDescent="0.25"/>
    <row r="268" s="31" customFormat="1" x14ac:dyDescent="0.25"/>
    <row r="269" s="31" customFormat="1" x14ac:dyDescent="0.25"/>
    <row r="270" s="31" customFormat="1" x14ac:dyDescent="0.25"/>
    <row r="271" s="31" customFormat="1" x14ac:dyDescent="0.25"/>
    <row r="272" s="31" customFormat="1" x14ac:dyDescent="0.25"/>
    <row r="273" s="31" customFormat="1" x14ac:dyDescent="0.25"/>
    <row r="274" s="31" customFormat="1" x14ac:dyDescent="0.25"/>
    <row r="275" s="31" customFormat="1" x14ac:dyDescent="0.25"/>
    <row r="276" s="31" customFormat="1" x14ac:dyDescent="0.25"/>
    <row r="277" s="31" customFormat="1" x14ac:dyDescent="0.25"/>
    <row r="278" s="31" customFormat="1" x14ac:dyDescent="0.25"/>
    <row r="279" s="31" customFormat="1" x14ac:dyDescent="0.25"/>
    <row r="280" s="31" customFormat="1" x14ac:dyDescent="0.25"/>
    <row r="281" s="31" customFormat="1" x14ac:dyDescent="0.25"/>
    <row r="282" s="31" customFormat="1" x14ac:dyDescent="0.25"/>
    <row r="283" s="31" customFormat="1" x14ac:dyDescent="0.25"/>
    <row r="284" s="31" customFormat="1" x14ac:dyDescent="0.25"/>
    <row r="285" s="31" customFormat="1" x14ac:dyDescent="0.25"/>
    <row r="286" s="31" customFormat="1" x14ac:dyDescent="0.25"/>
    <row r="287" s="31" customFormat="1" x14ac:dyDescent="0.25"/>
    <row r="288" s="31" customFormat="1" x14ac:dyDescent="0.25"/>
    <row r="289" s="31" customFormat="1" x14ac:dyDescent="0.25"/>
    <row r="290" s="31" customFormat="1" x14ac:dyDescent="0.25"/>
    <row r="291" s="31" customFormat="1" x14ac:dyDescent="0.25"/>
    <row r="292" s="31" customFormat="1" x14ac:dyDescent="0.25"/>
    <row r="293" s="31" customFormat="1" x14ac:dyDescent="0.25"/>
    <row r="294" s="31" customFormat="1" x14ac:dyDescent="0.25"/>
    <row r="295" s="31" customFormat="1" x14ac:dyDescent="0.25"/>
    <row r="296" s="31" customFormat="1" x14ac:dyDescent="0.25"/>
    <row r="297" s="31" customFormat="1" x14ac:dyDescent="0.25"/>
    <row r="298" s="31" customFormat="1" x14ac:dyDescent="0.25"/>
    <row r="299" s="31" customFormat="1" x14ac:dyDescent="0.25"/>
    <row r="300" s="31" customFormat="1" x14ac:dyDescent="0.25"/>
    <row r="301" s="31" customFormat="1" x14ac:dyDescent="0.25"/>
    <row r="302" s="31" customFormat="1" x14ac:dyDescent="0.25"/>
    <row r="303" s="31" customFormat="1" x14ac:dyDescent="0.25"/>
    <row r="304" s="31" customFormat="1" x14ac:dyDescent="0.25"/>
    <row r="305" s="31" customFormat="1" x14ac:dyDescent="0.25"/>
    <row r="306" s="31" customFormat="1" x14ac:dyDescent="0.25"/>
    <row r="307" s="31" customFormat="1" x14ac:dyDescent="0.25"/>
    <row r="308" s="31" customFormat="1" x14ac:dyDescent="0.25"/>
    <row r="309" s="31" customFormat="1" x14ac:dyDescent="0.25"/>
    <row r="310" s="31" customFormat="1" x14ac:dyDescent="0.25"/>
    <row r="311" s="31" customFormat="1" x14ac:dyDescent="0.25"/>
    <row r="312" s="31" customFormat="1" x14ac:dyDescent="0.25"/>
    <row r="313" s="31" customFormat="1" x14ac:dyDescent="0.25"/>
    <row r="314" s="31" customFormat="1" x14ac:dyDescent="0.25"/>
    <row r="315" s="31" customFormat="1" x14ac:dyDescent="0.25"/>
    <row r="316" s="31" customFormat="1" x14ac:dyDescent="0.25"/>
    <row r="317" s="31" customFormat="1" x14ac:dyDescent="0.25"/>
    <row r="318" s="31" customFormat="1" x14ac:dyDescent="0.25"/>
    <row r="319" s="31" customFormat="1" x14ac:dyDescent="0.25"/>
    <row r="320" s="31" customFormat="1" x14ac:dyDescent="0.25"/>
    <row r="321" s="31" customFormat="1" x14ac:dyDescent="0.25"/>
    <row r="322" s="31" customFormat="1" x14ac:dyDescent="0.25"/>
    <row r="323" s="31" customFormat="1" x14ac:dyDescent="0.25"/>
    <row r="324" s="31" customFormat="1" x14ac:dyDescent="0.25"/>
    <row r="325" s="31" customFormat="1" x14ac:dyDescent="0.25"/>
    <row r="326" s="31" customFormat="1" x14ac:dyDescent="0.25"/>
    <row r="327" s="31" customFormat="1" x14ac:dyDescent="0.25"/>
    <row r="328" s="31" customFormat="1" x14ac:dyDescent="0.25"/>
    <row r="329" s="31" customFormat="1" x14ac:dyDescent="0.25"/>
    <row r="330" s="31" customFormat="1" x14ac:dyDescent="0.25"/>
    <row r="331" s="31" customFormat="1" x14ac:dyDescent="0.25"/>
    <row r="332" s="31" customFormat="1" x14ac:dyDescent="0.25"/>
    <row r="333" s="31" customFormat="1" x14ac:dyDescent="0.25"/>
    <row r="334" s="31" customFormat="1" x14ac:dyDescent="0.25"/>
    <row r="335" s="31" customFormat="1" x14ac:dyDescent="0.25"/>
    <row r="336" s="31" customFormat="1" x14ac:dyDescent="0.25"/>
    <row r="337" s="31" customFormat="1" x14ac:dyDescent="0.25"/>
    <row r="338" s="31" customFormat="1" x14ac:dyDescent="0.25"/>
    <row r="339" s="31" customFormat="1" x14ac:dyDescent="0.25"/>
    <row r="340" s="31" customFormat="1" x14ac:dyDescent="0.25"/>
    <row r="341" s="31" customFormat="1" x14ac:dyDescent="0.25"/>
    <row r="342" s="31" customFormat="1" x14ac:dyDescent="0.25"/>
    <row r="343" s="31" customFormat="1" x14ac:dyDescent="0.25"/>
    <row r="344" s="31" customFormat="1" x14ac:dyDescent="0.25"/>
    <row r="345" s="31" customFormat="1" x14ac:dyDescent="0.25"/>
    <row r="346" s="31" customFormat="1" x14ac:dyDescent="0.25"/>
    <row r="347" s="31" customFormat="1" x14ac:dyDescent="0.25"/>
    <row r="348" s="31" customFormat="1" x14ac:dyDescent="0.25"/>
    <row r="349" s="31" customFormat="1" x14ac:dyDescent="0.25"/>
    <row r="350" s="31" customFormat="1" x14ac:dyDescent="0.25"/>
    <row r="351" s="31" customFormat="1" x14ac:dyDescent="0.25"/>
    <row r="352" s="31" customFormat="1" x14ac:dyDescent="0.25"/>
    <row r="353" s="31" customFormat="1" x14ac:dyDescent="0.25"/>
    <row r="354" s="31" customFormat="1" x14ac:dyDescent="0.25"/>
    <row r="355" s="31" customFormat="1" x14ac:dyDescent="0.25"/>
    <row r="356" s="31" customFormat="1" x14ac:dyDescent="0.25"/>
    <row r="357" s="31" customFormat="1" x14ac:dyDescent="0.25"/>
    <row r="358" s="31" customFormat="1" x14ac:dyDescent="0.25"/>
    <row r="359" s="31" customFormat="1" x14ac:dyDescent="0.25"/>
    <row r="360" s="31" customFormat="1" x14ac:dyDescent="0.25"/>
    <row r="361" s="31" customFormat="1" x14ac:dyDescent="0.25"/>
    <row r="362" s="31" customFormat="1" x14ac:dyDescent="0.25"/>
    <row r="363" s="31" customFormat="1" x14ac:dyDescent="0.25"/>
    <row r="364" s="31" customFormat="1" x14ac:dyDescent="0.25"/>
    <row r="365" s="31" customFormat="1" x14ac:dyDescent="0.25"/>
    <row r="366" s="31" customFormat="1" x14ac:dyDescent="0.25"/>
    <row r="367" s="31" customFormat="1" x14ac:dyDescent="0.25"/>
    <row r="368" s="31" customFormat="1" x14ac:dyDescent="0.25"/>
    <row r="369" s="31" customFormat="1" x14ac:dyDescent="0.25"/>
    <row r="370" s="31" customFormat="1" x14ac:dyDescent="0.25"/>
    <row r="371" s="31" customFormat="1" x14ac:dyDescent="0.25"/>
    <row r="372" s="31" customFormat="1" x14ac:dyDescent="0.25"/>
    <row r="373" s="31" customFormat="1" x14ac:dyDescent="0.25"/>
    <row r="374" s="31" customFormat="1" x14ac:dyDescent="0.25"/>
    <row r="375" s="31" customFormat="1" x14ac:dyDescent="0.25"/>
    <row r="376" s="31" customFormat="1" x14ac:dyDescent="0.25"/>
    <row r="377" s="31" customFormat="1" x14ac:dyDescent="0.25"/>
    <row r="378" s="31" customFormat="1" x14ac:dyDescent="0.25"/>
    <row r="379" s="31" customFormat="1" x14ac:dyDescent="0.25"/>
    <row r="380" s="31" customFormat="1" x14ac:dyDescent="0.25"/>
    <row r="381" s="31" customFormat="1" x14ac:dyDescent="0.25"/>
    <row r="382" s="31" customFormat="1" x14ac:dyDescent="0.25"/>
    <row r="383" s="31" customFormat="1" x14ac:dyDescent="0.25"/>
    <row r="384" s="31" customFormat="1" x14ac:dyDescent="0.25"/>
    <row r="385" s="31" customFormat="1" x14ac:dyDescent="0.25"/>
    <row r="386" s="31" customFormat="1" x14ac:dyDescent="0.25"/>
    <row r="387" s="31" customFormat="1" x14ac:dyDescent="0.25"/>
    <row r="388" s="31" customFormat="1" x14ac:dyDescent="0.25"/>
    <row r="389" s="31" customFormat="1" x14ac:dyDescent="0.25"/>
    <row r="390" s="31" customFormat="1" x14ac:dyDescent="0.25"/>
    <row r="391" s="31" customFormat="1" x14ac:dyDescent="0.25"/>
    <row r="392" s="31" customFormat="1" x14ac:dyDescent="0.25"/>
    <row r="393" s="31" customFormat="1" x14ac:dyDescent="0.25"/>
    <row r="394" s="31" customFormat="1" x14ac:dyDescent="0.25"/>
    <row r="395" s="31" customFormat="1" x14ac:dyDescent="0.25"/>
    <row r="396" s="31" customFormat="1" x14ac:dyDescent="0.25"/>
    <row r="397" s="31" customFormat="1" x14ac:dyDescent="0.25"/>
    <row r="398" s="31" customFormat="1" x14ac:dyDescent="0.25"/>
    <row r="399" s="31" customFormat="1" x14ac:dyDescent="0.25"/>
    <row r="400" s="31" customFormat="1" x14ac:dyDescent="0.25"/>
    <row r="401" s="31" customFormat="1" x14ac:dyDescent="0.25"/>
    <row r="402" s="31" customFormat="1" x14ac:dyDescent="0.25"/>
    <row r="403" s="31" customFormat="1" x14ac:dyDescent="0.25"/>
    <row r="404" s="31" customFormat="1" x14ac:dyDescent="0.25"/>
    <row r="405" s="31" customFormat="1" x14ac:dyDescent="0.25"/>
    <row r="406" s="31" customFormat="1" x14ac:dyDescent="0.25"/>
    <row r="407" s="31" customFormat="1" x14ac:dyDescent="0.25"/>
    <row r="408" s="31" customFormat="1" x14ac:dyDescent="0.25"/>
    <row r="409" s="31" customFormat="1" x14ac:dyDescent="0.25"/>
    <row r="410" s="31" customFormat="1" x14ac:dyDescent="0.25"/>
    <row r="411" s="31" customFormat="1" x14ac:dyDescent="0.25"/>
    <row r="412" s="31" customFormat="1" x14ac:dyDescent="0.25"/>
    <row r="413" s="31" customFormat="1" x14ac:dyDescent="0.25"/>
    <row r="414" s="31" customFormat="1" x14ac:dyDescent="0.25"/>
    <row r="415" s="31" customFormat="1" x14ac:dyDescent="0.25"/>
    <row r="416" s="31" customFormat="1" x14ac:dyDescent="0.25"/>
    <row r="417" s="31" customFormat="1" x14ac:dyDescent="0.25"/>
    <row r="418" s="31" customFormat="1" x14ac:dyDescent="0.25"/>
    <row r="419" s="31" customFormat="1" x14ac:dyDescent="0.25"/>
    <row r="420" s="31" customFormat="1" x14ac:dyDescent="0.25"/>
    <row r="421" s="31" customFormat="1" x14ac:dyDescent="0.25"/>
    <row r="422" s="31" customFormat="1" x14ac:dyDescent="0.25"/>
    <row r="423" s="31" customFormat="1" x14ac:dyDescent="0.25"/>
    <row r="424" s="31" customFormat="1" x14ac:dyDescent="0.25"/>
    <row r="425" s="31" customFormat="1" x14ac:dyDescent="0.25"/>
    <row r="426" s="31" customFormat="1" x14ac:dyDescent="0.25"/>
    <row r="427" s="31" customFormat="1" x14ac:dyDescent="0.25"/>
    <row r="428" s="31" customFormat="1" x14ac:dyDescent="0.25"/>
    <row r="429" s="31" customFormat="1" x14ac:dyDescent="0.25"/>
    <row r="430" s="31" customFormat="1" x14ac:dyDescent="0.25"/>
    <row r="431" s="31" customFormat="1" x14ac:dyDescent="0.25"/>
    <row r="432" s="31" customFormat="1" x14ac:dyDescent="0.25"/>
    <row r="433" s="31" customFormat="1" x14ac:dyDescent="0.25"/>
    <row r="434" s="31" customFormat="1" x14ac:dyDescent="0.25"/>
    <row r="435" s="31" customFormat="1" x14ac:dyDescent="0.25"/>
    <row r="436" s="31" customFormat="1" x14ac:dyDescent="0.25"/>
    <row r="437" s="31" customFormat="1" x14ac:dyDescent="0.25"/>
    <row r="438" s="31" customFormat="1" x14ac:dyDescent="0.25"/>
    <row r="439" s="31" customFormat="1" x14ac:dyDescent="0.25"/>
    <row r="440" s="31" customFormat="1" x14ac:dyDescent="0.25"/>
    <row r="441" s="31" customFormat="1" x14ac:dyDescent="0.25"/>
    <row r="442" s="31" customFormat="1" x14ac:dyDescent="0.25"/>
    <row r="443" s="31" customFormat="1" x14ac:dyDescent="0.25"/>
    <row r="444" s="31" customFormat="1" x14ac:dyDescent="0.25"/>
    <row r="445" s="31" customFormat="1" x14ac:dyDescent="0.25"/>
    <row r="446" s="31" customFormat="1" x14ac:dyDescent="0.25"/>
    <row r="447" s="31" customFormat="1" x14ac:dyDescent="0.25"/>
    <row r="448" s="31" customFormat="1" x14ac:dyDescent="0.25"/>
    <row r="449" s="31" customFormat="1" x14ac:dyDescent="0.25"/>
    <row r="450" s="31" customFormat="1" x14ac:dyDescent="0.25"/>
    <row r="451" s="31" customFormat="1" x14ac:dyDescent="0.25"/>
    <row r="452" s="31" customFormat="1" x14ac:dyDescent="0.25"/>
    <row r="453" s="31" customFormat="1" x14ac:dyDescent="0.25"/>
    <row r="454" s="31" customFormat="1" x14ac:dyDescent="0.25"/>
    <row r="455" s="31" customFormat="1" x14ac:dyDescent="0.25"/>
    <row r="456" s="31" customFormat="1" x14ac:dyDescent="0.25"/>
    <row r="457" s="31" customFormat="1" x14ac:dyDescent="0.25"/>
    <row r="458" s="31" customFormat="1" x14ac:dyDescent="0.25"/>
    <row r="459" s="31" customFormat="1" x14ac:dyDescent="0.25"/>
    <row r="460" s="31" customFormat="1" x14ac:dyDescent="0.25"/>
    <row r="461" s="31" customFormat="1" x14ac:dyDescent="0.25"/>
    <row r="462" s="31" customFormat="1" x14ac:dyDescent="0.25"/>
    <row r="463" s="31" customFormat="1" x14ac:dyDescent="0.25"/>
    <row r="464" s="31" customFormat="1" x14ac:dyDescent="0.25"/>
    <row r="465" s="31" customFormat="1" x14ac:dyDescent="0.25"/>
    <row r="466" s="31" customFormat="1" x14ac:dyDescent="0.25"/>
    <row r="467" s="31" customFormat="1" x14ac:dyDescent="0.25"/>
    <row r="468" s="31" customFormat="1" x14ac:dyDescent="0.25"/>
    <row r="469" s="31" customFormat="1" x14ac:dyDescent="0.25"/>
    <row r="470" s="31" customFormat="1" x14ac:dyDescent="0.25"/>
    <row r="471" s="31" customFormat="1" x14ac:dyDescent="0.25"/>
    <row r="472" s="31" customFormat="1" x14ac:dyDescent="0.25"/>
    <row r="473" s="31" customFormat="1" x14ac:dyDescent="0.25"/>
    <row r="474" s="31" customFormat="1" x14ac:dyDescent="0.25"/>
    <row r="475" s="31" customFormat="1" x14ac:dyDescent="0.25"/>
    <row r="476" s="31" customFormat="1" x14ac:dyDescent="0.25"/>
    <row r="477" s="31" customFormat="1" x14ac:dyDescent="0.25"/>
    <row r="478" s="31" customFormat="1" x14ac:dyDescent="0.25"/>
    <row r="479" s="31" customFormat="1" x14ac:dyDescent="0.25"/>
    <row r="480" s="31" customFormat="1" x14ac:dyDescent="0.25"/>
    <row r="481" s="31" customFormat="1" x14ac:dyDescent="0.25"/>
    <row r="482" s="31" customFormat="1" x14ac:dyDescent="0.25"/>
    <row r="483" s="31" customFormat="1" x14ac:dyDescent="0.25"/>
    <row r="484" s="31" customFormat="1" x14ac:dyDescent="0.25"/>
    <row r="485" s="31" customFormat="1" x14ac:dyDescent="0.25"/>
    <row r="486" s="31" customFormat="1" x14ac:dyDescent="0.25"/>
    <row r="487" s="31" customFormat="1" x14ac:dyDescent="0.25"/>
    <row r="488" s="31" customFormat="1" x14ac:dyDescent="0.25"/>
    <row r="489" s="31" customFormat="1" x14ac:dyDescent="0.25"/>
    <row r="490" s="31" customFormat="1" x14ac:dyDescent="0.25"/>
    <row r="491" s="31" customFormat="1" x14ac:dyDescent="0.25"/>
    <row r="492" s="31" customFormat="1" x14ac:dyDescent="0.25"/>
    <row r="493" s="31" customFormat="1" x14ac:dyDescent="0.25"/>
    <row r="494" s="31" customFormat="1" x14ac:dyDescent="0.25"/>
    <row r="495" s="31" customFormat="1" x14ac:dyDescent="0.25"/>
    <row r="496" s="31" customFormat="1" x14ac:dyDescent="0.25"/>
    <row r="497" s="31" customFormat="1" x14ac:dyDescent="0.25"/>
    <row r="498" s="31" customFormat="1" x14ac:dyDescent="0.25"/>
    <row r="499" s="31" customFormat="1" x14ac:dyDescent="0.25"/>
    <row r="500" s="31" customFormat="1" x14ac:dyDescent="0.25"/>
    <row r="501" s="31" customFormat="1" x14ac:dyDescent="0.25"/>
    <row r="502" s="31" customFormat="1" x14ac:dyDescent="0.25"/>
    <row r="503" s="31" customFormat="1" x14ac:dyDescent="0.25"/>
    <row r="504" s="31" customFormat="1" x14ac:dyDescent="0.25"/>
    <row r="505" s="31" customFormat="1" x14ac:dyDescent="0.25"/>
    <row r="506" s="31" customFormat="1" x14ac:dyDescent="0.25"/>
    <row r="507" s="31" customFormat="1" x14ac:dyDescent="0.25"/>
    <row r="508" s="31" customFormat="1" x14ac:dyDescent="0.25"/>
    <row r="509" s="31" customFormat="1" x14ac:dyDescent="0.25"/>
    <row r="510" s="31" customFormat="1" x14ac:dyDescent="0.25"/>
    <row r="511" s="31" customFormat="1" x14ac:dyDescent="0.25"/>
    <row r="512" s="31" customFormat="1" x14ac:dyDescent="0.25"/>
    <row r="513" s="31" customFormat="1" x14ac:dyDescent="0.25"/>
    <row r="514" s="31" customFormat="1" x14ac:dyDescent="0.25"/>
    <row r="515" s="31" customFormat="1" x14ac:dyDescent="0.25"/>
    <row r="516" s="31" customFormat="1" x14ac:dyDescent="0.25"/>
    <row r="517" s="31" customFormat="1" x14ac:dyDescent="0.25"/>
    <row r="518" s="31" customFormat="1" x14ac:dyDescent="0.25"/>
    <row r="519" s="31" customFormat="1" x14ac:dyDescent="0.25"/>
    <row r="520" s="31" customFormat="1" x14ac:dyDescent="0.25"/>
    <row r="521" s="31" customFormat="1" x14ac:dyDescent="0.25"/>
    <row r="522" s="31" customFormat="1" x14ac:dyDescent="0.25"/>
    <row r="523" s="31" customFormat="1" x14ac:dyDescent="0.25"/>
    <row r="524" s="31" customFormat="1" x14ac:dyDescent="0.25"/>
    <row r="525" s="31" customFormat="1" x14ac:dyDescent="0.25"/>
    <row r="526" s="31" customFormat="1" x14ac:dyDescent="0.25"/>
    <row r="527" s="31" customFormat="1" x14ac:dyDescent="0.25"/>
    <row r="528" s="31" customFormat="1" x14ac:dyDescent="0.25"/>
    <row r="529" s="31" customFormat="1" x14ac:dyDescent="0.25"/>
    <row r="530" s="31" customFormat="1" x14ac:dyDescent="0.25"/>
    <row r="531" s="31" customFormat="1" x14ac:dyDescent="0.25"/>
    <row r="532" s="31" customFormat="1" x14ac:dyDescent="0.25"/>
    <row r="533" s="31" customFormat="1" x14ac:dyDescent="0.25"/>
    <row r="534" s="31" customFormat="1" x14ac:dyDescent="0.25"/>
    <row r="535" s="31" customFormat="1" x14ac:dyDescent="0.25"/>
    <row r="536" s="31" customFormat="1" x14ac:dyDescent="0.25"/>
    <row r="537" s="31" customFormat="1" x14ac:dyDescent="0.25"/>
    <row r="538" s="31" customFormat="1" x14ac:dyDescent="0.25"/>
    <row r="539" s="31" customFormat="1" x14ac:dyDescent="0.25"/>
    <row r="540" s="31" customFormat="1" x14ac:dyDescent="0.25"/>
    <row r="541" s="31" customFormat="1" x14ac:dyDescent="0.25"/>
    <row r="542" s="31" customFormat="1" x14ac:dyDescent="0.25"/>
    <row r="543" s="31" customFormat="1" x14ac:dyDescent="0.25"/>
    <row r="544" s="31" customFormat="1" x14ac:dyDescent="0.25"/>
    <row r="545" s="31" customFormat="1" x14ac:dyDescent="0.25"/>
    <row r="546" s="31" customFormat="1" x14ac:dyDescent="0.25"/>
    <row r="547" s="31" customFormat="1" x14ac:dyDescent="0.25"/>
    <row r="548" s="31" customFormat="1" x14ac:dyDescent="0.25"/>
    <row r="549" s="31" customFormat="1" x14ac:dyDescent="0.25"/>
    <row r="550" s="31" customFormat="1" x14ac:dyDescent="0.25"/>
    <row r="551" s="31" customFormat="1" x14ac:dyDescent="0.25"/>
    <row r="552" s="31" customFormat="1" x14ac:dyDescent="0.25"/>
    <row r="553" s="31" customFormat="1" x14ac:dyDescent="0.25"/>
    <row r="554" s="31" customFormat="1" x14ac:dyDescent="0.25"/>
    <row r="555" s="31" customFormat="1" x14ac:dyDescent="0.25"/>
    <row r="556" s="31" customFormat="1" x14ac:dyDescent="0.25"/>
    <row r="557" s="31" customFormat="1" x14ac:dyDescent="0.25"/>
    <row r="558" s="31" customFormat="1" x14ac:dyDescent="0.25"/>
    <row r="559" s="31" customFormat="1" x14ac:dyDescent="0.25"/>
    <row r="560" s="31" customFormat="1" x14ac:dyDescent="0.25"/>
    <row r="561" s="31" customFormat="1" x14ac:dyDescent="0.25"/>
    <row r="562" s="31" customFormat="1" x14ac:dyDescent="0.25"/>
    <row r="563" s="31" customFormat="1" x14ac:dyDescent="0.25"/>
    <row r="564" s="31" customFormat="1" x14ac:dyDescent="0.25"/>
    <row r="565" s="31" customFormat="1" x14ac:dyDescent="0.25"/>
    <row r="566" s="31" customFormat="1" x14ac:dyDescent="0.25"/>
    <row r="567" s="31" customFormat="1" x14ac:dyDescent="0.25"/>
    <row r="568" s="31" customFormat="1" x14ac:dyDescent="0.25"/>
    <row r="569" s="31" customFormat="1" x14ac:dyDescent="0.25"/>
    <row r="570" s="31" customFormat="1" x14ac:dyDescent="0.25"/>
    <row r="571" s="31" customFormat="1" x14ac:dyDescent="0.25"/>
    <row r="572" s="31" customFormat="1" x14ac:dyDescent="0.25"/>
    <row r="573" s="31" customFormat="1" x14ac:dyDescent="0.25"/>
    <row r="574" s="31" customFormat="1" x14ac:dyDescent="0.25"/>
    <row r="575" s="31" customFormat="1" x14ac:dyDescent="0.25"/>
    <row r="576" s="31" customFormat="1" x14ac:dyDescent="0.25"/>
    <row r="577" s="31" customFormat="1" x14ac:dyDescent="0.25"/>
    <row r="578" s="31" customFormat="1" x14ac:dyDescent="0.25"/>
    <row r="579" s="31" customFormat="1" x14ac:dyDescent="0.25"/>
    <row r="580" s="31" customFormat="1" x14ac:dyDescent="0.25"/>
    <row r="581" s="31" customFormat="1" x14ac:dyDescent="0.25"/>
    <row r="582" s="31" customFormat="1" x14ac:dyDescent="0.25"/>
    <row r="583" s="31" customFormat="1" x14ac:dyDescent="0.25"/>
    <row r="584" s="31" customFormat="1" x14ac:dyDescent="0.25"/>
    <row r="585" s="31" customFormat="1" x14ac:dyDescent="0.25"/>
    <row r="586" s="31" customFormat="1" x14ac:dyDescent="0.25"/>
    <row r="587" s="31" customFormat="1" x14ac:dyDescent="0.25"/>
    <row r="588" s="31" customFormat="1" x14ac:dyDescent="0.25"/>
    <row r="589" s="31" customFormat="1" x14ac:dyDescent="0.25"/>
    <row r="590" s="31" customFormat="1" x14ac:dyDescent="0.25"/>
    <row r="591" s="31" customFormat="1" x14ac:dyDescent="0.25"/>
    <row r="592" s="31" customFormat="1" x14ac:dyDescent="0.25"/>
    <row r="593" s="31" customFormat="1" x14ac:dyDescent="0.25"/>
    <row r="594" s="31" customFormat="1" x14ac:dyDescent="0.25"/>
    <row r="595" s="31" customFormat="1" x14ac:dyDescent="0.25"/>
    <row r="596" s="31" customFormat="1" x14ac:dyDescent="0.25"/>
    <row r="597" s="31" customFormat="1" x14ac:dyDescent="0.25"/>
    <row r="598" s="31" customFormat="1" x14ac:dyDescent="0.25"/>
    <row r="599" s="31" customFormat="1" x14ac:dyDescent="0.25"/>
    <row r="600" s="31" customFormat="1" x14ac:dyDescent="0.25"/>
    <row r="601" s="31" customFormat="1" x14ac:dyDescent="0.25"/>
    <row r="602" s="31" customFormat="1" x14ac:dyDescent="0.25"/>
    <row r="603" s="31" customFormat="1" x14ac:dyDescent="0.25"/>
    <row r="604" s="31" customFormat="1" x14ac:dyDescent="0.25"/>
    <row r="605" s="31" customFormat="1" x14ac:dyDescent="0.25"/>
    <row r="606" s="31" customFormat="1" x14ac:dyDescent="0.25"/>
    <row r="607" s="31" customFormat="1" x14ac:dyDescent="0.25"/>
    <row r="608" s="31" customFormat="1" x14ac:dyDescent="0.25"/>
    <row r="609" s="31" customFormat="1" x14ac:dyDescent="0.25"/>
    <row r="610" s="31" customFormat="1" x14ac:dyDescent="0.25"/>
    <row r="611" s="31" customFormat="1" x14ac:dyDescent="0.25"/>
    <row r="612" s="31" customFormat="1" x14ac:dyDescent="0.25"/>
    <row r="613" s="31" customFormat="1" x14ac:dyDescent="0.25"/>
    <row r="614" s="31" customFormat="1" x14ac:dyDescent="0.25"/>
    <row r="615" s="31" customFormat="1" x14ac:dyDescent="0.25"/>
    <row r="616" s="31" customFormat="1" x14ac:dyDescent="0.25"/>
    <row r="617" s="31" customFormat="1" x14ac:dyDescent="0.25"/>
    <row r="618" s="31" customFormat="1" x14ac:dyDescent="0.25"/>
    <row r="619" s="31" customFormat="1" x14ac:dyDescent="0.25"/>
    <row r="620" s="31" customFormat="1" x14ac:dyDescent="0.25"/>
    <row r="621" s="31" customFormat="1" x14ac:dyDescent="0.25"/>
    <row r="622" s="31" customFormat="1" x14ac:dyDescent="0.25"/>
    <row r="623" s="31" customFormat="1" x14ac:dyDescent="0.25"/>
    <row r="624" s="31" customFormat="1" x14ac:dyDescent="0.25"/>
    <row r="625" s="31" customFormat="1" x14ac:dyDescent="0.25"/>
    <row r="626" s="31" customFormat="1" x14ac:dyDescent="0.25"/>
    <row r="627" s="31" customFormat="1" x14ac:dyDescent="0.25"/>
    <row r="628" s="31" customFormat="1" x14ac:dyDescent="0.25"/>
    <row r="629" s="31" customFormat="1" x14ac:dyDescent="0.25"/>
    <row r="630" s="31" customFormat="1" x14ac:dyDescent="0.25"/>
    <row r="631" s="31" customFormat="1" x14ac:dyDescent="0.25"/>
    <row r="632" s="31" customFormat="1" x14ac:dyDescent="0.25"/>
    <row r="633" s="31" customFormat="1" x14ac:dyDescent="0.25"/>
    <row r="634" s="31" customFormat="1" x14ac:dyDescent="0.25"/>
    <row r="635" s="31" customFormat="1" x14ac:dyDescent="0.25"/>
    <row r="636" s="31" customFormat="1" x14ac:dyDescent="0.25"/>
    <row r="637" s="31" customFormat="1" x14ac:dyDescent="0.25"/>
    <row r="638" s="31" customFormat="1" x14ac:dyDescent="0.25"/>
    <row r="639" s="31" customFormat="1" x14ac:dyDescent="0.25"/>
    <row r="640" s="31" customFormat="1" x14ac:dyDescent="0.25"/>
    <row r="641" s="31" customFormat="1" x14ac:dyDescent="0.25"/>
    <row r="642" s="31" customFormat="1" x14ac:dyDescent="0.25"/>
    <row r="643" s="31" customFormat="1" x14ac:dyDescent="0.25"/>
    <row r="644" s="31" customFormat="1" x14ac:dyDescent="0.25"/>
    <row r="645" s="31" customFormat="1" x14ac:dyDescent="0.25"/>
    <row r="646" s="31" customFormat="1" x14ac:dyDescent="0.25"/>
    <row r="647" s="31" customFormat="1" x14ac:dyDescent="0.25"/>
    <row r="648" s="31" customFormat="1" x14ac:dyDescent="0.25"/>
    <row r="649" s="31" customFormat="1" x14ac:dyDescent="0.25"/>
    <row r="650" s="31" customFormat="1" x14ac:dyDescent="0.25"/>
    <row r="651" s="31" customFormat="1" x14ac:dyDescent="0.25"/>
    <row r="652" s="31" customFormat="1" x14ac:dyDescent="0.25"/>
    <row r="653" s="31" customFormat="1" x14ac:dyDescent="0.25"/>
    <row r="654" s="31" customFormat="1" x14ac:dyDescent="0.25"/>
    <row r="655" s="31" customFormat="1" x14ac:dyDescent="0.25"/>
    <row r="656" s="31" customFormat="1" x14ac:dyDescent="0.25"/>
    <row r="657" s="31" customFormat="1" x14ac:dyDescent="0.25"/>
    <row r="658" s="31" customFormat="1" x14ac:dyDescent="0.25"/>
    <row r="659" s="31" customFormat="1" x14ac:dyDescent="0.25"/>
    <row r="660" s="31" customFormat="1" x14ac:dyDescent="0.25"/>
    <row r="661" s="31" customFormat="1" x14ac:dyDescent="0.25"/>
    <row r="662" s="31" customFormat="1" x14ac:dyDescent="0.25"/>
    <row r="663" s="31" customFormat="1" x14ac:dyDescent="0.25"/>
    <row r="664" s="31" customFormat="1" x14ac:dyDescent="0.25"/>
    <row r="665" s="31" customFormat="1" x14ac:dyDescent="0.25"/>
    <row r="666" s="31" customFormat="1" x14ac:dyDescent="0.25"/>
    <row r="667" s="31" customFormat="1" x14ac:dyDescent="0.25"/>
    <row r="668" s="31" customFormat="1" x14ac:dyDescent="0.25"/>
    <row r="669" s="31" customFormat="1" x14ac:dyDescent="0.25"/>
    <row r="670" s="31" customFormat="1" x14ac:dyDescent="0.25"/>
    <row r="671" s="31" customFormat="1" x14ac:dyDescent="0.25"/>
    <row r="672" s="31" customFormat="1" x14ac:dyDescent="0.25"/>
    <row r="673" s="31" customFormat="1" x14ac:dyDescent="0.25"/>
    <row r="674" s="31" customFormat="1" x14ac:dyDescent="0.25"/>
    <row r="675" s="31" customFormat="1" x14ac:dyDescent="0.25"/>
    <row r="676" s="31" customFormat="1" x14ac:dyDescent="0.25"/>
    <row r="677" s="31" customFormat="1" x14ac:dyDescent="0.25"/>
    <row r="678" s="31" customFormat="1" x14ac:dyDescent="0.25"/>
    <row r="679" s="31" customFormat="1" x14ac:dyDescent="0.25"/>
    <row r="680" s="31" customFormat="1" x14ac:dyDescent="0.25"/>
    <row r="681" s="31" customFormat="1" x14ac:dyDescent="0.25"/>
    <row r="682" s="31" customFormat="1" x14ac:dyDescent="0.25"/>
    <row r="683" s="31" customFormat="1" x14ac:dyDescent="0.25"/>
    <row r="684" s="31" customFormat="1" x14ac:dyDescent="0.25"/>
    <row r="685" s="31" customFormat="1" x14ac:dyDescent="0.25"/>
    <row r="686" s="31" customFormat="1" x14ac:dyDescent="0.25"/>
    <row r="687" s="31" customFormat="1" x14ac:dyDescent="0.25"/>
    <row r="688" s="31" customFormat="1" x14ac:dyDescent="0.25"/>
    <row r="689" s="31" customFormat="1" x14ac:dyDescent="0.25"/>
    <row r="690" s="31" customFormat="1" x14ac:dyDescent="0.25"/>
    <row r="691" s="31" customFormat="1" x14ac:dyDescent="0.25"/>
    <row r="692" s="31" customFormat="1" x14ac:dyDescent="0.25"/>
    <row r="693" s="31" customFormat="1" x14ac:dyDescent="0.25"/>
    <row r="694" s="31" customFormat="1" x14ac:dyDescent="0.25"/>
    <row r="695" s="31" customFormat="1" x14ac:dyDescent="0.25"/>
    <row r="696" s="31" customFormat="1" x14ac:dyDescent="0.25"/>
    <row r="697" s="31" customFormat="1" x14ac:dyDescent="0.25"/>
    <row r="698" s="31" customFormat="1" x14ac:dyDescent="0.25"/>
    <row r="699" s="31" customFormat="1" x14ac:dyDescent="0.25"/>
    <row r="700" s="31" customFormat="1" x14ac:dyDescent="0.25"/>
    <row r="701" s="31" customFormat="1" x14ac:dyDescent="0.25"/>
    <row r="702" s="31" customFormat="1" x14ac:dyDescent="0.25"/>
    <row r="703" s="31" customFormat="1" x14ac:dyDescent="0.25"/>
    <row r="704" s="31" customFormat="1" x14ac:dyDescent="0.25"/>
    <row r="705" s="31" customFormat="1" x14ac:dyDescent="0.25"/>
    <row r="706" s="31" customFormat="1" x14ac:dyDescent="0.25"/>
    <row r="707" s="31" customFormat="1" x14ac:dyDescent="0.25"/>
    <row r="708" s="31" customFormat="1" x14ac:dyDescent="0.25"/>
    <row r="709" s="31" customFormat="1" x14ac:dyDescent="0.25"/>
    <row r="710" s="31" customFormat="1" x14ac:dyDescent="0.25"/>
    <row r="711" s="31" customFormat="1" x14ac:dyDescent="0.25"/>
    <row r="712" s="31" customFormat="1" x14ac:dyDescent="0.25"/>
    <row r="713" s="31" customFormat="1" x14ac:dyDescent="0.25"/>
    <row r="714" s="31" customFormat="1" x14ac:dyDescent="0.25"/>
    <row r="715" s="31" customFormat="1" x14ac:dyDescent="0.25"/>
    <row r="716" s="31" customFormat="1" x14ac:dyDescent="0.25"/>
    <row r="717" s="31" customFormat="1" x14ac:dyDescent="0.25"/>
    <row r="718" s="31" customFormat="1" x14ac:dyDescent="0.25"/>
    <row r="719" s="31" customFormat="1" x14ac:dyDescent="0.25"/>
    <row r="720" s="31" customFormat="1" x14ac:dyDescent="0.25"/>
    <row r="721" s="31" customFormat="1" x14ac:dyDescent="0.25"/>
    <row r="722" s="31" customFormat="1" x14ac:dyDescent="0.25"/>
    <row r="723" s="31" customFormat="1" x14ac:dyDescent="0.25"/>
    <row r="724" s="31" customFormat="1" x14ac:dyDescent="0.25"/>
    <row r="725" s="31" customFormat="1" x14ac:dyDescent="0.25"/>
    <row r="726" s="31" customFormat="1" x14ac:dyDescent="0.25"/>
    <row r="727" s="31" customFormat="1" x14ac:dyDescent="0.25"/>
    <row r="728" s="31" customFormat="1" x14ac:dyDescent="0.25"/>
    <row r="729" s="31" customFormat="1" x14ac:dyDescent="0.25"/>
    <row r="730" s="31" customFormat="1" x14ac:dyDescent="0.25"/>
    <row r="731" s="31" customFormat="1" x14ac:dyDescent="0.25"/>
    <row r="732" s="31" customFormat="1" x14ac:dyDescent="0.25"/>
    <row r="733" s="31" customFormat="1" x14ac:dyDescent="0.25"/>
    <row r="734" s="31" customFormat="1" x14ac:dyDescent="0.25"/>
    <row r="735" s="31" customFormat="1" x14ac:dyDescent="0.25"/>
    <row r="736" s="31" customFormat="1" x14ac:dyDescent="0.25"/>
    <row r="737" s="31" customFormat="1" x14ac:dyDescent="0.25"/>
    <row r="738" s="31" customFormat="1" x14ac:dyDescent="0.25"/>
    <row r="739" s="31" customFormat="1" x14ac:dyDescent="0.25"/>
    <row r="740" s="31" customFormat="1" x14ac:dyDescent="0.25"/>
    <row r="741" s="31" customFormat="1" x14ac:dyDescent="0.25"/>
    <row r="742" s="31" customFormat="1" x14ac:dyDescent="0.25"/>
    <row r="743" s="31" customFormat="1" x14ac:dyDescent="0.25"/>
    <row r="744" s="31" customFormat="1" x14ac:dyDescent="0.25"/>
    <row r="745" s="31" customFormat="1" x14ac:dyDescent="0.25"/>
    <row r="746" s="31" customFormat="1" x14ac:dyDescent="0.25"/>
    <row r="747" s="31" customFormat="1" x14ac:dyDescent="0.25"/>
    <row r="748" s="31" customFormat="1" x14ac:dyDescent="0.25"/>
    <row r="749" s="31" customFormat="1" x14ac:dyDescent="0.25"/>
    <row r="750" s="31" customFormat="1" x14ac:dyDescent="0.25"/>
    <row r="751" s="31" customFormat="1" x14ac:dyDescent="0.25"/>
    <row r="752" s="31" customFormat="1" x14ac:dyDescent="0.25"/>
    <row r="753" s="31" customFormat="1" x14ac:dyDescent="0.25"/>
    <row r="754" s="31" customFormat="1" x14ac:dyDescent="0.25"/>
    <row r="755" s="31" customFormat="1" x14ac:dyDescent="0.25"/>
    <row r="756" s="31" customFormat="1" x14ac:dyDescent="0.25"/>
    <row r="757" s="31" customFormat="1" x14ac:dyDescent="0.25"/>
    <row r="758" s="31" customFormat="1" x14ac:dyDescent="0.25"/>
    <row r="759" s="31" customFormat="1" x14ac:dyDescent="0.25"/>
    <row r="760" s="31" customFormat="1" x14ac:dyDescent="0.25"/>
    <row r="761" s="31" customFormat="1" x14ac:dyDescent="0.25"/>
    <row r="762" s="31" customFormat="1" x14ac:dyDescent="0.25"/>
    <row r="763" s="31" customFormat="1" x14ac:dyDescent="0.25"/>
    <row r="764" s="31" customFormat="1" x14ac:dyDescent="0.25"/>
    <row r="765" s="31" customFormat="1" x14ac:dyDescent="0.25"/>
    <row r="766" s="31" customFormat="1" x14ac:dyDescent="0.25"/>
    <row r="767" s="31" customFormat="1" x14ac:dyDescent="0.25"/>
    <row r="768" s="31" customFormat="1" x14ac:dyDescent="0.25"/>
    <row r="769" s="31" customFormat="1" x14ac:dyDescent="0.25"/>
    <row r="770" s="31" customFormat="1" x14ac:dyDescent="0.25"/>
    <row r="771" s="31" customFormat="1" x14ac:dyDescent="0.25"/>
    <row r="772" s="31" customFormat="1" x14ac:dyDescent="0.25"/>
    <row r="773" s="31" customFormat="1" x14ac:dyDescent="0.25"/>
    <row r="774" s="31" customFormat="1" x14ac:dyDescent="0.25"/>
    <row r="775" s="31" customFormat="1" x14ac:dyDescent="0.25"/>
    <row r="776" s="31" customFormat="1" x14ac:dyDescent="0.25"/>
    <row r="777" s="31" customFormat="1" x14ac:dyDescent="0.25"/>
    <row r="778" s="31" customFormat="1" x14ac:dyDescent="0.25"/>
    <row r="779" s="31" customFormat="1" x14ac:dyDescent="0.25"/>
    <row r="780" s="31" customFormat="1" x14ac:dyDescent="0.25"/>
    <row r="781" s="31" customFormat="1" x14ac:dyDescent="0.25"/>
    <row r="782" s="31" customFormat="1" x14ac:dyDescent="0.25"/>
    <row r="783" s="31" customFormat="1" x14ac:dyDescent="0.25"/>
    <row r="784" s="31" customFormat="1" x14ac:dyDescent="0.25"/>
    <row r="785" s="31" customFormat="1" x14ac:dyDescent="0.25"/>
    <row r="786" s="31" customFormat="1" x14ac:dyDescent="0.25"/>
    <row r="787" s="31" customFormat="1" x14ac:dyDescent="0.25"/>
    <row r="788" s="31" customFormat="1" x14ac:dyDescent="0.25"/>
    <row r="789" s="31" customFormat="1" x14ac:dyDescent="0.25"/>
    <row r="790" s="31" customFormat="1" x14ac:dyDescent="0.25"/>
    <row r="791" s="31" customFormat="1" x14ac:dyDescent="0.25"/>
    <row r="792" s="31" customFormat="1" x14ac:dyDescent="0.25"/>
    <row r="793" s="31" customFormat="1" x14ac:dyDescent="0.25"/>
    <row r="794" s="31" customFormat="1" x14ac:dyDescent="0.25"/>
    <row r="795" s="31" customFormat="1" x14ac:dyDescent="0.25"/>
    <row r="796" s="31" customFormat="1" x14ac:dyDescent="0.25"/>
    <row r="797" s="31" customFormat="1" x14ac:dyDescent="0.25"/>
    <row r="798" s="31" customFormat="1" x14ac:dyDescent="0.25"/>
    <row r="799" s="31" customFormat="1" x14ac:dyDescent="0.25"/>
    <row r="800" s="31" customFormat="1" x14ac:dyDescent="0.25"/>
    <row r="801" s="31" customFormat="1" x14ac:dyDescent="0.25"/>
    <row r="802" s="31" customFormat="1" x14ac:dyDescent="0.25"/>
    <row r="803" s="31" customFormat="1" x14ac:dyDescent="0.25"/>
    <row r="804" s="31" customFormat="1" x14ac:dyDescent="0.25"/>
    <row r="805" s="31" customFormat="1" x14ac:dyDescent="0.25"/>
    <row r="806" s="31" customFormat="1" x14ac:dyDescent="0.25"/>
    <row r="807" s="31" customFormat="1" x14ac:dyDescent="0.25"/>
    <row r="808" s="31" customFormat="1" x14ac:dyDescent="0.25"/>
    <row r="809" s="31" customFormat="1" x14ac:dyDescent="0.25"/>
    <row r="810" s="31" customFormat="1" x14ac:dyDescent="0.25"/>
    <row r="811" s="31" customFormat="1" x14ac:dyDescent="0.25"/>
    <row r="812" s="31" customFormat="1" x14ac:dyDescent="0.25"/>
    <row r="813" s="31" customFormat="1" x14ac:dyDescent="0.25"/>
    <row r="814" s="31" customFormat="1" x14ac:dyDescent="0.25"/>
    <row r="815" s="31" customFormat="1" x14ac:dyDescent="0.25"/>
    <row r="816" s="31" customFormat="1" x14ac:dyDescent="0.25"/>
    <row r="817" s="31" customFormat="1" x14ac:dyDescent="0.25"/>
    <row r="818" s="31" customFormat="1" x14ac:dyDescent="0.25"/>
    <row r="819" s="31" customFormat="1" x14ac:dyDescent="0.25"/>
    <row r="820" s="31" customFormat="1" x14ac:dyDescent="0.25"/>
    <row r="821" s="31" customFormat="1" x14ac:dyDescent="0.25"/>
    <row r="822" s="31" customFormat="1" x14ac:dyDescent="0.25"/>
    <row r="823" s="31" customFormat="1" x14ac:dyDescent="0.25"/>
    <row r="824" s="31" customFormat="1" x14ac:dyDescent="0.25"/>
    <row r="825" s="31" customFormat="1" x14ac:dyDescent="0.25"/>
    <row r="826" s="31" customFormat="1" x14ac:dyDescent="0.25"/>
    <row r="827" s="31" customFormat="1" x14ac:dyDescent="0.25"/>
    <row r="828" s="31" customFormat="1" x14ac:dyDescent="0.25"/>
    <row r="829" s="31" customFormat="1" x14ac:dyDescent="0.25"/>
    <row r="830" s="31" customFormat="1" x14ac:dyDescent="0.25"/>
    <row r="831" s="31" customFormat="1" x14ac:dyDescent="0.25"/>
    <row r="832" s="31" customFormat="1" x14ac:dyDescent="0.25"/>
    <row r="833" s="31" customFormat="1" x14ac:dyDescent="0.25"/>
    <row r="834" s="31" customFormat="1" x14ac:dyDescent="0.25"/>
    <row r="835" s="31" customFormat="1" x14ac:dyDescent="0.25"/>
    <row r="836" s="31" customFormat="1" x14ac:dyDescent="0.25"/>
    <row r="837" s="31" customFormat="1" x14ac:dyDescent="0.25"/>
    <row r="838" s="31" customFormat="1" x14ac:dyDescent="0.25"/>
    <row r="839" s="31" customFormat="1" x14ac:dyDescent="0.25"/>
    <row r="840" s="31" customFormat="1" x14ac:dyDescent="0.25"/>
    <row r="841" s="31" customFormat="1" x14ac:dyDescent="0.25"/>
    <row r="842" s="31" customFormat="1" x14ac:dyDescent="0.25"/>
    <row r="843" s="31" customFormat="1" x14ac:dyDescent="0.25"/>
    <row r="844" s="31" customFormat="1" x14ac:dyDescent="0.25"/>
    <row r="845" s="31" customFormat="1" x14ac:dyDescent="0.25"/>
    <row r="846" s="31" customFormat="1" x14ac:dyDescent="0.25"/>
    <row r="847" s="31" customFormat="1" x14ac:dyDescent="0.25"/>
    <row r="848" s="31" customFormat="1" x14ac:dyDescent="0.25"/>
    <row r="849" s="31" customFormat="1" x14ac:dyDescent="0.25"/>
    <row r="850" s="31" customFormat="1" x14ac:dyDescent="0.25"/>
    <row r="851" s="31" customFormat="1" x14ac:dyDescent="0.25"/>
    <row r="852" s="31" customFormat="1" x14ac:dyDescent="0.25"/>
    <row r="853" s="31" customFormat="1" x14ac:dyDescent="0.25"/>
    <row r="854" s="31" customFormat="1" x14ac:dyDescent="0.25"/>
    <row r="855" s="31" customFormat="1" x14ac:dyDescent="0.25"/>
    <row r="856" s="31" customFormat="1" x14ac:dyDescent="0.25"/>
    <row r="857" s="31" customFormat="1" x14ac:dyDescent="0.25"/>
    <row r="858" s="31" customFormat="1" x14ac:dyDescent="0.25"/>
    <row r="859" s="31" customFormat="1" x14ac:dyDescent="0.25"/>
    <row r="860" s="31" customFormat="1" x14ac:dyDescent="0.25"/>
    <row r="861" s="31" customFormat="1" x14ac:dyDescent="0.25"/>
    <row r="862" s="31" customFormat="1" x14ac:dyDescent="0.25"/>
    <row r="863" s="31" customFormat="1" x14ac:dyDescent="0.25"/>
    <row r="864" s="31" customFormat="1" x14ac:dyDescent="0.25"/>
    <row r="865" s="31" customFormat="1" x14ac:dyDescent="0.25"/>
    <row r="866" s="31" customFormat="1" x14ac:dyDescent="0.25"/>
    <row r="867" s="31" customFormat="1" x14ac:dyDescent="0.25"/>
    <row r="868" s="31" customFormat="1" x14ac:dyDescent="0.25"/>
    <row r="869" s="31" customFormat="1" x14ac:dyDescent="0.25"/>
    <row r="870" s="31" customFormat="1" x14ac:dyDescent="0.25"/>
    <row r="871" s="31" customFormat="1" x14ac:dyDescent="0.25"/>
    <row r="872" s="31" customFormat="1" x14ac:dyDescent="0.25"/>
    <row r="873" s="31" customFormat="1" x14ac:dyDescent="0.25"/>
    <row r="874" s="31" customFormat="1" x14ac:dyDescent="0.25"/>
    <row r="875" s="31" customFormat="1" x14ac:dyDescent="0.25"/>
    <row r="876" s="31" customFormat="1" x14ac:dyDescent="0.25"/>
    <row r="877" s="31" customFormat="1" x14ac:dyDescent="0.25"/>
    <row r="878" s="31" customFormat="1" x14ac:dyDescent="0.25"/>
    <row r="879" s="31" customFormat="1" x14ac:dyDescent="0.25"/>
    <row r="880" s="31" customFormat="1" x14ac:dyDescent="0.25"/>
    <row r="881" s="31" customFormat="1" x14ac:dyDescent="0.25"/>
    <row r="882" s="31" customFormat="1" x14ac:dyDescent="0.25"/>
    <row r="883" s="31" customFormat="1" x14ac:dyDescent="0.25"/>
    <row r="884" s="31" customFormat="1" x14ac:dyDescent="0.25"/>
  </sheetData>
  <mergeCells count="11">
    <mergeCell ref="S20:S21"/>
    <mergeCell ref="A20:A21"/>
    <mergeCell ref="B20:B21"/>
    <mergeCell ref="C20:C21"/>
    <mergeCell ref="D20:D21"/>
    <mergeCell ref="A2:O2"/>
    <mergeCell ref="R9:R10"/>
    <mergeCell ref="B9:B10"/>
    <mergeCell ref="C9:C10"/>
    <mergeCell ref="A9:A10"/>
    <mergeCell ref="A7:C7"/>
  </mergeCells>
  <phoneticPr fontId="0" type="noConversion"/>
  <pageMargins left="0.74791666666666667" right="0.74791666666666667" top="0.98402777777777783" bottom="0.98402777777777783" header="0.51180555555555562" footer="0.51180555555555562"/>
  <pageSetup paperSize="8" scale="50" firstPageNumber="0" orientation="landscape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1"/>
  <sheetViews>
    <sheetView topLeftCell="A8" zoomScale="75" workbookViewId="0">
      <selection activeCell="D7" sqref="D7"/>
    </sheetView>
  </sheetViews>
  <sheetFormatPr defaultColWidth="9.109375" defaultRowHeight="13.2" x14ac:dyDescent="0.25"/>
  <cols>
    <col min="1" max="1" width="22.6640625" style="31" customWidth="1"/>
    <col min="2" max="2" width="20.44140625" style="31" customWidth="1"/>
    <col min="3" max="3" width="20" style="31" customWidth="1"/>
    <col min="4" max="4" width="15.33203125" style="31" customWidth="1"/>
    <col min="5" max="5" width="21.88671875" style="31" customWidth="1"/>
    <col min="6" max="6" width="19.88671875" style="31" customWidth="1"/>
    <col min="7" max="7" width="20.88671875" style="31" customWidth="1"/>
    <col min="8" max="8" width="18" style="31" customWidth="1"/>
    <col min="9" max="9" width="18.33203125" style="31" customWidth="1"/>
    <col min="10" max="10" width="11.109375" style="31" customWidth="1"/>
    <col min="11" max="11" width="19.6640625" style="31" customWidth="1"/>
    <col min="12" max="16384" width="9.109375" style="31"/>
  </cols>
  <sheetData>
    <row r="1" spans="1:14" ht="15" x14ac:dyDescent="0.25">
      <c r="A1" s="401" t="s">
        <v>15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</row>
    <row r="3" spans="1:14" x14ac:dyDescent="0.25">
      <c r="A3" s="475" t="s">
        <v>38</v>
      </c>
      <c r="B3" s="476"/>
      <c r="C3" s="476"/>
      <c r="D3" s="476"/>
    </row>
    <row r="4" spans="1:14" ht="13.8" x14ac:dyDescent="0.25">
      <c r="A4" s="11"/>
    </row>
    <row r="5" spans="1:14" x14ac:dyDescent="0.25">
      <c r="A5" s="477" t="s">
        <v>169</v>
      </c>
      <c r="B5" s="478"/>
      <c r="C5" s="478"/>
      <c r="D5" s="478"/>
      <c r="E5" s="478"/>
    </row>
    <row r="6" spans="1:14" ht="14.4" thickBot="1" x14ac:dyDescent="0.3">
      <c r="A6" s="11"/>
    </row>
    <row r="7" spans="1:14" ht="28.5" customHeight="1" thickBot="1" x14ac:dyDescent="0.3">
      <c r="A7" s="405" t="s">
        <v>96</v>
      </c>
      <c r="B7" s="406"/>
      <c r="C7" s="407"/>
      <c r="D7" s="80" t="s">
        <v>252</v>
      </c>
    </row>
    <row r="9" spans="1:14" ht="36.75" customHeight="1" thickBot="1" x14ac:dyDescent="0.3">
      <c r="A9" s="128" t="s">
        <v>131</v>
      </c>
      <c r="B9" s="92" t="s">
        <v>253</v>
      </c>
    </row>
    <row r="10" spans="1:14" ht="13.8" thickBot="1" x14ac:dyDescent="0.3">
      <c r="D10" s="150"/>
      <c r="E10" s="145"/>
      <c r="F10" s="145"/>
      <c r="G10" s="145"/>
      <c r="H10" s="145"/>
      <c r="I10" s="145"/>
    </row>
    <row r="11" spans="1:14" ht="31.5" customHeight="1" thickBot="1" x14ac:dyDescent="0.3">
      <c r="A11" s="479" t="s">
        <v>39</v>
      </c>
      <c r="B11" s="479" t="s">
        <v>41</v>
      </c>
      <c r="C11" s="473" t="s">
        <v>186</v>
      </c>
      <c r="D11" s="441" t="s">
        <v>99</v>
      </c>
      <c r="E11" s="481"/>
      <c r="F11" s="482"/>
      <c r="G11" s="441" t="s">
        <v>99</v>
      </c>
      <c r="H11" s="483"/>
      <c r="I11" s="484"/>
    </row>
    <row r="12" spans="1:14" ht="63.75" customHeight="1" thickBot="1" x14ac:dyDescent="0.3">
      <c r="A12" s="480"/>
      <c r="B12" s="480" t="s">
        <v>40</v>
      </c>
      <c r="C12" s="474" t="s">
        <v>37</v>
      </c>
      <c r="D12" s="185" t="s">
        <v>87</v>
      </c>
      <c r="E12" s="177" t="s">
        <v>17</v>
      </c>
      <c r="F12" s="178" t="s">
        <v>29</v>
      </c>
      <c r="G12" s="263" t="s">
        <v>132</v>
      </c>
      <c r="H12" s="264" t="s">
        <v>17</v>
      </c>
      <c r="I12" s="204" t="s">
        <v>29</v>
      </c>
    </row>
    <row r="13" spans="1:14" x14ac:dyDescent="0.25">
      <c r="A13" s="470"/>
      <c r="B13" s="179"/>
      <c r="C13" s="180"/>
      <c r="D13" s="247"/>
      <c r="E13" s="179"/>
      <c r="F13" s="140" t="e">
        <f>(D13/C13)*100</f>
        <v>#DIV/0!</v>
      </c>
      <c r="G13" s="260"/>
      <c r="H13" s="261"/>
      <c r="I13" s="262" t="e">
        <f t="shared" ref="I13:I26" si="0">(G13/C13)*100</f>
        <v>#DIV/0!</v>
      </c>
    </row>
    <row r="14" spans="1:14" x14ac:dyDescent="0.25">
      <c r="A14" s="471"/>
      <c r="B14" s="87"/>
      <c r="C14" s="88"/>
      <c r="D14" s="186"/>
      <c r="E14" s="87"/>
      <c r="F14" s="140" t="e">
        <f>(D14/C14)*100</f>
        <v>#DIV/0!</v>
      </c>
      <c r="G14" s="181"/>
      <c r="H14" s="87"/>
      <c r="I14" s="140" t="e">
        <f t="shared" si="0"/>
        <v>#DIV/0!</v>
      </c>
    </row>
    <row r="15" spans="1:14" x14ac:dyDescent="0.25">
      <c r="A15" s="471"/>
      <c r="B15" s="87"/>
      <c r="C15" s="88"/>
      <c r="D15" s="186"/>
      <c r="E15" s="87"/>
      <c r="F15" s="140" t="e">
        <f t="shared" ref="F15:F23" si="1">(D15/C15)*100</f>
        <v>#DIV/0!</v>
      </c>
      <c r="G15" s="181"/>
      <c r="H15" s="87"/>
      <c r="I15" s="140" t="e">
        <f t="shared" si="0"/>
        <v>#DIV/0!</v>
      </c>
    </row>
    <row r="16" spans="1:14" x14ac:dyDescent="0.25">
      <c r="A16" s="471"/>
      <c r="B16" s="87"/>
      <c r="C16" s="88"/>
      <c r="D16" s="186"/>
      <c r="E16" s="141"/>
      <c r="F16" s="140" t="e">
        <f t="shared" si="1"/>
        <v>#DIV/0!</v>
      </c>
      <c r="G16" s="182"/>
      <c r="H16" s="141"/>
      <c r="I16" s="140" t="e">
        <f t="shared" si="0"/>
        <v>#DIV/0!</v>
      </c>
    </row>
    <row r="17" spans="1:9" x14ac:dyDescent="0.25">
      <c r="A17" s="471"/>
      <c r="B17" s="87"/>
      <c r="C17" s="88"/>
      <c r="D17" s="186"/>
      <c r="E17" s="141"/>
      <c r="F17" s="140" t="e">
        <f t="shared" si="1"/>
        <v>#DIV/0!</v>
      </c>
      <c r="G17" s="182"/>
      <c r="H17" s="141"/>
      <c r="I17" s="140" t="e">
        <f t="shared" si="0"/>
        <v>#DIV/0!</v>
      </c>
    </row>
    <row r="18" spans="1:9" x14ac:dyDescent="0.25">
      <c r="A18" s="471"/>
      <c r="B18" s="87"/>
      <c r="C18" s="88"/>
      <c r="D18" s="186"/>
      <c r="E18" s="141"/>
      <c r="F18" s="140" t="e">
        <f t="shared" si="1"/>
        <v>#DIV/0!</v>
      </c>
      <c r="G18" s="182"/>
      <c r="H18" s="141"/>
      <c r="I18" s="140" t="e">
        <f t="shared" si="0"/>
        <v>#DIV/0!</v>
      </c>
    </row>
    <row r="19" spans="1:9" x14ac:dyDescent="0.25">
      <c r="A19" s="471"/>
      <c r="B19" s="87"/>
      <c r="C19" s="88"/>
      <c r="D19" s="186"/>
      <c r="E19" s="141"/>
      <c r="F19" s="140" t="e">
        <f t="shared" si="1"/>
        <v>#DIV/0!</v>
      </c>
      <c r="G19" s="182"/>
      <c r="H19" s="141"/>
      <c r="I19" s="140" t="e">
        <f t="shared" si="0"/>
        <v>#DIV/0!</v>
      </c>
    </row>
    <row r="20" spans="1:9" x14ac:dyDescent="0.25">
      <c r="A20" s="471"/>
      <c r="B20" s="87"/>
      <c r="C20" s="88"/>
      <c r="D20" s="248"/>
      <c r="E20" s="141"/>
      <c r="F20" s="140" t="e">
        <f t="shared" si="1"/>
        <v>#DIV/0!</v>
      </c>
      <c r="G20" s="182"/>
      <c r="H20" s="141"/>
      <c r="I20" s="140" t="e">
        <f t="shared" si="0"/>
        <v>#DIV/0!</v>
      </c>
    </row>
    <row r="21" spans="1:9" x14ac:dyDescent="0.25">
      <c r="A21" s="471"/>
      <c r="B21" s="87"/>
      <c r="C21" s="88"/>
      <c r="D21" s="187"/>
      <c r="E21" s="142"/>
      <c r="F21" s="140" t="e">
        <f t="shared" si="1"/>
        <v>#DIV/0!</v>
      </c>
      <c r="G21" s="183"/>
      <c r="H21" s="142"/>
      <c r="I21" s="140" t="e">
        <f t="shared" si="0"/>
        <v>#DIV/0!</v>
      </c>
    </row>
    <row r="22" spans="1:9" x14ac:dyDescent="0.25">
      <c r="A22" s="471"/>
      <c r="B22" s="87"/>
      <c r="C22" s="88"/>
      <c r="D22" s="187"/>
      <c r="E22" s="142"/>
      <c r="F22" s="140" t="e">
        <f t="shared" si="1"/>
        <v>#DIV/0!</v>
      </c>
      <c r="G22" s="183"/>
      <c r="H22" s="142"/>
      <c r="I22" s="140" t="e">
        <f t="shared" si="0"/>
        <v>#DIV/0!</v>
      </c>
    </row>
    <row r="23" spans="1:9" x14ac:dyDescent="0.25">
      <c r="A23" s="471"/>
      <c r="B23" s="87"/>
      <c r="C23" s="88"/>
      <c r="D23" s="187"/>
      <c r="E23" s="142"/>
      <c r="F23" s="140" t="e">
        <f t="shared" si="1"/>
        <v>#DIV/0!</v>
      </c>
      <c r="G23" s="181"/>
      <c r="H23" s="87"/>
      <c r="I23" s="140" t="e">
        <f t="shared" si="0"/>
        <v>#DIV/0!</v>
      </c>
    </row>
    <row r="24" spans="1:9" x14ac:dyDescent="0.25">
      <c r="A24" s="471"/>
      <c r="B24" s="87"/>
      <c r="C24" s="88"/>
      <c r="D24" s="187"/>
      <c r="E24" s="142"/>
      <c r="F24" s="140" t="e">
        <f>(D24/C24)*100</f>
        <v>#DIV/0!</v>
      </c>
      <c r="G24" s="181"/>
      <c r="H24" s="87"/>
      <c r="I24" s="140" t="e">
        <f t="shared" si="0"/>
        <v>#DIV/0!</v>
      </c>
    </row>
    <row r="25" spans="1:9" x14ac:dyDescent="0.25">
      <c r="A25" s="471"/>
      <c r="B25" s="87"/>
      <c r="C25" s="88"/>
      <c r="D25" s="187"/>
      <c r="E25" s="142"/>
      <c r="F25" s="140" t="e">
        <f>(D25/C25)*100</f>
        <v>#DIV/0!</v>
      </c>
      <c r="G25" s="181"/>
      <c r="H25" s="87"/>
      <c r="I25" s="140" t="e">
        <f t="shared" si="0"/>
        <v>#DIV/0!</v>
      </c>
    </row>
    <row r="26" spans="1:9" ht="13.8" thickBot="1" x14ac:dyDescent="0.3">
      <c r="A26" s="472"/>
      <c r="B26" s="90"/>
      <c r="C26" s="91"/>
      <c r="D26" s="188"/>
      <c r="E26" s="155"/>
      <c r="F26" s="144" t="e">
        <f>(D26/C26)*100</f>
        <v>#DIV/0!</v>
      </c>
      <c r="G26" s="184"/>
      <c r="H26" s="90"/>
      <c r="I26" s="144" t="e">
        <f t="shared" si="0"/>
        <v>#DIV/0!</v>
      </c>
    </row>
    <row r="29" spans="1:9" x14ac:dyDescent="0.25">
      <c r="C29" s="125"/>
    </row>
    <row r="31" spans="1:9" x14ac:dyDescent="0.25">
      <c r="F31" s="125"/>
    </row>
  </sheetData>
  <mergeCells count="11">
    <mergeCell ref="A13:A19"/>
    <mergeCell ref="A20:A26"/>
    <mergeCell ref="C11:C12"/>
    <mergeCell ref="A1:N1"/>
    <mergeCell ref="A3:D3"/>
    <mergeCell ref="A5:E5"/>
    <mergeCell ref="A11:A12"/>
    <mergeCell ref="B11:B12"/>
    <mergeCell ref="A7:C7"/>
    <mergeCell ref="D11:F11"/>
    <mergeCell ref="G11:I11"/>
  </mergeCells>
  <phoneticPr fontId="0" type="noConversion"/>
  <pageMargins left="0.75" right="0.75" top="1" bottom="1" header="0.5" footer="0.5"/>
  <pageSetup paperSize="8" scale="6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U51"/>
  <sheetViews>
    <sheetView topLeftCell="A23" workbookViewId="0">
      <selection activeCell="A52" sqref="A52"/>
    </sheetView>
  </sheetViews>
  <sheetFormatPr defaultColWidth="9.109375" defaultRowHeight="13.2" x14ac:dyDescent="0.25"/>
  <cols>
    <col min="1" max="1" width="28.33203125" style="31" customWidth="1"/>
    <col min="2" max="2" width="28" style="31" customWidth="1"/>
    <col min="3" max="3" width="23.44140625" style="31" customWidth="1"/>
    <col min="4" max="4" width="20.6640625" style="31" customWidth="1"/>
    <col min="5" max="5" width="26.44140625" style="31" customWidth="1"/>
    <col min="6" max="6" width="23.88671875" style="31" customWidth="1"/>
    <col min="7" max="7" width="18" style="31" customWidth="1"/>
    <col min="8" max="8" width="19.33203125" style="31" customWidth="1"/>
    <col min="9" max="16384" width="9.109375" style="31"/>
  </cols>
  <sheetData>
    <row r="2" spans="1:14" ht="15" x14ac:dyDescent="0.25">
      <c r="A2" s="401" t="s">
        <v>33</v>
      </c>
      <c r="B2" s="402"/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02"/>
    </row>
    <row r="4" spans="1:14" ht="15" x14ac:dyDescent="0.25">
      <c r="A4" s="401" t="s">
        <v>170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</row>
    <row r="6" spans="1:14" x14ac:dyDescent="0.25">
      <c r="A6" s="477" t="s">
        <v>172</v>
      </c>
      <c r="B6" s="478"/>
      <c r="C6" s="478"/>
    </row>
    <row r="7" spans="1:14" ht="14.4" thickBot="1" x14ac:dyDescent="0.3">
      <c r="A7" s="12"/>
    </row>
    <row r="8" spans="1:14" ht="42.75" customHeight="1" x14ac:dyDescent="0.25">
      <c r="A8" s="82" t="s">
        <v>175</v>
      </c>
      <c r="B8" s="83" t="s">
        <v>176</v>
      </c>
      <c r="C8" s="83" t="s">
        <v>2</v>
      </c>
      <c r="D8" s="83" t="s">
        <v>177</v>
      </c>
      <c r="E8" s="83" t="s">
        <v>46</v>
      </c>
      <c r="F8" s="84" t="s">
        <v>47</v>
      </c>
    </row>
    <row r="9" spans="1:14" x14ac:dyDescent="0.25">
      <c r="A9" s="107"/>
      <c r="B9" s="104"/>
      <c r="C9" s="104"/>
      <c r="D9" s="104"/>
      <c r="E9" s="265"/>
      <c r="F9" s="229"/>
    </row>
    <row r="10" spans="1:14" x14ac:dyDescent="0.25">
      <c r="A10" s="15"/>
      <c r="B10" s="189"/>
      <c r="C10" s="189"/>
      <c r="D10" s="189"/>
      <c r="E10" s="189"/>
      <c r="F10" s="190"/>
    </row>
    <row r="11" spans="1:14" ht="15" x14ac:dyDescent="0.25">
      <c r="A11" s="191"/>
      <c r="B11" s="189"/>
      <c r="C11" s="189"/>
      <c r="D11" s="189"/>
      <c r="E11" s="189"/>
      <c r="F11" s="190"/>
    </row>
    <row r="12" spans="1:14" ht="15" x14ac:dyDescent="0.25">
      <c r="A12" s="191"/>
      <c r="B12" s="189"/>
      <c r="C12" s="189"/>
      <c r="D12" s="189"/>
      <c r="E12" s="189"/>
      <c r="F12" s="190"/>
    </row>
    <row r="13" spans="1:14" ht="13.8" thickBot="1" x14ac:dyDescent="0.3">
      <c r="A13" s="192"/>
      <c r="B13" s="193"/>
      <c r="C13" s="193"/>
      <c r="D13" s="193"/>
      <c r="E13" s="193"/>
      <c r="F13" s="194"/>
    </row>
    <row r="15" spans="1:14" ht="15" x14ac:dyDescent="0.25">
      <c r="A15" s="13"/>
    </row>
    <row r="16" spans="1:14" ht="12.75" customHeight="1" x14ac:dyDescent="0.25">
      <c r="A16" s="475" t="s">
        <v>191</v>
      </c>
      <c r="B16" s="485"/>
      <c r="C16" s="485"/>
      <c r="D16" s="486"/>
      <c r="E16" s="486"/>
      <c r="F16" s="486"/>
    </row>
    <row r="17" spans="1:6" ht="15.6" thickBot="1" x14ac:dyDescent="0.3">
      <c r="A17" s="14"/>
    </row>
    <row r="18" spans="1:6" ht="39.6" x14ac:dyDescent="0.25">
      <c r="A18" s="82" t="s">
        <v>42</v>
      </c>
      <c r="B18" s="83" t="s">
        <v>36</v>
      </c>
      <c r="C18" s="83" t="s">
        <v>45</v>
      </c>
      <c r="D18" s="83" t="s">
        <v>89</v>
      </c>
      <c r="E18" s="84" t="s">
        <v>190</v>
      </c>
    </row>
    <row r="19" spans="1:6" x14ac:dyDescent="0.25">
      <c r="A19" s="195"/>
      <c r="B19" s="196"/>
      <c r="C19" s="196"/>
      <c r="D19" s="196"/>
      <c r="E19" s="266"/>
    </row>
    <row r="20" spans="1:6" x14ac:dyDescent="0.25">
      <c r="A20" s="195"/>
      <c r="B20" s="196"/>
      <c r="C20" s="196"/>
      <c r="D20" s="196"/>
      <c r="E20" s="266"/>
    </row>
    <row r="21" spans="1:6" ht="13.8" thickBot="1" x14ac:dyDescent="0.3">
      <c r="A21" s="267"/>
      <c r="B21" s="197"/>
      <c r="C21" s="197"/>
      <c r="D21" s="197"/>
      <c r="E21" s="268"/>
    </row>
    <row r="24" spans="1:6" x14ac:dyDescent="0.25">
      <c r="A24" s="477" t="s">
        <v>173</v>
      </c>
      <c r="B24" s="478"/>
      <c r="C24" s="478"/>
    </row>
    <row r="25" spans="1:6" ht="15.6" thickBot="1" x14ac:dyDescent="0.3">
      <c r="A25" s="14"/>
    </row>
    <row r="26" spans="1:6" ht="54" customHeight="1" x14ac:dyDescent="0.25">
      <c r="A26" s="82" t="s">
        <v>30</v>
      </c>
      <c r="B26" s="83" t="s">
        <v>34</v>
      </c>
      <c r="C26" s="83" t="s">
        <v>35</v>
      </c>
      <c r="D26" s="83" t="s">
        <v>177</v>
      </c>
      <c r="E26" s="83" t="s">
        <v>2</v>
      </c>
      <c r="F26" s="84" t="s">
        <v>46</v>
      </c>
    </row>
    <row r="27" spans="1:6" x14ac:dyDescent="0.25">
      <c r="A27" s="107"/>
      <c r="B27" s="87"/>
      <c r="C27" s="87"/>
      <c r="D27" s="87"/>
      <c r="E27" s="87"/>
      <c r="F27" s="86"/>
    </row>
    <row r="28" spans="1:6" x14ac:dyDescent="0.25">
      <c r="A28" s="198"/>
      <c r="B28" s="87"/>
      <c r="C28" s="87"/>
      <c r="D28" s="87"/>
      <c r="E28" s="87"/>
      <c r="F28" s="86"/>
    </row>
    <row r="29" spans="1:6" ht="13.8" thickBot="1" x14ac:dyDescent="0.3">
      <c r="A29" s="16"/>
      <c r="B29" s="90"/>
      <c r="C29" s="90"/>
      <c r="D29" s="90"/>
      <c r="E29" s="90"/>
      <c r="F29" s="92"/>
    </row>
    <row r="32" spans="1:6" x14ac:dyDescent="0.25">
      <c r="A32" s="477" t="s">
        <v>187</v>
      </c>
      <c r="B32" s="478"/>
      <c r="C32" s="478"/>
    </row>
    <row r="33" spans="1:255" ht="14.4" thickBot="1" x14ac:dyDescent="0.3">
      <c r="A33" s="12"/>
    </row>
    <row r="34" spans="1:255" ht="26.4" x14ac:dyDescent="0.25">
      <c r="A34" s="232" t="s">
        <v>30</v>
      </c>
      <c r="B34" s="233" t="s">
        <v>43</v>
      </c>
      <c r="C34" s="233" t="s">
        <v>44</v>
      </c>
      <c r="D34" s="83" t="s">
        <v>177</v>
      </c>
      <c r="E34" s="83" t="s">
        <v>2</v>
      </c>
      <c r="F34" s="230" t="s">
        <v>48</v>
      </c>
    </row>
    <row r="35" spans="1:255" x14ac:dyDescent="0.25">
      <c r="A35" s="157"/>
      <c r="B35" s="231"/>
      <c r="C35" s="158"/>
      <c r="D35" s="158"/>
      <c r="E35" s="158"/>
      <c r="F35" s="160"/>
    </row>
    <row r="36" spans="1:255" x14ac:dyDescent="0.25">
      <c r="A36" s="157"/>
      <c r="B36" s="158"/>
      <c r="C36" s="158"/>
      <c r="D36" s="158"/>
      <c r="E36" s="158"/>
      <c r="F36" s="160"/>
    </row>
    <row r="37" spans="1:255" ht="13.8" thickBot="1" x14ac:dyDescent="0.3">
      <c r="A37" s="89"/>
      <c r="B37" s="90"/>
      <c r="C37" s="90"/>
      <c r="D37" s="90"/>
      <c r="E37" s="90"/>
      <c r="F37" s="92"/>
    </row>
    <row r="40" spans="1:255" x14ac:dyDescent="0.25">
      <c r="A40" s="475" t="s">
        <v>174</v>
      </c>
      <c r="B40" s="485"/>
      <c r="C40" s="485"/>
      <c r="D40" s="486"/>
      <c r="E40" s="486"/>
    </row>
    <row r="41" spans="1:255" ht="14.4" thickBot="1" x14ac:dyDescent="0.3">
      <c r="A41" s="12"/>
    </row>
    <row r="42" spans="1:255" s="199" customFormat="1" ht="30" customHeight="1" thickBot="1" x14ac:dyDescent="0.3">
      <c r="A42" s="232" t="s">
        <v>49</v>
      </c>
      <c r="B42" s="233" t="s">
        <v>135</v>
      </c>
      <c r="C42" s="233" t="s">
        <v>91</v>
      </c>
      <c r="D42" s="233" t="s">
        <v>178</v>
      </c>
      <c r="E42" s="230" t="s">
        <v>90</v>
      </c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</row>
    <row r="43" spans="1:255" x14ac:dyDescent="0.25">
      <c r="A43" s="235"/>
      <c r="B43" s="234"/>
      <c r="C43" s="234"/>
      <c r="D43" s="269"/>
      <c r="E43" s="86"/>
    </row>
    <row r="44" spans="1:255" x14ac:dyDescent="0.25">
      <c r="A44" s="200"/>
      <c r="B44" s="159"/>
      <c r="C44" s="159"/>
      <c r="D44" s="159"/>
      <c r="E44" s="86"/>
    </row>
    <row r="45" spans="1:255" ht="15" x14ac:dyDescent="0.25">
      <c r="A45" s="201"/>
      <c r="B45" s="87"/>
      <c r="C45" s="87"/>
      <c r="D45" s="87"/>
      <c r="E45" s="86"/>
    </row>
    <row r="46" spans="1:255" ht="13.8" thickBot="1" x14ac:dyDescent="0.3">
      <c r="A46" s="89"/>
      <c r="B46" s="90"/>
      <c r="C46" s="90"/>
      <c r="D46" s="90"/>
      <c r="E46" s="92"/>
    </row>
    <row r="49" spans="1:5" ht="13.8" x14ac:dyDescent="0.25">
      <c r="A49" s="253"/>
      <c r="B49" s="113"/>
      <c r="C49" s="113"/>
      <c r="D49" s="254"/>
      <c r="E49" s="254"/>
    </row>
    <row r="51" spans="1:5" ht="18" customHeight="1" x14ac:dyDescent="0.25"/>
  </sheetData>
  <mergeCells count="7">
    <mergeCell ref="A40:E40"/>
    <mergeCell ref="A32:C32"/>
    <mergeCell ref="A6:C6"/>
    <mergeCell ref="A2:N2"/>
    <mergeCell ref="A24:C24"/>
    <mergeCell ref="A4:N4"/>
    <mergeCell ref="A16:F16"/>
  </mergeCells>
  <phoneticPr fontId="0" type="noConversion"/>
  <pageMargins left="0.75" right="0.75" top="1" bottom="1" header="0.5" footer="0.5"/>
  <pageSetup paperSize="8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37"/>
  <sheetViews>
    <sheetView zoomScale="75" zoomScaleNormal="75" workbookViewId="0">
      <selection activeCell="H15" sqref="H15"/>
    </sheetView>
  </sheetViews>
  <sheetFormatPr defaultColWidth="9.109375" defaultRowHeight="13.2" x14ac:dyDescent="0.25"/>
  <cols>
    <col min="1" max="1" width="57.44140625" style="31" customWidth="1"/>
    <col min="2" max="2" width="27" style="31" customWidth="1"/>
    <col min="3" max="3" width="20.6640625" style="31" customWidth="1"/>
    <col min="4" max="4" width="20.6640625" style="228" customWidth="1"/>
    <col min="5" max="12" width="20.6640625" style="31" customWidth="1"/>
    <col min="13" max="16384" width="9.109375" style="31"/>
  </cols>
  <sheetData>
    <row r="1" spans="1:4" x14ac:dyDescent="0.25">
      <c r="D1" s="31"/>
    </row>
    <row r="2" spans="1:4" ht="15" x14ac:dyDescent="0.25">
      <c r="A2" s="490" t="s">
        <v>50</v>
      </c>
      <c r="B2" s="491"/>
      <c r="D2" s="31"/>
    </row>
    <row r="3" spans="1:4" ht="13.8" x14ac:dyDescent="0.25">
      <c r="A3" s="11"/>
      <c r="D3" s="31"/>
    </row>
    <row r="4" spans="1:4" ht="13.8" x14ac:dyDescent="0.25">
      <c r="A4" s="11"/>
      <c r="D4" s="31"/>
    </row>
    <row r="5" spans="1:4" ht="20.100000000000001" customHeight="1" x14ac:dyDescent="0.25">
      <c r="A5" s="202" t="s">
        <v>171</v>
      </c>
      <c r="B5" s="32"/>
      <c r="D5" s="31"/>
    </row>
    <row r="6" spans="1:4" ht="20.100000000000001" customHeight="1" thickBot="1" x14ac:dyDescent="0.3">
      <c r="A6" s="202"/>
      <c r="B6" s="32"/>
      <c r="D6" s="31"/>
    </row>
    <row r="7" spans="1:4" ht="39.75" customHeight="1" thickBot="1" x14ac:dyDescent="0.3">
      <c r="A7" s="138" t="s">
        <v>92</v>
      </c>
      <c r="B7" s="203" t="s">
        <v>192</v>
      </c>
      <c r="C7" s="204" t="s">
        <v>2</v>
      </c>
      <c r="D7" s="31"/>
    </row>
    <row r="8" spans="1:4" ht="30" customHeight="1" thickBot="1" x14ac:dyDescent="0.3">
      <c r="A8" s="487" t="s">
        <v>0</v>
      </c>
      <c r="B8" s="487"/>
      <c r="C8" s="487"/>
      <c r="D8" s="31"/>
    </row>
    <row r="9" spans="1:4" ht="30" customHeight="1" x14ac:dyDescent="0.25">
      <c r="A9" s="205"/>
      <c r="B9" s="206"/>
      <c r="C9" s="207"/>
      <c r="D9" s="31"/>
    </row>
    <row r="10" spans="1:4" ht="30" customHeight="1" thickBot="1" x14ac:dyDescent="0.3">
      <c r="A10" s="208"/>
      <c r="B10" s="209"/>
      <c r="C10" s="210"/>
      <c r="D10" s="31"/>
    </row>
    <row r="11" spans="1:4" ht="17.25" customHeight="1" thickBot="1" x14ac:dyDescent="0.3">
      <c r="A11" s="211"/>
      <c r="B11" s="211"/>
      <c r="C11" s="211"/>
      <c r="D11" s="31"/>
    </row>
    <row r="12" spans="1:4" ht="30" customHeight="1" x14ac:dyDescent="0.25">
      <c r="A12" s="371" t="s">
        <v>371</v>
      </c>
      <c r="B12" s="341">
        <f>((('ACQUA ED ENERGIA'!Z30+'ACQUA ED ENERGIA'!Z31)/1000)+('ACQUA ED ENERGIA'!AA51*10.69/1000))/('MATERIE PRIME'!N86+'MATERIE PRIME'!N87+'MATERIE PRIME'!N88)</f>
        <v>0.1067155935170568</v>
      </c>
      <c r="C12" s="214" t="s">
        <v>370</v>
      </c>
      <c r="D12" s="31"/>
    </row>
    <row r="13" spans="1:4" ht="30" customHeight="1" x14ac:dyDescent="0.25">
      <c r="A13" s="215" t="s">
        <v>311</v>
      </c>
      <c r="B13" s="216">
        <f>'ACQUA ED ENERGIA'!Z30/'MATERIE PRIME'!N11</f>
        <v>101.06189907269865</v>
      </c>
      <c r="C13" s="217" t="s">
        <v>326</v>
      </c>
      <c r="D13" s="31"/>
    </row>
    <row r="14" spans="1:4" ht="30" customHeight="1" thickBot="1" x14ac:dyDescent="0.3">
      <c r="A14" s="218" t="s">
        <v>312</v>
      </c>
      <c r="B14" s="219">
        <f>'ACQUA ED ENERGIA'!Z31/'MATERIE PRIME'!N11</f>
        <v>7.5269607009644002</v>
      </c>
      <c r="C14" s="220" t="s">
        <v>326</v>
      </c>
      <c r="D14" s="31"/>
    </row>
    <row r="15" spans="1:4" ht="24" customHeight="1" thickBot="1" x14ac:dyDescent="0.3">
      <c r="A15" s="488" t="s">
        <v>10</v>
      </c>
      <c r="B15" s="488"/>
      <c r="C15" s="488"/>
      <c r="D15" s="31"/>
    </row>
    <row r="16" spans="1:4" ht="24" customHeight="1" x14ac:dyDescent="0.25">
      <c r="A16" s="329" t="s">
        <v>313</v>
      </c>
      <c r="B16" s="98">
        <f>('EMISSIONI IN ARIA'!E31+'EMISSIONI IN ARIA'!E37+'EMISSIONI IN ARIA'!E43+'EMISSIONI IN ARIA'!E49+'EMISSIONI IN ARIA'!E55+'EMISSIONI IN ARIA'!E61+'EMISSIONI IN ARIA'!E67+'EMISSIONI IN ARIA'!E73+'EMISSIONI IN ARIA'!E79+'EMISSIONI IN ARIA'!E91+'EMISSIONI IN ARIA'!E97+'EMISSIONI IN ARIA'!E103+'EMISSIONI IN ARIA'!E109+'EMISSIONI IN ARIA'!K115+'EMISSIONI IN ARIA'!K121+'EMISSIONI IN ARIA'!K127+'EMISSIONI IN ARIA'!K133)/('MATERIE PRIME'!N11)</f>
        <v>5.7966409427539058E-3</v>
      </c>
      <c r="C16" s="342" t="s">
        <v>327</v>
      </c>
      <c r="D16" s="31"/>
    </row>
    <row r="17" spans="1:4" ht="30" customHeight="1" thickBot="1" x14ac:dyDescent="0.3">
      <c r="A17" s="331"/>
      <c r="B17" s="332"/>
      <c r="C17" s="222"/>
      <c r="D17" s="31"/>
    </row>
    <row r="18" spans="1:4" ht="27.75" customHeight="1" thickBot="1" x14ac:dyDescent="0.3">
      <c r="A18" s="489" t="s">
        <v>51</v>
      </c>
      <c r="B18" s="489"/>
      <c r="C18" s="489"/>
      <c r="D18" s="31"/>
    </row>
    <row r="19" spans="1:4" ht="30" customHeight="1" x14ac:dyDescent="0.25">
      <c r="A19" s="329" t="s">
        <v>314</v>
      </c>
      <c r="B19" s="345">
        <f>'ACQUA ED ENERGIA'!N9*1000/'MATERIE PRIME'!N86</f>
        <v>61.086417560495534</v>
      </c>
      <c r="C19" s="343" t="s">
        <v>328</v>
      </c>
      <c r="D19" s="31"/>
    </row>
    <row r="20" spans="1:4" ht="30" customHeight="1" x14ac:dyDescent="0.25">
      <c r="A20" s="330" t="s">
        <v>315</v>
      </c>
      <c r="B20" s="336">
        <f>'ACQUA ED ENERGIA'!N9*1000/'MATERIE PRIME'!N11</f>
        <v>57.519922247568715</v>
      </c>
      <c r="C20" s="344" t="s">
        <v>328</v>
      </c>
      <c r="D20" s="31"/>
    </row>
    <row r="21" spans="1:4" ht="30" customHeight="1" x14ac:dyDescent="0.25">
      <c r="A21" s="333"/>
      <c r="B21" s="336"/>
      <c r="C21" s="217"/>
      <c r="D21" s="31"/>
    </row>
    <row r="22" spans="1:4" ht="30" customHeight="1" x14ac:dyDescent="0.25">
      <c r="A22" s="334"/>
      <c r="B22" s="337"/>
      <c r="C22" s="224"/>
      <c r="D22" s="31"/>
    </row>
    <row r="23" spans="1:4" ht="30" customHeight="1" thickBot="1" x14ac:dyDescent="0.3">
      <c r="A23" s="335"/>
      <c r="B23" s="338"/>
      <c r="C23" s="210"/>
      <c r="D23" s="31"/>
    </row>
    <row r="24" spans="1:4" ht="29.25" customHeight="1" thickBot="1" x14ac:dyDescent="0.3">
      <c r="A24" s="339" t="s">
        <v>316</v>
      </c>
      <c r="B24" s="221"/>
      <c r="C24" s="221"/>
      <c r="D24" s="31"/>
    </row>
    <row r="25" spans="1:4" ht="30" customHeight="1" x14ac:dyDescent="0.25">
      <c r="A25" s="212" t="s">
        <v>317</v>
      </c>
      <c r="B25" s="213">
        <f>(RIFIUTI!R62*1000)/'MATERIE PRIME'!N11</f>
        <v>1.964211034789628</v>
      </c>
      <c r="C25" s="214" t="s">
        <v>327</v>
      </c>
      <c r="D25" s="31"/>
    </row>
    <row r="26" spans="1:4" ht="30" customHeight="1" x14ac:dyDescent="0.25">
      <c r="A26" s="215" t="s">
        <v>318</v>
      </c>
      <c r="B26" s="216">
        <f>((RIFIUTI!R22+RIFIUTI!R25+RIFIUTI!R26+RIFIUTI!R31+RIFIUTI!R32+RIFIUTI!R33+RIFIUTI!R34+RIFIUTI!R38+RIFIUTI!R40+RIFIUTI!R42+RIFIUTI!R44+RIFIUTI!R47+RIFIUTI!R48+RIFIUTI!R50+RIFIUTI!R51+RIFIUTI!R52+RIFIUTI!R53+RIFIUTI!R55)*1000)/'MATERIE PRIME'!N11</f>
        <v>1.9411371404782822</v>
      </c>
      <c r="C26" s="217" t="s">
        <v>327</v>
      </c>
      <c r="D26" s="31"/>
    </row>
    <row r="27" spans="1:4" ht="30" customHeight="1" x14ac:dyDescent="0.25">
      <c r="A27" s="223" t="s">
        <v>319</v>
      </c>
      <c r="B27" s="225">
        <f>((RIFIUTI!R23+RIFIUTI!R24+RIFIUTI!R27+RIFIUTI!R28+RIFIUTI!R29+RIFIUTI!R30+RIFIUTI!R35+RIFIUTI!R36+RIFIUTI!R37+RIFIUTI!R39+RIFIUTI!R41+RIFIUTI!R43+RIFIUTI!R45+RIFIUTI!R46+RIFIUTI!R49+RIFIUTI!R54)*1000)/'MATERIE PRIME'!N11</f>
        <v>2.307389431134562E-2</v>
      </c>
      <c r="C27" s="217" t="s">
        <v>327</v>
      </c>
      <c r="D27" s="31"/>
    </row>
    <row r="28" spans="1:4" ht="30" customHeight="1" x14ac:dyDescent="0.25">
      <c r="A28" s="223" t="s">
        <v>320</v>
      </c>
      <c r="B28" s="226">
        <f>((RIFIUTI!R22+RIFIUTI!R24+RIFIUTI!R27+RIFIUTI!R28+RIFIUTI!R29+RIFIUTI!R30+RIFIUTI!R31+RIFIUTI!R32+RIFIUTI!R33+RIFIUTI!R34+RIFIUTI!R35+RIFIUTI!R36+RIFIUTI!R37+RIFIUTI!R38+RIFIUTI!R39+RIFIUTI!R40+RIFIUTI!R41+RIFIUTI!R42+RIFIUTI!R44+RIFIUTI!R47+RIFIUTI!R48+RIFIUTI!R50+RIFIUTI!R53+RIFIUTI!R54)*100)/RIFIUTI!R62</f>
        <v>89.706321088942758</v>
      </c>
      <c r="C28" s="224" t="s">
        <v>329</v>
      </c>
      <c r="D28" s="31"/>
    </row>
    <row r="29" spans="1:4" ht="30" customHeight="1" x14ac:dyDescent="0.25">
      <c r="A29" s="223" t="s">
        <v>321</v>
      </c>
      <c r="B29" s="216">
        <f>(RIFIUTI!R22*1000)/'MATERIE PRIME'!N86</f>
        <v>0.37340312548917998</v>
      </c>
      <c r="C29" s="217" t="s">
        <v>327</v>
      </c>
      <c r="D29" s="31"/>
    </row>
    <row r="30" spans="1:4" ht="30" customHeight="1" thickBot="1" x14ac:dyDescent="0.3">
      <c r="A30" s="218" t="s">
        <v>322</v>
      </c>
      <c r="B30" s="219">
        <f>(RIFIUTI!R31*1000)/'MATERIE PRIME'!N86</f>
        <v>1.2516783935668554</v>
      </c>
      <c r="C30" s="220" t="s">
        <v>327</v>
      </c>
      <c r="D30" s="31"/>
    </row>
    <row r="31" spans="1:4" ht="20.100000000000001" customHeight="1" thickBot="1" x14ac:dyDescent="0.3">
      <c r="A31" s="33" t="s">
        <v>323</v>
      </c>
      <c r="D31" s="31"/>
    </row>
    <row r="32" spans="1:4" ht="28.5" customHeight="1" x14ac:dyDescent="0.25">
      <c r="A32" s="205" t="s">
        <v>324</v>
      </c>
      <c r="B32" s="206">
        <f>'ACQUA ED ENERGIA'!AA51/'MATERIE PRIME'!N11</f>
        <v>1.7070030386304424</v>
      </c>
      <c r="C32" s="207" t="s">
        <v>330</v>
      </c>
      <c r="D32" s="31"/>
    </row>
    <row r="33" spans="1:4" ht="28.5" customHeight="1" thickBot="1" x14ac:dyDescent="0.3">
      <c r="A33" s="340" t="s">
        <v>325</v>
      </c>
      <c r="B33" s="209">
        <f>'ACQUA ED ENERGIA'!AA51/'MATERIE PRIME'!N86</f>
        <v>1.8128449469387351</v>
      </c>
      <c r="C33" s="210" t="s">
        <v>330</v>
      </c>
      <c r="D33" s="31"/>
    </row>
    <row r="34" spans="1:4" ht="20.100000000000001" customHeight="1" x14ac:dyDescent="0.25">
      <c r="D34" s="31"/>
    </row>
    <row r="35" spans="1:4" ht="20.100000000000001" customHeight="1" x14ac:dyDescent="0.25">
      <c r="D35" s="31"/>
    </row>
    <row r="36" spans="1:4" ht="20.100000000000001" customHeight="1" x14ac:dyDescent="0.25">
      <c r="D36" s="31"/>
    </row>
    <row r="37" spans="1:4" ht="20.100000000000001" customHeight="1" x14ac:dyDescent="0.25">
      <c r="D37" s="31"/>
    </row>
    <row r="38" spans="1:4" ht="20.100000000000001" customHeight="1" x14ac:dyDescent="0.25">
      <c r="D38" s="31"/>
    </row>
    <row r="39" spans="1:4" ht="20.100000000000001" customHeight="1" x14ac:dyDescent="0.25">
      <c r="D39" s="31"/>
    </row>
    <row r="40" spans="1:4" ht="20.100000000000001" customHeight="1" x14ac:dyDescent="0.25">
      <c r="D40" s="31"/>
    </row>
    <row r="41" spans="1:4" x14ac:dyDescent="0.25">
      <c r="D41" s="31"/>
    </row>
    <row r="42" spans="1:4" x14ac:dyDescent="0.25">
      <c r="D42" s="31"/>
    </row>
    <row r="43" spans="1:4" x14ac:dyDescent="0.25">
      <c r="D43" s="31"/>
    </row>
    <row r="44" spans="1:4" x14ac:dyDescent="0.25">
      <c r="D44" s="31"/>
    </row>
    <row r="45" spans="1:4" x14ac:dyDescent="0.25">
      <c r="D45" s="31"/>
    </row>
    <row r="46" spans="1:4" x14ac:dyDescent="0.25">
      <c r="D46" s="31"/>
    </row>
    <row r="47" spans="1:4" x14ac:dyDescent="0.25">
      <c r="D47" s="31"/>
    </row>
    <row r="48" spans="1:4" x14ac:dyDescent="0.25">
      <c r="D48" s="31"/>
    </row>
    <row r="49" spans="4:4" x14ac:dyDescent="0.25">
      <c r="D49" s="31"/>
    </row>
    <row r="50" spans="4:4" x14ac:dyDescent="0.25">
      <c r="D50" s="31"/>
    </row>
    <row r="51" spans="4:4" x14ac:dyDescent="0.25">
      <c r="D51" s="31"/>
    </row>
    <row r="52" spans="4:4" x14ac:dyDescent="0.25">
      <c r="D52" s="31"/>
    </row>
    <row r="53" spans="4:4" x14ac:dyDescent="0.25">
      <c r="D53" s="31"/>
    </row>
    <row r="54" spans="4:4" x14ac:dyDescent="0.25">
      <c r="D54" s="31"/>
    </row>
    <row r="55" spans="4:4" x14ac:dyDescent="0.25">
      <c r="D55" s="31"/>
    </row>
    <row r="56" spans="4:4" x14ac:dyDescent="0.25">
      <c r="D56" s="31"/>
    </row>
    <row r="57" spans="4:4" x14ac:dyDescent="0.25">
      <c r="D57" s="31"/>
    </row>
    <row r="58" spans="4:4" x14ac:dyDescent="0.25">
      <c r="D58" s="31"/>
    </row>
    <row r="59" spans="4:4" x14ac:dyDescent="0.25">
      <c r="D59" s="31"/>
    </row>
    <row r="60" spans="4:4" x14ac:dyDescent="0.25">
      <c r="D60" s="31"/>
    </row>
    <row r="61" spans="4:4" x14ac:dyDescent="0.25">
      <c r="D61" s="31"/>
    </row>
    <row r="62" spans="4:4" x14ac:dyDescent="0.25">
      <c r="D62" s="31"/>
    </row>
    <row r="63" spans="4:4" x14ac:dyDescent="0.25">
      <c r="D63" s="31"/>
    </row>
    <row r="64" spans="4:4" x14ac:dyDescent="0.25">
      <c r="D64" s="31"/>
    </row>
    <row r="65" spans="4:4" x14ac:dyDescent="0.25">
      <c r="D65" s="31"/>
    </row>
    <row r="66" spans="4:4" x14ac:dyDescent="0.25">
      <c r="D66" s="31"/>
    </row>
    <row r="67" spans="4:4" x14ac:dyDescent="0.25">
      <c r="D67" s="31"/>
    </row>
    <row r="68" spans="4:4" x14ac:dyDescent="0.25">
      <c r="D68" s="31"/>
    </row>
    <row r="69" spans="4:4" x14ac:dyDescent="0.25">
      <c r="D69" s="31"/>
    </row>
    <row r="70" spans="4:4" x14ac:dyDescent="0.25">
      <c r="D70" s="31"/>
    </row>
    <row r="71" spans="4:4" x14ac:dyDescent="0.25">
      <c r="D71" s="31"/>
    </row>
    <row r="72" spans="4:4" x14ac:dyDescent="0.25">
      <c r="D72" s="31"/>
    </row>
    <row r="73" spans="4:4" x14ac:dyDescent="0.25">
      <c r="D73" s="31"/>
    </row>
    <row r="74" spans="4:4" x14ac:dyDescent="0.25">
      <c r="D74" s="31"/>
    </row>
    <row r="75" spans="4:4" x14ac:dyDescent="0.25">
      <c r="D75" s="31"/>
    </row>
    <row r="76" spans="4:4" x14ac:dyDescent="0.25">
      <c r="D76" s="31"/>
    </row>
    <row r="77" spans="4:4" x14ac:dyDescent="0.25">
      <c r="D77" s="31"/>
    </row>
    <row r="78" spans="4:4" x14ac:dyDescent="0.25">
      <c r="D78" s="31"/>
    </row>
    <row r="79" spans="4:4" x14ac:dyDescent="0.25">
      <c r="D79" s="31"/>
    </row>
    <row r="80" spans="4:4" x14ac:dyDescent="0.25">
      <c r="D80" s="31"/>
    </row>
    <row r="81" spans="4:4" x14ac:dyDescent="0.25">
      <c r="D81" s="31"/>
    </row>
    <row r="82" spans="4:4" x14ac:dyDescent="0.25">
      <c r="D82" s="31"/>
    </row>
    <row r="83" spans="4:4" x14ac:dyDescent="0.25">
      <c r="D83" s="31"/>
    </row>
    <row r="84" spans="4:4" x14ac:dyDescent="0.25">
      <c r="D84" s="31"/>
    </row>
    <row r="85" spans="4:4" x14ac:dyDescent="0.25">
      <c r="D85" s="31"/>
    </row>
    <row r="86" spans="4:4" x14ac:dyDescent="0.25">
      <c r="D86" s="31"/>
    </row>
    <row r="87" spans="4:4" x14ac:dyDescent="0.25">
      <c r="D87" s="31"/>
    </row>
    <row r="88" spans="4:4" x14ac:dyDescent="0.25">
      <c r="D88" s="31"/>
    </row>
    <row r="89" spans="4:4" x14ac:dyDescent="0.25">
      <c r="D89" s="31"/>
    </row>
    <row r="90" spans="4:4" x14ac:dyDescent="0.25">
      <c r="D90" s="31"/>
    </row>
    <row r="91" spans="4:4" x14ac:dyDescent="0.25">
      <c r="D91" s="31"/>
    </row>
    <row r="92" spans="4:4" x14ac:dyDescent="0.25">
      <c r="D92" s="227"/>
    </row>
    <row r="93" spans="4:4" x14ac:dyDescent="0.25">
      <c r="D93" s="227"/>
    </row>
    <row r="94" spans="4:4" x14ac:dyDescent="0.25">
      <c r="D94" s="227"/>
    </row>
    <row r="95" spans="4:4" x14ac:dyDescent="0.25">
      <c r="D95" s="227"/>
    </row>
    <row r="96" spans="4:4" x14ac:dyDescent="0.25">
      <c r="D96" s="227"/>
    </row>
    <row r="97" spans="4:4" x14ac:dyDescent="0.25">
      <c r="D97" s="227"/>
    </row>
    <row r="98" spans="4:4" x14ac:dyDescent="0.25">
      <c r="D98" s="227"/>
    </row>
    <row r="99" spans="4:4" x14ac:dyDescent="0.25">
      <c r="D99" s="227"/>
    </row>
    <row r="100" spans="4:4" x14ac:dyDescent="0.25">
      <c r="D100" s="227"/>
    </row>
    <row r="101" spans="4:4" x14ac:dyDescent="0.25">
      <c r="D101" s="227"/>
    </row>
    <row r="102" spans="4:4" x14ac:dyDescent="0.25">
      <c r="D102" s="227"/>
    </row>
    <row r="103" spans="4:4" x14ac:dyDescent="0.25">
      <c r="D103" s="227"/>
    </row>
    <row r="104" spans="4:4" x14ac:dyDescent="0.25">
      <c r="D104" s="227"/>
    </row>
    <row r="105" spans="4:4" x14ac:dyDescent="0.25">
      <c r="D105" s="227"/>
    </row>
    <row r="106" spans="4:4" x14ac:dyDescent="0.25">
      <c r="D106" s="227"/>
    </row>
    <row r="107" spans="4:4" x14ac:dyDescent="0.25">
      <c r="D107" s="227"/>
    </row>
    <row r="108" spans="4:4" x14ac:dyDescent="0.25">
      <c r="D108" s="227"/>
    </row>
    <row r="109" spans="4:4" x14ac:dyDescent="0.25">
      <c r="D109" s="227"/>
    </row>
    <row r="110" spans="4:4" x14ac:dyDescent="0.25">
      <c r="D110" s="227"/>
    </row>
    <row r="111" spans="4:4" x14ac:dyDescent="0.25">
      <c r="D111" s="227"/>
    </row>
    <row r="112" spans="4:4" x14ac:dyDescent="0.25">
      <c r="D112" s="227"/>
    </row>
    <row r="113" spans="4:4" x14ac:dyDescent="0.25">
      <c r="D113" s="227"/>
    </row>
    <row r="114" spans="4:4" x14ac:dyDescent="0.25">
      <c r="D114" s="227"/>
    </row>
    <row r="115" spans="4:4" x14ac:dyDescent="0.25">
      <c r="D115" s="227"/>
    </row>
    <row r="116" spans="4:4" x14ac:dyDescent="0.25">
      <c r="D116" s="227"/>
    </row>
    <row r="117" spans="4:4" x14ac:dyDescent="0.25">
      <c r="D117" s="227"/>
    </row>
    <row r="118" spans="4:4" x14ac:dyDescent="0.25">
      <c r="D118" s="227"/>
    </row>
    <row r="119" spans="4:4" x14ac:dyDescent="0.25">
      <c r="D119" s="227"/>
    </row>
    <row r="120" spans="4:4" x14ac:dyDescent="0.25">
      <c r="D120" s="227"/>
    </row>
    <row r="121" spans="4:4" x14ac:dyDescent="0.25">
      <c r="D121" s="227"/>
    </row>
    <row r="122" spans="4:4" x14ac:dyDescent="0.25">
      <c r="D122" s="227"/>
    </row>
    <row r="123" spans="4:4" x14ac:dyDescent="0.25">
      <c r="D123" s="227"/>
    </row>
    <row r="124" spans="4:4" x14ac:dyDescent="0.25">
      <c r="D124" s="227"/>
    </row>
    <row r="125" spans="4:4" x14ac:dyDescent="0.25">
      <c r="D125" s="227"/>
    </row>
    <row r="126" spans="4:4" x14ac:dyDescent="0.25">
      <c r="D126" s="227"/>
    </row>
    <row r="127" spans="4:4" x14ac:dyDescent="0.25">
      <c r="D127" s="227"/>
    </row>
    <row r="128" spans="4:4" x14ac:dyDescent="0.25">
      <c r="D128" s="227"/>
    </row>
    <row r="129" spans="4:4" x14ac:dyDescent="0.25">
      <c r="D129" s="227"/>
    </row>
    <row r="130" spans="4:4" x14ac:dyDescent="0.25">
      <c r="D130" s="227"/>
    </row>
    <row r="131" spans="4:4" x14ac:dyDescent="0.25">
      <c r="D131" s="227"/>
    </row>
    <row r="132" spans="4:4" x14ac:dyDescent="0.25">
      <c r="D132" s="227"/>
    </row>
    <row r="133" spans="4:4" x14ac:dyDescent="0.25">
      <c r="D133" s="227"/>
    </row>
    <row r="134" spans="4:4" x14ac:dyDescent="0.25">
      <c r="D134" s="227"/>
    </row>
    <row r="135" spans="4:4" x14ac:dyDescent="0.25">
      <c r="D135" s="227"/>
    </row>
    <row r="136" spans="4:4" x14ac:dyDescent="0.25">
      <c r="D136" s="227"/>
    </row>
    <row r="137" spans="4:4" x14ac:dyDescent="0.25">
      <c r="D137" s="227"/>
    </row>
    <row r="138" spans="4:4" x14ac:dyDescent="0.25">
      <c r="D138" s="227"/>
    </row>
    <row r="139" spans="4:4" x14ac:dyDescent="0.25">
      <c r="D139" s="227"/>
    </row>
    <row r="140" spans="4:4" x14ac:dyDescent="0.25">
      <c r="D140" s="227"/>
    </row>
    <row r="141" spans="4:4" x14ac:dyDescent="0.25">
      <c r="D141" s="227"/>
    </row>
    <row r="142" spans="4:4" x14ac:dyDescent="0.25">
      <c r="D142" s="227"/>
    </row>
    <row r="143" spans="4:4" x14ac:dyDescent="0.25">
      <c r="D143" s="227"/>
    </row>
    <row r="144" spans="4:4" x14ac:dyDescent="0.25">
      <c r="D144" s="227"/>
    </row>
    <row r="145" spans="4:4" x14ac:dyDescent="0.25">
      <c r="D145" s="227"/>
    </row>
    <row r="146" spans="4:4" x14ac:dyDescent="0.25">
      <c r="D146" s="227"/>
    </row>
    <row r="147" spans="4:4" x14ac:dyDescent="0.25">
      <c r="D147" s="227"/>
    </row>
    <row r="148" spans="4:4" x14ac:dyDescent="0.25">
      <c r="D148" s="227"/>
    </row>
    <row r="149" spans="4:4" x14ac:dyDescent="0.25">
      <c r="D149" s="227"/>
    </row>
    <row r="150" spans="4:4" x14ac:dyDescent="0.25">
      <c r="D150" s="227"/>
    </row>
    <row r="151" spans="4:4" x14ac:dyDescent="0.25">
      <c r="D151" s="227"/>
    </row>
    <row r="152" spans="4:4" x14ac:dyDescent="0.25">
      <c r="D152" s="227"/>
    </row>
    <row r="153" spans="4:4" x14ac:dyDescent="0.25">
      <c r="D153" s="227"/>
    </row>
    <row r="154" spans="4:4" x14ac:dyDescent="0.25">
      <c r="D154" s="227"/>
    </row>
    <row r="155" spans="4:4" x14ac:dyDescent="0.25">
      <c r="D155" s="227"/>
    </row>
    <row r="156" spans="4:4" x14ac:dyDescent="0.25">
      <c r="D156" s="227"/>
    </row>
    <row r="157" spans="4:4" x14ac:dyDescent="0.25">
      <c r="D157" s="227"/>
    </row>
    <row r="158" spans="4:4" x14ac:dyDescent="0.25">
      <c r="D158" s="227"/>
    </row>
    <row r="159" spans="4:4" x14ac:dyDescent="0.25">
      <c r="D159" s="227"/>
    </row>
    <row r="160" spans="4:4" x14ac:dyDescent="0.25">
      <c r="D160" s="227"/>
    </row>
    <row r="161" spans="4:4" x14ac:dyDescent="0.25">
      <c r="D161" s="227"/>
    </row>
    <row r="162" spans="4:4" x14ac:dyDescent="0.25">
      <c r="D162" s="227"/>
    </row>
    <row r="163" spans="4:4" x14ac:dyDescent="0.25">
      <c r="D163" s="227"/>
    </row>
    <row r="164" spans="4:4" x14ac:dyDescent="0.25">
      <c r="D164" s="227"/>
    </row>
    <row r="165" spans="4:4" x14ac:dyDescent="0.25">
      <c r="D165" s="227"/>
    </row>
    <row r="166" spans="4:4" x14ac:dyDescent="0.25">
      <c r="D166" s="227"/>
    </row>
    <row r="167" spans="4:4" x14ac:dyDescent="0.25">
      <c r="D167" s="227"/>
    </row>
    <row r="168" spans="4:4" x14ac:dyDescent="0.25">
      <c r="D168" s="227"/>
    </row>
    <row r="169" spans="4:4" x14ac:dyDescent="0.25">
      <c r="D169" s="227"/>
    </row>
    <row r="170" spans="4:4" x14ac:dyDescent="0.25">
      <c r="D170" s="227"/>
    </row>
    <row r="171" spans="4:4" x14ac:dyDescent="0.25">
      <c r="D171" s="227"/>
    </row>
    <row r="172" spans="4:4" x14ac:dyDescent="0.25">
      <c r="D172" s="227"/>
    </row>
    <row r="173" spans="4:4" x14ac:dyDescent="0.25">
      <c r="D173" s="227"/>
    </row>
    <row r="174" spans="4:4" x14ac:dyDescent="0.25">
      <c r="D174" s="227"/>
    </row>
    <row r="175" spans="4:4" x14ac:dyDescent="0.25">
      <c r="D175" s="227"/>
    </row>
    <row r="176" spans="4:4" x14ac:dyDescent="0.25">
      <c r="D176" s="227"/>
    </row>
    <row r="177" spans="4:4" x14ac:dyDescent="0.25">
      <c r="D177" s="227"/>
    </row>
    <row r="178" spans="4:4" x14ac:dyDescent="0.25">
      <c r="D178" s="227"/>
    </row>
    <row r="179" spans="4:4" x14ac:dyDescent="0.25">
      <c r="D179" s="227"/>
    </row>
    <row r="180" spans="4:4" x14ac:dyDescent="0.25">
      <c r="D180" s="227"/>
    </row>
    <row r="181" spans="4:4" x14ac:dyDescent="0.25">
      <c r="D181" s="227"/>
    </row>
    <row r="182" spans="4:4" x14ac:dyDescent="0.25">
      <c r="D182" s="227"/>
    </row>
    <row r="183" spans="4:4" x14ac:dyDescent="0.25">
      <c r="D183" s="227"/>
    </row>
    <row r="184" spans="4:4" x14ac:dyDescent="0.25">
      <c r="D184" s="227"/>
    </row>
    <row r="185" spans="4:4" x14ac:dyDescent="0.25">
      <c r="D185" s="227"/>
    </row>
    <row r="186" spans="4:4" x14ac:dyDescent="0.25">
      <c r="D186" s="227"/>
    </row>
    <row r="187" spans="4:4" x14ac:dyDescent="0.25">
      <c r="D187" s="227"/>
    </row>
    <row r="188" spans="4:4" x14ac:dyDescent="0.25">
      <c r="D188" s="227"/>
    </row>
    <row r="189" spans="4:4" x14ac:dyDescent="0.25">
      <c r="D189" s="227"/>
    </row>
    <row r="190" spans="4:4" x14ac:dyDescent="0.25">
      <c r="D190" s="227"/>
    </row>
    <row r="191" spans="4:4" x14ac:dyDescent="0.25">
      <c r="D191" s="227"/>
    </row>
    <row r="192" spans="4:4" x14ac:dyDescent="0.25">
      <c r="D192" s="227"/>
    </row>
    <row r="193" spans="4:4" x14ac:dyDescent="0.25">
      <c r="D193" s="227"/>
    </row>
    <row r="194" spans="4:4" x14ac:dyDescent="0.25">
      <c r="D194" s="227"/>
    </row>
    <row r="195" spans="4:4" x14ac:dyDescent="0.25">
      <c r="D195" s="227"/>
    </row>
    <row r="196" spans="4:4" x14ac:dyDescent="0.25">
      <c r="D196" s="227"/>
    </row>
    <row r="197" spans="4:4" x14ac:dyDescent="0.25">
      <c r="D197" s="227"/>
    </row>
    <row r="198" spans="4:4" x14ac:dyDescent="0.25">
      <c r="D198" s="227"/>
    </row>
    <row r="199" spans="4:4" x14ac:dyDescent="0.25">
      <c r="D199" s="227"/>
    </row>
    <row r="200" spans="4:4" x14ac:dyDescent="0.25">
      <c r="D200" s="227"/>
    </row>
    <row r="201" spans="4:4" x14ac:dyDescent="0.25">
      <c r="D201" s="227"/>
    </row>
    <row r="202" spans="4:4" x14ac:dyDescent="0.25">
      <c r="D202" s="227"/>
    </row>
    <row r="203" spans="4:4" x14ac:dyDescent="0.25">
      <c r="D203" s="227"/>
    </row>
    <row r="204" spans="4:4" x14ac:dyDescent="0.25">
      <c r="D204" s="227"/>
    </row>
    <row r="205" spans="4:4" x14ac:dyDescent="0.25">
      <c r="D205" s="227"/>
    </row>
    <row r="206" spans="4:4" x14ac:dyDescent="0.25">
      <c r="D206" s="227"/>
    </row>
    <row r="207" spans="4:4" x14ac:dyDescent="0.25">
      <c r="D207" s="227"/>
    </row>
    <row r="208" spans="4:4" x14ac:dyDescent="0.25">
      <c r="D208" s="227"/>
    </row>
    <row r="209" spans="4:4" x14ac:dyDescent="0.25">
      <c r="D209" s="227"/>
    </row>
    <row r="210" spans="4:4" x14ac:dyDescent="0.25">
      <c r="D210" s="227"/>
    </row>
    <row r="211" spans="4:4" x14ac:dyDescent="0.25">
      <c r="D211" s="227"/>
    </row>
    <row r="212" spans="4:4" x14ac:dyDescent="0.25">
      <c r="D212" s="227"/>
    </row>
    <row r="213" spans="4:4" x14ac:dyDescent="0.25">
      <c r="D213" s="227"/>
    </row>
    <row r="214" spans="4:4" x14ac:dyDescent="0.25">
      <c r="D214" s="227"/>
    </row>
    <row r="215" spans="4:4" x14ac:dyDescent="0.25">
      <c r="D215" s="227"/>
    </row>
    <row r="216" spans="4:4" x14ac:dyDescent="0.25">
      <c r="D216" s="227"/>
    </row>
    <row r="217" spans="4:4" x14ac:dyDescent="0.25">
      <c r="D217" s="227"/>
    </row>
    <row r="218" spans="4:4" x14ac:dyDescent="0.25">
      <c r="D218" s="227"/>
    </row>
    <row r="219" spans="4:4" x14ac:dyDescent="0.25">
      <c r="D219" s="227"/>
    </row>
    <row r="220" spans="4:4" x14ac:dyDescent="0.25">
      <c r="D220" s="227"/>
    </row>
    <row r="221" spans="4:4" x14ac:dyDescent="0.25">
      <c r="D221" s="227"/>
    </row>
    <row r="222" spans="4:4" x14ac:dyDescent="0.25">
      <c r="D222" s="227"/>
    </row>
    <row r="223" spans="4:4" x14ac:dyDescent="0.25">
      <c r="D223" s="227"/>
    </row>
    <row r="224" spans="4:4" x14ac:dyDescent="0.25">
      <c r="D224" s="227"/>
    </row>
    <row r="225" spans="4:4" x14ac:dyDescent="0.25">
      <c r="D225" s="227"/>
    </row>
    <row r="226" spans="4:4" x14ac:dyDescent="0.25">
      <c r="D226" s="227"/>
    </row>
    <row r="227" spans="4:4" x14ac:dyDescent="0.25">
      <c r="D227" s="227"/>
    </row>
    <row r="228" spans="4:4" x14ac:dyDescent="0.25">
      <c r="D228" s="227"/>
    </row>
    <row r="229" spans="4:4" x14ac:dyDescent="0.25">
      <c r="D229" s="227"/>
    </row>
    <row r="230" spans="4:4" x14ac:dyDescent="0.25">
      <c r="D230" s="227"/>
    </row>
    <row r="231" spans="4:4" x14ac:dyDescent="0.25">
      <c r="D231" s="227"/>
    </row>
    <row r="232" spans="4:4" x14ac:dyDescent="0.25">
      <c r="D232" s="227"/>
    </row>
    <row r="233" spans="4:4" x14ac:dyDescent="0.25">
      <c r="D233" s="227"/>
    </row>
    <row r="234" spans="4:4" x14ac:dyDescent="0.25">
      <c r="D234" s="227"/>
    </row>
    <row r="235" spans="4:4" x14ac:dyDescent="0.25">
      <c r="D235" s="227"/>
    </row>
    <row r="236" spans="4:4" x14ac:dyDescent="0.25">
      <c r="D236" s="227"/>
    </row>
    <row r="237" spans="4:4" x14ac:dyDescent="0.25">
      <c r="D237" s="227"/>
    </row>
    <row r="238" spans="4:4" x14ac:dyDescent="0.25">
      <c r="D238" s="227"/>
    </row>
    <row r="239" spans="4:4" x14ac:dyDescent="0.25">
      <c r="D239" s="227"/>
    </row>
    <row r="240" spans="4:4" x14ac:dyDescent="0.25">
      <c r="D240" s="227"/>
    </row>
    <row r="241" spans="4:4" x14ac:dyDescent="0.25">
      <c r="D241" s="227"/>
    </row>
    <row r="242" spans="4:4" x14ac:dyDescent="0.25">
      <c r="D242" s="227"/>
    </row>
    <row r="243" spans="4:4" x14ac:dyDescent="0.25">
      <c r="D243" s="227"/>
    </row>
    <row r="244" spans="4:4" x14ac:dyDescent="0.25">
      <c r="D244" s="227"/>
    </row>
    <row r="245" spans="4:4" x14ac:dyDescent="0.25">
      <c r="D245" s="227"/>
    </row>
    <row r="246" spans="4:4" x14ac:dyDescent="0.25">
      <c r="D246" s="227"/>
    </row>
    <row r="247" spans="4:4" x14ac:dyDescent="0.25">
      <c r="D247" s="227"/>
    </row>
    <row r="248" spans="4:4" x14ac:dyDescent="0.25">
      <c r="D248" s="227"/>
    </row>
    <row r="249" spans="4:4" x14ac:dyDescent="0.25">
      <c r="D249" s="227"/>
    </row>
    <row r="250" spans="4:4" x14ac:dyDescent="0.25">
      <c r="D250" s="227"/>
    </row>
    <row r="251" spans="4:4" x14ac:dyDescent="0.25">
      <c r="D251" s="227"/>
    </row>
    <row r="252" spans="4:4" x14ac:dyDescent="0.25">
      <c r="D252" s="227"/>
    </row>
    <row r="253" spans="4:4" x14ac:dyDescent="0.25">
      <c r="D253" s="227"/>
    </row>
    <row r="254" spans="4:4" x14ac:dyDescent="0.25">
      <c r="D254" s="227"/>
    </row>
    <row r="255" spans="4:4" x14ac:dyDescent="0.25">
      <c r="D255" s="227"/>
    </row>
    <row r="256" spans="4:4" x14ac:dyDescent="0.25">
      <c r="D256" s="227"/>
    </row>
    <row r="257" spans="4:4" x14ac:dyDescent="0.25">
      <c r="D257" s="227"/>
    </row>
    <row r="258" spans="4:4" x14ac:dyDescent="0.25">
      <c r="D258" s="227"/>
    </row>
    <row r="259" spans="4:4" x14ac:dyDescent="0.25">
      <c r="D259" s="227"/>
    </row>
    <row r="260" spans="4:4" x14ac:dyDescent="0.25">
      <c r="D260" s="227"/>
    </row>
    <row r="261" spans="4:4" x14ac:dyDescent="0.25">
      <c r="D261" s="227"/>
    </row>
    <row r="262" spans="4:4" x14ac:dyDescent="0.25">
      <c r="D262" s="227"/>
    </row>
    <row r="263" spans="4:4" x14ac:dyDescent="0.25">
      <c r="D263" s="227"/>
    </row>
    <row r="264" spans="4:4" x14ac:dyDescent="0.25">
      <c r="D264" s="227"/>
    </row>
    <row r="265" spans="4:4" x14ac:dyDescent="0.25">
      <c r="D265" s="227"/>
    </row>
    <row r="266" spans="4:4" x14ac:dyDescent="0.25">
      <c r="D266" s="227"/>
    </row>
    <row r="267" spans="4:4" x14ac:dyDescent="0.25">
      <c r="D267" s="227"/>
    </row>
    <row r="268" spans="4:4" x14ac:dyDescent="0.25">
      <c r="D268" s="227"/>
    </row>
    <row r="269" spans="4:4" x14ac:dyDescent="0.25">
      <c r="D269" s="227"/>
    </row>
    <row r="270" spans="4:4" x14ac:dyDescent="0.25">
      <c r="D270" s="227"/>
    </row>
    <row r="271" spans="4:4" x14ac:dyDescent="0.25">
      <c r="D271" s="227"/>
    </row>
    <row r="272" spans="4:4" x14ac:dyDescent="0.25">
      <c r="D272" s="227"/>
    </row>
    <row r="273" spans="4:4" x14ac:dyDescent="0.25">
      <c r="D273" s="227"/>
    </row>
    <row r="274" spans="4:4" x14ac:dyDescent="0.25">
      <c r="D274" s="227"/>
    </row>
    <row r="275" spans="4:4" x14ac:dyDescent="0.25">
      <c r="D275" s="227"/>
    </row>
    <row r="276" spans="4:4" x14ac:dyDescent="0.25">
      <c r="D276" s="227"/>
    </row>
    <row r="277" spans="4:4" x14ac:dyDescent="0.25">
      <c r="D277" s="227"/>
    </row>
    <row r="278" spans="4:4" x14ac:dyDescent="0.25">
      <c r="D278" s="227"/>
    </row>
    <row r="279" spans="4:4" x14ac:dyDescent="0.25">
      <c r="D279" s="227"/>
    </row>
    <row r="280" spans="4:4" x14ac:dyDescent="0.25">
      <c r="D280" s="227"/>
    </row>
    <row r="281" spans="4:4" x14ac:dyDescent="0.25">
      <c r="D281" s="227"/>
    </row>
    <row r="282" spans="4:4" x14ac:dyDescent="0.25">
      <c r="D282" s="227"/>
    </row>
    <row r="283" spans="4:4" x14ac:dyDescent="0.25">
      <c r="D283" s="227"/>
    </row>
    <row r="284" spans="4:4" x14ac:dyDescent="0.25">
      <c r="D284" s="227"/>
    </row>
    <row r="285" spans="4:4" x14ac:dyDescent="0.25">
      <c r="D285" s="227"/>
    </row>
    <row r="286" spans="4:4" x14ac:dyDescent="0.25">
      <c r="D286" s="227"/>
    </row>
    <row r="287" spans="4:4" x14ac:dyDescent="0.25">
      <c r="D287" s="227"/>
    </row>
    <row r="288" spans="4:4" x14ac:dyDescent="0.25">
      <c r="D288" s="227"/>
    </row>
    <row r="289" spans="4:4" x14ac:dyDescent="0.25">
      <c r="D289" s="227"/>
    </row>
    <row r="290" spans="4:4" x14ac:dyDescent="0.25">
      <c r="D290" s="227"/>
    </row>
    <row r="291" spans="4:4" x14ac:dyDescent="0.25">
      <c r="D291" s="227"/>
    </row>
    <row r="292" spans="4:4" x14ac:dyDescent="0.25">
      <c r="D292" s="227"/>
    </row>
    <row r="293" spans="4:4" x14ac:dyDescent="0.25">
      <c r="D293" s="227"/>
    </row>
    <row r="294" spans="4:4" x14ac:dyDescent="0.25">
      <c r="D294" s="227"/>
    </row>
    <row r="295" spans="4:4" x14ac:dyDescent="0.25">
      <c r="D295" s="227"/>
    </row>
    <row r="296" spans="4:4" x14ac:dyDescent="0.25">
      <c r="D296" s="227"/>
    </row>
    <row r="297" spans="4:4" x14ac:dyDescent="0.25">
      <c r="D297" s="227"/>
    </row>
    <row r="298" spans="4:4" x14ac:dyDescent="0.25">
      <c r="D298" s="227"/>
    </row>
    <row r="299" spans="4:4" x14ac:dyDescent="0.25">
      <c r="D299" s="227"/>
    </row>
    <row r="300" spans="4:4" x14ac:dyDescent="0.25">
      <c r="D300" s="227"/>
    </row>
    <row r="301" spans="4:4" x14ac:dyDescent="0.25">
      <c r="D301" s="227"/>
    </row>
    <row r="302" spans="4:4" x14ac:dyDescent="0.25">
      <c r="D302" s="227"/>
    </row>
    <row r="303" spans="4:4" x14ac:dyDescent="0.25">
      <c r="D303" s="227"/>
    </row>
    <row r="304" spans="4:4" x14ac:dyDescent="0.25">
      <c r="D304" s="227"/>
    </row>
    <row r="305" spans="4:4" x14ac:dyDescent="0.25">
      <c r="D305" s="227"/>
    </row>
    <row r="306" spans="4:4" x14ac:dyDescent="0.25">
      <c r="D306" s="227"/>
    </row>
    <row r="307" spans="4:4" x14ac:dyDescent="0.25">
      <c r="D307" s="227"/>
    </row>
    <row r="308" spans="4:4" x14ac:dyDescent="0.25">
      <c r="D308" s="227"/>
    </row>
    <row r="309" spans="4:4" x14ac:dyDescent="0.25">
      <c r="D309" s="227"/>
    </row>
    <row r="310" spans="4:4" x14ac:dyDescent="0.25">
      <c r="D310" s="227"/>
    </row>
    <row r="311" spans="4:4" x14ac:dyDescent="0.25">
      <c r="D311" s="227"/>
    </row>
    <row r="312" spans="4:4" x14ac:dyDescent="0.25">
      <c r="D312" s="227"/>
    </row>
    <row r="313" spans="4:4" x14ac:dyDescent="0.25">
      <c r="D313" s="227"/>
    </row>
    <row r="314" spans="4:4" x14ac:dyDescent="0.25">
      <c r="D314" s="227"/>
    </row>
    <row r="315" spans="4:4" x14ac:dyDescent="0.25">
      <c r="D315" s="227"/>
    </row>
    <row r="316" spans="4:4" x14ac:dyDescent="0.25">
      <c r="D316" s="227"/>
    </row>
    <row r="317" spans="4:4" x14ac:dyDescent="0.25">
      <c r="D317" s="227"/>
    </row>
    <row r="318" spans="4:4" x14ac:dyDescent="0.25">
      <c r="D318" s="227"/>
    </row>
    <row r="319" spans="4:4" x14ac:dyDescent="0.25">
      <c r="D319" s="227"/>
    </row>
    <row r="320" spans="4:4" x14ac:dyDescent="0.25">
      <c r="D320" s="227"/>
    </row>
    <row r="321" spans="4:4" x14ac:dyDescent="0.25">
      <c r="D321" s="227"/>
    </row>
    <row r="322" spans="4:4" x14ac:dyDescent="0.25">
      <c r="D322" s="227"/>
    </row>
    <row r="323" spans="4:4" x14ac:dyDescent="0.25">
      <c r="D323" s="227"/>
    </row>
    <row r="324" spans="4:4" x14ac:dyDescent="0.25">
      <c r="D324" s="227"/>
    </row>
    <row r="325" spans="4:4" x14ac:dyDescent="0.25">
      <c r="D325" s="227"/>
    </row>
    <row r="326" spans="4:4" x14ac:dyDescent="0.25">
      <c r="D326" s="227"/>
    </row>
    <row r="327" spans="4:4" x14ac:dyDescent="0.25">
      <c r="D327" s="227"/>
    </row>
    <row r="328" spans="4:4" x14ac:dyDescent="0.25">
      <c r="D328" s="227"/>
    </row>
    <row r="329" spans="4:4" x14ac:dyDescent="0.25">
      <c r="D329" s="227"/>
    </row>
    <row r="330" spans="4:4" x14ac:dyDescent="0.25">
      <c r="D330" s="227"/>
    </row>
    <row r="331" spans="4:4" x14ac:dyDescent="0.25">
      <c r="D331" s="227"/>
    </row>
    <row r="332" spans="4:4" x14ac:dyDescent="0.25">
      <c r="D332" s="227"/>
    </row>
    <row r="333" spans="4:4" x14ac:dyDescent="0.25">
      <c r="D333" s="227"/>
    </row>
    <row r="334" spans="4:4" x14ac:dyDescent="0.25">
      <c r="D334" s="227"/>
    </row>
    <row r="335" spans="4:4" x14ac:dyDescent="0.25">
      <c r="D335" s="227"/>
    </row>
    <row r="336" spans="4:4" x14ac:dyDescent="0.25">
      <c r="D336" s="227"/>
    </row>
    <row r="337" spans="4:4" x14ac:dyDescent="0.25">
      <c r="D337" s="227"/>
    </row>
    <row r="338" spans="4:4" x14ac:dyDescent="0.25">
      <c r="D338" s="227"/>
    </row>
    <row r="339" spans="4:4" x14ac:dyDescent="0.25">
      <c r="D339" s="227"/>
    </row>
    <row r="340" spans="4:4" x14ac:dyDescent="0.25">
      <c r="D340" s="227"/>
    </row>
    <row r="341" spans="4:4" x14ac:dyDescent="0.25">
      <c r="D341" s="227"/>
    </row>
    <row r="342" spans="4:4" x14ac:dyDescent="0.25">
      <c r="D342" s="227"/>
    </row>
    <row r="343" spans="4:4" x14ac:dyDescent="0.25">
      <c r="D343" s="227"/>
    </row>
    <row r="344" spans="4:4" x14ac:dyDescent="0.25">
      <c r="D344" s="227"/>
    </row>
    <row r="345" spans="4:4" x14ac:dyDescent="0.25">
      <c r="D345" s="227"/>
    </row>
    <row r="346" spans="4:4" x14ac:dyDescent="0.25">
      <c r="D346" s="227"/>
    </row>
    <row r="347" spans="4:4" x14ac:dyDescent="0.25">
      <c r="D347" s="227"/>
    </row>
    <row r="348" spans="4:4" x14ac:dyDescent="0.25">
      <c r="D348" s="227"/>
    </row>
    <row r="349" spans="4:4" x14ac:dyDescent="0.25">
      <c r="D349" s="227"/>
    </row>
    <row r="350" spans="4:4" x14ac:dyDescent="0.25">
      <c r="D350" s="227"/>
    </row>
    <row r="351" spans="4:4" x14ac:dyDescent="0.25">
      <c r="D351" s="227"/>
    </row>
    <row r="352" spans="4:4" x14ac:dyDescent="0.25">
      <c r="D352" s="227"/>
    </row>
    <row r="353" spans="4:4" x14ac:dyDescent="0.25">
      <c r="D353" s="227"/>
    </row>
    <row r="354" spans="4:4" x14ac:dyDescent="0.25">
      <c r="D354" s="227"/>
    </row>
    <row r="355" spans="4:4" x14ac:dyDescent="0.25">
      <c r="D355" s="227"/>
    </row>
    <row r="356" spans="4:4" x14ac:dyDescent="0.25">
      <c r="D356" s="227"/>
    </row>
    <row r="357" spans="4:4" x14ac:dyDescent="0.25">
      <c r="D357" s="227"/>
    </row>
    <row r="358" spans="4:4" x14ac:dyDescent="0.25">
      <c r="D358" s="227"/>
    </row>
    <row r="359" spans="4:4" x14ac:dyDescent="0.25">
      <c r="D359" s="227"/>
    </row>
    <row r="360" spans="4:4" x14ac:dyDescent="0.25">
      <c r="D360" s="227"/>
    </row>
    <row r="361" spans="4:4" x14ac:dyDescent="0.25">
      <c r="D361" s="227"/>
    </row>
    <row r="362" spans="4:4" x14ac:dyDescent="0.25">
      <c r="D362" s="227"/>
    </row>
    <row r="363" spans="4:4" x14ac:dyDescent="0.25">
      <c r="D363" s="227"/>
    </row>
    <row r="364" spans="4:4" x14ac:dyDescent="0.25">
      <c r="D364" s="227"/>
    </row>
    <row r="365" spans="4:4" x14ac:dyDescent="0.25">
      <c r="D365" s="227"/>
    </row>
    <row r="366" spans="4:4" x14ac:dyDescent="0.25">
      <c r="D366" s="227"/>
    </row>
    <row r="367" spans="4:4" x14ac:dyDescent="0.25">
      <c r="D367" s="227"/>
    </row>
    <row r="368" spans="4:4" x14ac:dyDescent="0.25">
      <c r="D368" s="227"/>
    </row>
    <row r="369" spans="4:4" x14ac:dyDescent="0.25">
      <c r="D369" s="227"/>
    </row>
    <row r="370" spans="4:4" x14ac:dyDescent="0.25">
      <c r="D370" s="227"/>
    </row>
    <row r="371" spans="4:4" x14ac:dyDescent="0.25">
      <c r="D371" s="227"/>
    </row>
    <row r="372" spans="4:4" x14ac:dyDescent="0.25">
      <c r="D372" s="227"/>
    </row>
    <row r="373" spans="4:4" x14ac:dyDescent="0.25">
      <c r="D373" s="227"/>
    </row>
    <row r="374" spans="4:4" x14ac:dyDescent="0.25">
      <c r="D374" s="227"/>
    </row>
    <row r="375" spans="4:4" x14ac:dyDescent="0.25">
      <c r="D375" s="227"/>
    </row>
    <row r="376" spans="4:4" x14ac:dyDescent="0.25">
      <c r="D376" s="227"/>
    </row>
    <row r="377" spans="4:4" x14ac:dyDescent="0.25">
      <c r="D377" s="227"/>
    </row>
    <row r="378" spans="4:4" x14ac:dyDescent="0.25">
      <c r="D378" s="227"/>
    </row>
    <row r="379" spans="4:4" x14ac:dyDescent="0.25">
      <c r="D379" s="227"/>
    </row>
    <row r="380" spans="4:4" x14ac:dyDescent="0.25">
      <c r="D380" s="227"/>
    </row>
    <row r="381" spans="4:4" x14ac:dyDescent="0.25">
      <c r="D381" s="227"/>
    </row>
    <row r="382" spans="4:4" x14ac:dyDescent="0.25">
      <c r="D382" s="227"/>
    </row>
    <row r="383" spans="4:4" x14ac:dyDescent="0.25">
      <c r="D383" s="227"/>
    </row>
    <row r="384" spans="4:4" x14ac:dyDescent="0.25">
      <c r="D384" s="227"/>
    </row>
    <row r="385" spans="4:4" x14ac:dyDescent="0.25">
      <c r="D385" s="227"/>
    </row>
    <row r="386" spans="4:4" x14ac:dyDescent="0.25">
      <c r="D386" s="227"/>
    </row>
    <row r="387" spans="4:4" x14ac:dyDescent="0.25">
      <c r="D387" s="227"/>
    </row>
    <row r="388" spans="4:4" x14ac:dyDescent="0.25">
      <c r="D388" s="227"/>
    </row>
    <row r="389" spans="4:4" x14ac:dyDescent="0.25">
      <c r="D389" s="227"/>
    </row>
    <row r="390" spans="4:4" x14ac:dyDescent="0.25">
      <c r="D390" s="227"/>
    </row>
    <row r="391" spans="4:4" x14ac:dyDescent="0.25">
      <c r="D391" s="227"/>
    </row>
    <row r="392" spans="4:4" x14ac:dyDescent="0.25">
      <c r="D392" s="227"/>
    </row>
    <row r="393" spans="4:4" x14ac:dyDescent="0.25">
      <c r="D393" s="227"/>
    </row>
    <row r="394" spans="4:4" x14ac:dyDescent="0.25">
      <c r="D394" s="227"/>
    </row>
    <row r="395" spans="4:4" x14ac:dyDescent="0.25">
      <c r="D395" s="227"/>
    </row>
    <row r="396" spans="4:4" x14ac:dyDescent="0.25">
      <c r="D396" s="227"/>
    </row>
    <row r="397" spans="4:4" x14ac:dyDescent="0.25">
      <c r="D397" s="227"/>
    </row>
    <row r="398" spans="4:4" x14ac:dyDescent="0.25">
      <c r="D398" s="227"/>
    </row>
    <row r="399" spans="4:4" x14ac:dyDescent="0.25">
      <c r="D399" s="227"/>
    </row>
    <row r="400" spans="4:4" x14ac:dyDescent="0.25">
      <c r="D400" s="227"/>
    </row>
    <row r="401" spans="4:4" x14ac:dyDescent="0.25">
      <c r="D401" s="227"/>
    </row>
    <row r="402" spans="4:4" x14ac:dyDescent="0.25">
      <c r="D402" s="227"/>
    </row>
    <row r="403" spans="4:4" x14ac:dyDescent="0.25">
      <c r="D403" s="227"/>
    </row>
    <row r="404" spans="4:4" x14ac:dyDescent="0.25">
      <c r="D404" s="227"/>
    </row>
    <row r="405" spans="4:4" x14ac:dyDescent="0.25">
      <c r="D405" s="227"/>
    </row>
    <row r="406" spans="4:4" x14ac:dyDescent="0.25">
      <c r="D406" s="227"/>
    </row>
    <row r="407" spans="4:4" x14ac:dyDescent="0.25">
      <c r="D407" s="227"/>
    </row>
    <row r="408" spans="4:4" x14ac:dyDescent="0.25">
      <c r="D408" s="227"/>
    </row>
    <row r="409" spans="4:4" x14ac:dyDescent="0.25">
      <c r="D409" s="227"/>
    </row>
    <row r="410" spans="4:4" x14ac:dyDescent="0.25">
      <c r="D410" s="227"/>
    </row>
    <row r="411" spans="4:4" x14ac:dyDescent="0.25">
      <c r="D411" s="227"/>
    </row>
    <row r="412" spans="4:4" x14ac:dyDescent="0.25">
      <c r="D412" s="227"/>
    </row>
    <row r="413" spans="4:4" x14ac:dyDescent="0.25">
      <c r="D413" s="227"/>
    </row>
    <row r="414" spans="4:4" x14ac:dyDescent="0.25">
      <c r="D414" s="227"/>
    </row>
    <row r="415" spans="4:4" x14ac:dyDescent="0.25">
      <c r="D415" s="227"/>
    </row>
    <row r="416" spans="4:4" x14ac:dyDescent="0.25">
      <c r="D416" s="227"/>
    </row>
    <row r="417" spans="4:4" x14ac:dyDescent="0.25">
      <c r="D417" s="227"/>
    </row>
    <row r="418" spans="4:4" x14ac:dyDescent="0.25">
      <c r="D418" s="227"/>
    </row>
    <row r="419" spans="4:4" x14ac:dyDescent="0.25">
      <c r="D419" s="227"/>
    </row>
    <row r="420" spans="4:4" x14ac:dyDescent="0.25">
      <c r="D420" s="227"/>
    </row>
    <row r="421" spans="4:4" x14ac:dyDescent="0.25">
      <c r="D421" s="227"/>
    </row>
    <row r="422" spans="4:4" x14ac:dyDescent="0.25">
      <c r="D422" s="227"/>
    </row>
    <row r="423" spans="4:4" x14ac:dyDescent="0.25">
      <c r="D423" s="227"/>
    </row>
    <row r="424" spans="4:4" x14ac:dyDescent="0.25">
      <c r="D424" s="227"/>
    </row>
    <row r="425" spans="4:4" x14ac:dyDescent="0.25">
      <c r="D425" s="227"/>
    </row>
    <row r="426" spans="4:4" x14ac:dyDescent="0.25">
      <c r="D426" s="227"/>
    </row>
    <row r="427" spans="4:4" x14ac:dyDescent="0.25">
      <c r="D427" s="227"/>
    </row>
    <row r="428" spans="4:4" x14ac:dyDescent="0.25">
      <c r="D428" s="227"/>
    </row>
    <row r="429" spans="4:4" x14ac:dyDescent="0.25">
      <c r="D429" s="227"/>
    </row>
    <row r="430" spans="4:4" x14ac:dyDescent="0.25">
      <c r="D430" s="227"/>
    </row>
    <row r="431" spans="4:4" x14ac:dyDescent="0.25">
      <c r="D431" s="227"/>
    </row>
    <row r="432" spans="4:4" x14ac:dyDescent="0.25">
      <c r="D432" s="227"/>
    </row>
    <row r="433" spans="4:4" x14ac:dyDescent="0.25">
      <c r="D433" s="227"/>
    </row>
    <row r="434" spans="4:4" x14ac:dyDescent="0.25">
      <c r="D434" s="227"/>
    </row>
    <row r="435" spans="4:4" x14ac:dyDescent="0.25">
      <c r="D435" s="227"/>
    </row>
    <row r="436" spans="4:4" x14ac:dyDescent="0.25">
      <c r="D436" s="227"/>
    </row>
    <row r="437" spans="4:4" x14ac:dyDescent="0.25">
      <c r="D437" s="227"/>
    </row>
    <row r="438" spans="4:4" x14ac:dyDescent="0.25">
      <c r="D438" s="227"/>
    </row>
    <row r="439" spans="4:4" x14ac:dyDescent="0.25">
      <c r="D439" s="227"/>
    </row>
    <row r="440" spans="4:4" x14ac:dyDescent="0.25">
      <c r="D440" s="227"/>
    </row>
    <row r="441" spans="4:4" x14ac:dyDescent="0.25">
      <c r="D441" s="227"/>
    </row>
    <row r="442" spans="4:4" x14ac:dyDescent="0.25">
      <c r="D442" s="227"/>
    </row>
    <row r="443" spans="4:4" x14ac:dyDescent="0.25">
      <c r="D443" s="227"/>
    </row>
    <row r="444" spans="4:4" x14ac:dyDescent="0.25">
      <c r="D444" s="227"/>
    </row>
    <row r="445" spans="4:4" x14ac:dyDescent="0.25">
      <c r="D445" s="227"/>
    </row>
    <row r="446" spans="4:4" x14ac:dyDescent="0.25">
      <c r="D446" s="227"/>
    </row>
    <row r="447" spans="4:4" x14ac:dyDescent="0.25">
      <c r="D447" s="227"/>
    </row>
    <row r="448" spans="4:4" x14ac:dyDescent="0.25">
      <c r="D448" s="227"/>
    </row>
    <row r="449" spans="4:4" x14ac:dyDescent="0.25">
      <c r="D449" s="227"/>
    </row>
    <row r="450" spans="4:4" x14ac:dyDescent="0.25">
      <c r="D450" s="227"/>
    </row>
    <row r="451" spans="4:4" x14ac:dyDescent="0.25">
      <c r="D451" s="227"/>
    </row>
    <row r="452" spans="4:4" x14ac:dyDescent="0.25">
      <c r="D452" s="227"/>
    </row>
    <row r="453" spans="4:4" x14ac:dyDescent="0.25">
      <c r="D453" s="227"/>
    </row>
    <row r="454" spans="4:4" x14ac:dyDescent="0.25">
      <c r="D454" s="227"/>
    </row>
    <row r="455" spans="4:4" x14ac:dyDescent="0.25">
      <c r="D455" s="227"/>
    </row>
    <row r="456" spans="4:4" x14ac:dyDescent="0.25">
      <c r="D456" s="227"/>
    </row>
    <row r="457" spans="4:4" x14ac:dyDescent="0.25">
      <c r="D457" s="227"/>
    </row>
    <row r="458" spans="4:4" x14ac:dyDescent="0.25">
      <c r="D458" s="227"/>
    </row>
    <row r="459" spans="4:4" x14ac:dyDescent="0.25">
      <c r="D459" s="227"/>
    </row>
    <row r="460" spans="4:4" x14ac:dyDescent="0.25">
      <c r="D460" s="227"/>
    </row>
    <row r="461" spans="4:4" x14ac:dyDescent="0.25">
      <c r="D461" s="227"/>
    </row>
    <row r="462" spans="4:4" x14ac:dyDescent="0.25">
      <c r="D462" s="227"/>
    </row>
    <row r="463" spans="4:4" x14ac:dyDescent="0.25">
      <c r="D463" s="227"/>
    </row>
    <row r="464" spans="4:4" x14ac:dyDescent="0.25">
      <c r="D464" s="227"/>
    </row>
    <row r="465" spans="4:4" x14ac:dyDescent="0.25">
      <c r="D465" s="227"/>
    </row>
    <row r="466" spans="4:4" x14ac:dyDescent="0.25">
      <c r="D466" s="227"/>
    </row>
    <row r="467" spans="4:4" x14ac:dyDescent="0.25">
      <c r="D467" s="227"/>
    </row>
    <row r="468" spans="4:4" x14ac:dyDescent="0.25">
      <c r="D468" s="227"/>
    </row>
    <row r="469" spans="4:4" x14ac:dyDescent="0.25">
      <c r="D469" s="227"/>
    </row>
    <row r="470" spans="4:4" x14ac:dyDescent="0.25">
      <c r="D470" s="227"/>
    </row>
    <row r="471" spans="4:4" x14ac:dyDescent="0.25">
      <c r="D471" s="227"/>
    </row>
    <row r="472" spans="4:4" x14ac:dyDescent="0.25">
      <c r="D472" s="227"/>
    </row>
    <row r="473" spans="4:4" x14ac:dyDescent="0.25">
      <c r="D473" s="227"/>
    </row>
    <row r="474" spans="4:4" x14ac:dyDescent="0.25">
      <c r="D474" s="227"/>
    </row>
    <row r="475" spans="4:4" x14ac:dyDescent="0.25">
      <c r="D475" s="227"/>
    </row>
    <row r="476" spans="4:4" x14ac:dyDescent="0.25">
      <c r="D476" s="227"/>
    </row>
    <row r="477" spans="4:4" x14ac:dyDescent="0.25">
      <c r="D477" s="227"/>
    </row>
    <row r="478" spans="4:4" x14ac:dyDescent="0.25">
      <c r="D478" s="227"/>
    </row>
    <row r="479" spans="4:4" x14ac:dyDescent="0.25">
      <c r="D479" s="227"/>
    </row>
    <row r="480" spans="4:4" x14ac:dyDescent="0.25">
      <c r="D480" s="227"/>
    </row>
    <row r="481" spans="4:4" x14ac:dyDescent="0.25">
      <c r="D481" s="227"/>
    </row>
    <row r="482" spans="4:4" x14ac:dyDescent="0.25">
      <c r="D482" s="227"/>
    </row>
    <row r="483" spans="4:4" x14ac:dyDescent="0.25">
      <c r="D483" s="227"/>
    </row>
    <row r="484" spans="4:4" x14ac:dyDescent="0.25">
      <c r="D484" s="227"/>
    </row>
    <row r="485" spans="4:4" x14ac:dyDescent="0.25">
      <c r="D485" s="227"/>
    </row>
    <row r="486" spans="4:4" x14ac:dyDescent="0.25">
      <c r="D486" s="227"/>
    </row>
    <row r="487" spans="4:4" x14ac:dyDescent="0.25">
      <c r="D487" s="227"/>
    </row>
    <row r="488" spans="4:4" x14ac:dyDescent="0.25">
      <c r="D488" s="227"/>
    </row>
    <row r="489" spans="4:4" x14ac:dyDescent="0.25">
      <c r="D489" s="227"/>
    </row>
    <row r="490" spans="4:4" x14ac:dyDescent="0.25">
      <c r="D490" s="227"/>
    </row>
    <row r="491" spans="4:4" x14ac:dyDescent="0.25">
      <c r="D491" s="227"/>
    </row>
    <row r="492" spans="4:4" x14ac:dyDescent="0.25">
      <c r="D492" s="227"/>
    </row>
    <row r="493" spans="4:4" x14ac:dyDescent="0.25">
      <c r="D493" s="227"/>
    </row>
    <row r="494" spans="4:4" x14ac:dyDescent="0.25">
      <c r="D494" s="227"/>
    </row>
    <row r="495" spans="4:4" x14ac:dyDescent="0.25">
      <c r="D495" s="227"/>
    </row>
    <row r="496" spans="4:4" x14ac:dyDescent="0.25">
      <c r="D496" s="227"/>
    </row>
    <row r="497" spans="4:4" x14ac:dyDescent="0.25">
      <c r="D497" s="227"/>
    </row>
    <row r="498" spans="4:4" x14ac:dyDescent="0.25">
      <c r="D498" s="227"/>
    </row>
    <row r="499" spans="4:4" x14ac:dyDescent="0.25">
      <c r="D499" s="227"/>
    </row>
    <row r="500" spans="4:4" x14ac:dyDescent="0.25">
      <c r="D500" s="227"/>
    </row>
    <row r="501" spans="4:4" x14ac:dyDescent="0.25">
      <c r="D501" s="227"/>
    </row>
    <row r="502" spans="4:4" x14ac:dyDescent="0.25">
      <c r="D502" s="227"/>
    </row>
    <row r="503" spans="4:4" x14ac:dyDescent="0.25">
      <c r="D503" s="227"/>
    </row>
    <row r="504" spans="4:4" x14ac:dyDescent="0.25">
      <c r="D504" s="227"/>
    </row>
    <row r="505" spans="4:4" x14ac:dyDescent="0.25">
      <c r="D505" s="227"/>
    </row>
    <row r="506" spans="4:4" x14ac:dyDescent="0.25">
      <c r="D506" s="227"/>
    </row>
    <row r="507" spans="4:4" x14ac:dyDescent="0.25">
      <c r="D507" s="227"/>
    </row>
    <row r="508" spans="4:4" x14ac:dyDescent="0.25">
      <c r="D508" s="227"/>
    </row>
    <row r="509" spans="4:4" x14ac:dyDescent="0.25">
      <c r="D509" s="227"/>
    </row>
    <row r="510" spans="4:4" x14ac:dyDescent="0.25">
      <c r="D510" s="227"/>
    </row>
    <row r="511" spans="4:4" x14ac:dyDescent="0.25">
      <c r="D511" s="227"/>
    </row>
    <row r="512" spans="4:4" x14ac:dyDescent="0.25">
      <c r="D512" s="227"/>
    </row>
    <row r="513" spans="4:4" x14ac:dyDescent="0.25">
      <c r="D513" s="227"/>
    </row>
    <row r="514" spans="4:4" x14ac:dyDescent="0.25">
      <c r="D514" s="227"/>
    </row>
    <row r="515" spans="4:4" x14ac:dyDescent="0.25">
      <c r="D515" s="227"/>
    </row>
    <row r="516" spans="4:4" x14ac:dyDescent="0.25">
      <c r="D516" s="227"/>
    </row>
    <row r="517" spans="4:4" x14ac:dyDescent="0.25">
      <c r="D517" s="227"/>
    </row>
    <row r="518" spans="4:4" x14ac:dyDescent="0.25">
      <c r="D518" s="227"/>
    </row>
    <row r="519" spans="4:4" x14ac:dyDescent="0.25">
      <c r="D519" s="227"/>
    </row>
    <row r="520" spans="4:4" x14ac:dyDescent="0.25">
      <c r="D520" s="227"/>
    </row>
    <row r="521" spans="4:4" x14ac:dyDescent="0.25">
      <c r="D521" s="227"/>
    </row>
    <row r="522" spans="4:4" x14ac:dyDescent="0.25">
      <c r="D522" s="227"/>
    </row>
    <row r="523" spans="4:4" x14ac:dyDescent="0.25">
      <c r="D523" s="227"/>
    </row>
    <row r="524" spans="4:4" x14ac:dyDescent="0.25">
      <c r="D524" s="227"/>
    </row>
    <row r="525" spans="4:4" x14ac:dyDescent="0.25">
      <c r="D525" s="227"/>
    </row>
    <row r="526" spans="4:4" x14ac:dyDescent="0.25">
      <c r="D526" s="227"/>
    </row>
    <row r="527" spans="4:4" x14ac:dyDescent="0.25">
      <c r="D527" s="227"/>
    </row>
    <row r="528" spans="4:4" x14ac:dyDescent="0.25">
      <c r="D528" s="227"/>
    </row>
    <row r="529" spans="4:4" x14ac:dyDescent="0.25">
      <c r="D529" s="227"/>
    </row>
    <row r="530" spans="4:4" x14ac:dyDescent="0.25">
      <c r="D530" s="227"/>
    </row>
    <row r="531" spans="4:4" x14ac:dyDescent="0.25">
      <c r="D531" s="227"/>
    </row>
    <row r="532" spans="4:4" x14ac:dyDescent="0.25">
      <c r="D532" s="227"/>
    </row>
    <row r="533" spans="4:4" x14ac:dyDescent="0.25">
      <c r="D533" s="227"/>
    </row>
    <row r="534" spans="4:4" x14ac:dyDescent="0.25">
      <c r="D534" s="227"/>
    </row>
    <row r="535" spans="4:4" x14ac:dyDescent="0.25">
      <c r="D535" s="227"/>
    </row>
    <row r="536" spans="4:4" x14ac:dyDescent="0.25">
      <c r="D536" s="227"/>
    </row>
    <row r="537" spans="4:4" x14ac:dyDescent="0.25">
      <c r="D537" s="227"/>
    </row>
    <row r="538" spans="4:4" x14ac:dyDescent="0.25">
      <c r="D538" s="227"/>
    </row>
    <row r="539" spans="4:4" x14ac:dyDescent="0.25">
      <c r="D539" s="227"/>
    </row>
    <row r="540" spans="4:4" x14ac:dyDescent="0.25">
      <c r="D540" s="227"/>
    </row>
    <row r="541" spans="4:4" x14ac:dyDescent="0.25">
      <c r="D541" s="227"/>
    </row>
    <row r="542" spans="4:4" x14ac:dyDescent="0.25">
      <c r="D542" s="227"/>
    </row>
    <row r="543" spans="4:4" x14ac:dyDescent="0.25">
      <c r="D543" s="227"/>
    </row>
    <row r="544" spans="4:4" x14ac:dyDescent="0.25">
      <c r="D544" s="227"/>
    </row>
    <row r="545" spans="4:4" x14ac:dyDescent="0.25">
      <c r="D545" s="227"/>
    </row>
    <row r="546" spans="4:4" x14ac:dyDescent="0.25">
      <c r="D546" s="227"/>
    </row>
    <row r="547" spans="4:4" x14ac:dyDescent="0.25">
      <c r="D547" s="227"/>
    </row>
    <row r="548" spans="4:4" x14ac:dyDescent="0.25">
      <c r="D548" s="227"/>
    </row>
    <row r="549" spans="4:4" x14ac:dyDescent="0.25">
      <c r="D549" s="227"/>
    </row>
    <row r="550" spans="4:4" x14ac:dyDescent="0.25">
      <c r="D550" s="227"/>
    </row>
    <row r="551" spans="4:4" x14ac:dyDescent="0.25">
      <c r="D551" s="227"/>
    </row>
    <row r="552" spans="4:4" x14ac:dyDescent="0.25">
      <c r="D552" s="227"/>
    </row>
    <row r="553" spans="4:4" x14ac:dyDescent="0.25">
      <c r="D553" s="227"/>
    </row>
    <row r="554" spans="4:4" x14ac:dyDescent="0.25">
      <c r="D554" s="227"/>
    </row>
    <row r="555" spans="4:4" x14ac:dyDescent="0.25">
      <c r="D555" s="227"/>
    </row>
    <row r="556" spans="4:4" x14ac:dyDescent="0.25">
      <c r="D556" s="227"/>
    </row>
    <row r="557" spans="4:4" x14ac:dyDescent="0.25">
      <c r="D557" s="227"/>
    </row>
    <row r="558" spans="4:4" x14ac:dyDescent="0.25">
      <c r="D558" s="227"/>
    </row>
    <row r="559" spans="4:4" x14ac:dyDescent="0.25">
      <c r="D559" s="227"/>
    </row>
    <row r="560" spans="4:4" x14ac:dyDescent="0.25">
      <c r="D560" s="227"/>
    </row>
    <row r="561" spans="4:4" x14ac:dyDescent="0.25">
      <c r="D561" s="227"/>
    </row>
    <row r="562" spans="4:4" x14ac:dyDescent="0.25">
      <c r="D562" s="227"/>
    </row>
    <row r="563" spans="4:4" x14ac:dyDescent="0.25">
      <c r="D563" s="227"/>
    </row>
    <row r="564" spans="4:4" x14ac:dyDescent="0.25">
      <c r="D564" s="227"/>
    </row>
    <row r="565" spans="4:4" x14ac:dyDescent="0.25">
      <c r="D565" s="227"/>
    </row>
    <row r="566" spans="4:4" x14ac:dyDescent="0.25">
      <c r="D566" s="227"/>
    </row>
    <row r="567" spans="4:4" x14ac:dyDescent="0.25">
      <c r="D567" s="227"/>
    </row>
    <row r="568" spans="4:4" x14ac:dyDescent="0.25">
      <c r="D568" s="227"/>
    </row>
    <row r="569" spans="4:4" x14ac:dyDescent="0.25">
      <c r="D569" s="227"/>
    </row>
    <row r="570" spans="4:4" x14ac:dyDescent="0.25">
      <c r="D570" s="227"/>
    </row>
    <row r="571" spans="4:4" x14ac:dyDescent="0.25">
      <c r="D571" s="227"/>
    </row>
    <row r="572" spans="4:4" x14ac:dyDescent="0.25">
      <c r="D572" s="227"/>
    </row>
    <row r="573" spans="4:4" x14ac:dyDescent="0.25">
      <c r="D573" s="227"/>
    </row>
    <row r="574" spans="4:4" x14ac:dyDescent="0.25">
      <c r="D574" s="227"/>
    </row>
    <row r="575" spans="4:4" x14ac:dyDescent="0.25">
      <c r="D575" s="227"/>
    </row>
    <row r="576" spans="4:4" x14ac:dyDescent="0.25">
      <c r="D576" s="227"/>
    </row>
    <row r="577" spans="4:4" x14ac:dyDescent="0.25">
      <c r="D577" s="227"/>
    </row>
    <row r="578" spans="4:4" x14ac:dyDescent="0.25">
      <c r="D578" s="227"/>
    </row>
    <row r="579" spans="4:4" x14ac:dyDescent="0.25">
      <c r="D579" s="227"/>
    </row>
    <row r="580" spans="4:4" x14ac:dyDescent="0.25">
      <c r="D580" s="227"/>
    </row>
    <row r="581" spans="4:4" x14ac:dyDescent="0.25">
      <c r="D581" s="227"/>
    </row>
    <row r="582" spans="4:4" x14ac:dyDescent="0.25">
      <c r="D582" s="227"/>
    </row>
    <row r="583" spans="4:4" x14ac:dyDescent="0.25">
      <c r="D583" s="227"/>
    </row>
    <row r="584" spans="4:4" x14ac:dyDescent="0.25">
      <c r="D584" s="227"/>
    </row>
    <row r="585" spans="4:4" x14ac:dyDescent="0.25">
      <c r="D585" s="227"/>
    </row>
    <row r="586" spans="4:4" x14ac:dyDescent="0.25">
      <c r="D586" s="227"/>
    </row>
    <row r="587" spans="4:4" x14ac:dyDescent="0.25">
      <c r="D587" s="227"/>
    </row>
    <row r="588" spans="4:4" x14ac:dyDescent="0.25">
      <c r="D588" s="227"/>
    </row>
    <row r="589" spans="4:4" x14ac:dyDescent="0.25">
      <c r="D589" s="227"/>
    </row>
    <row r="590" spans="4:4" x14ac:dyDescent="0.25">
      <c r="D590" s="227"/>
    </row>
    <row r="591" spans="4:4" x14ac:dyDescent="0.25">
      <c r="D591" s="227"/>
    </row>
    <row r="592" spans="4:4" x14ac:dyDescent="0.25">
      <c r="D592" s="227"/>
    </row>
    <row r="593" spans="4:4" x14ac:dyDescent="0.25">
      <c r="D593" s="227"/>
    </row>
    <row r="594" spans="4:4" x14ac:dyDescent="0.25">
      <c r="D594" s="227"/>
    </row>
    <row r="595" spans="4:4" x14ac:dyDescent="0.25">
      <c r="D595" s="227"/>
    </row>
    <row r="596" spans="4:4" x14ac:dyDescent="0.25">
      <c r="D596" s="227"/>
    </row>
    <row r="597" spans="4:4" x14ac:dyDescent="0.25">
      <c r="D597" s="227"/>
    </row>
    <row r="598" spans="4:4" x14ac:dyDescent="0.25">
      <c r="D598" s="227"/>
    </row>
    <row r="599" spans="4:4" x14ac:dyDescent="0.25">
      <c r="D599" s="227"/>
    </row>
    <row r="600" spans="4:4" x14ac:dyDescent="0.25">
      <c r="D600" s="227"/>
    </row>
    <row r="601" spans="4:4" x14ac:dyDescent="0.25">
      <c r="D601" s="227"/>
    </row>
    <row r="602" spans="4:4" x14ac:dyDescent="0.25">
      <c r="D602" s="227"/>
    </row>
    <row r="603" spans="4:4" x14ac:dyDescent="0.25">
      <c r="D603" s="227"/>
    </row>
    <row r="604" spans="4:4" x14ac:dyDescent="0.25">
      <c r="D604" s="227"/>
    </row>
    <row r="605" spans="4:4" x14ac:dyDescent="0.25">
      <c r="D605" s="227"/>
    </row>
    <row r="606" spans="4:4" x14ac:dyDescent="0.25">
      <c r="D606" s="227"/>
    </row>
    <row r="607" spans="4:4" x14ac:dyDescent="0.25">
      <c r="D607" s="227"/>
    </row>
    <row r="608" spans="4:4" x14ac:dyDescent="0.25">
      <c r="D608" s="227"/>
    </row>
    <row r="609" spans="4:4" x14ac:dyDescent="0.25">
      <c r="D609" s="227"/>
    </row>
    <row r="610" spans="4:4" x14ac:dyDescent="0.25">
      <c r="D610" s="227"/>
    </row>
    <row r="611" spans="4:4" x14ac:dyDescent="0.25">
      <c r="D611" s="227"/>
    </row>
    <row r="612" spans="4:4" x14ac:dyDescent="0.25">
      <c r="D612" s="227"/>
    </row>
    <row r="613" spans="4:4" x14ac:dyDescent="0.25">
      <c r="D613" s="227"/>
    </row>
    <row r="614" spans="4:4" x14ac:dyDescent="0.25">
      <c r="D614" s="227"/>
    </row>
    <row r="615" spans="4:4" x14ac:dyDescent="0.25">
      <c r="D615" s="227"/>
    </row>
    <row r="616" spans="4:4" x14ac:dyDescent="0.25">
      <c r="D616" s="227"/>
    </row>
    <row r="617" spans="4:4" x14ac:dyDescent="0.25">
      <c r="D617" s="227"/>
    </row>
    <row r="618" spans="4:4" x14ac:dyDescent="0.25">
      <c r="D618" s="227"/>
    </row>
    <row r="619" spans="4:4" x14ac:dyDescent="0.25">
      <c r="D619" s="227"/>
    </row>
    <row r="620" spans="4:4" x14ac:dyDescent="0.25">
      <c r="D620" s="227"/>
    </row>
    <row r="621" spans="4:4" x14ac:dyDescent="0.25">
      <c r="D621" s="227"/>
    </row>
    <row r="622" spans="4:4" x14ac:dyDescent="0.25">
      <c r="D622" s="227"/>
    </row>
    <row r="623" spans="4:4" x14ac:dyDescent="0.25">
      <c r="D623" s="227"/>
    </row>
    <row r="624" spans="4:4" x14ac:dyDescent="0.25">
      <c r="D624" s="227"/>
    </row>
    <row r="625" spans="4:4" x14ac:dyDescent="0.25">
      <c r="D625" s="227"/>
    </row>
    <row r="626" spans="4:4" x14ac:dyDescent="0.25">
      <c r="D626" s="227"/>
    </row>
    <row r="627" spans="4:4" x14ac:dyDescent="0.25">
      <c r="D627" s="227"/>
    </row>
    <row r="628" spans="4:4" x14ac:dyDescent="0.25">
      <c r="D628" s="227"/>
    </row>
    <row r="629" spans="4:4" x14ac:dyDescent="0.25">
      <c r="D629" s="227"/>
    </row>
    <row r="630" spans="4:4" x14ac:dyDescent="0.25">
      <c r="D630" s="227"/>
    </row>
    <row r="631" spans="4:4" x14ac:dyDescent="0.25">
      <c r="D631" s="227"/>
    </row>
    <row r="632" spans="4:4" x14ac:dyDescent="0.25">
      <c r="D632" s="227"/>
    </row>
    <row r="633" spans="4:4" x14ac:dyDescent="0.25">
      <c r="D633" s="227"/>
    </row>
    <row r="634" spans="4:4" x14ac:dyDescent="0.25">
      <c r="D634" s="227"/>
    </row>
    <row r="635" spans="4:4" x14ac:dyDescent="0.25">
      <c r="D635" s="227"/>
    </row>
    <row r="636" spans="4:4" x14ac:dyDescent="0.25">
      <c r="D636" s="227"/>
    </row>
    <row r="637" spans="4:4" x14ac:dyDescent="0.25">
      <c r="D637" s="227"/>
    </row>
    <row r="638" spans="4:4" x14ac:dyDescent="0.25">
      <c r="D638" s="227"/>
    </row>
    <row r="639" spans="4:4" x14ac:dyDescent="0.25">
      <c r="D639" s="227"/>
    </row>
    <row r="640" spans="4:4" x14ac:dyDescent="0.25">
      <c r="D640" s="227"/>
    </row>
    <row r="641" spans="4:4" x14ac:dyDescent="0.25">
      <c r="D641" s="227"/>
    </row>
    <row r="642" spans="4:4" x14ac:dyDescent="0.25">
      <c r="D642" s="227"/>
    </row>
    <row r="643" spans="4:4" x14ac:dyDescent="0.25">
      <c r="D643" s="227"/>
    </row>
    <row r="644" spans="4:4" x14ac:dyDescent="0.25">
      <c r="D644" s="227"/>
    </row>
    <row r="645" spans="4:4" x14ac:dyDescent="0.25">
      <c r="D645" s="227"/>
    </row>
    <row r="646" spans="4:4" x14ac:dyDescent="0.25">
      <c r="D646" s="227"/>
    </row>
    <row r="647" spans="4:4" x14ac:dyDescent="0.25">
      <c r="D647" s="227"/>
    </row>
    <row r="648" spans="4:4" x14ac:dyDescent="0.25">
      <c r="D648" s="227"/>
    </row>
    <row r="649" spans="4:4" x14ac:dyDescent="0.25">
      <c r="D649" s="227"/>
    </row>
    <row r="650" spans="4:4" x14ac:dyDescent="0.25">
      <c r="D650" s="227"/>
    </row>
    <row r="651" spans="4:4" x14ac:dyDescent="0.25">
      <c r="D651" s="227"/>
    </row>
    <row r="652" spans="4:4" x14ac:dyDescent="0.25">
      <c r="D652" s="227"/>
    </row>
    <row r="653" spans="4:4" x14ac:dyDescent="0.25">
      <c r="D653" s="227"/>
    </row>
    <row r="654" spans="4:4" x14ac:dyDescent="0.25">
      <c r="D654" s="227"/>
    </row>
    <row r="655" spans="4:4" x14ac:dyDescent="0.25">
      <c r="D655" s="227"/>
    </row>
    <row r="656" spans="4:4" x14ac:dyDescent="0.25">
      <c r="D656" s="227"/>
    </row>
    <row r="657" spans="4:4" x14ac:dyDescent="0.25">
      <c r="D657" s="227"/>
    </row>
    <row r="658" spans="4:4" x14ac:dyDescent="0.25">
      <c r="D658" s="227"/>
    </row>
    <row r="659" spans="4:4" x14ac:dyDescent="0.25">
      <c r="D659" s="227"/>
    </row>
    <row r="660" spans="4:4" x14ac:dyDescent="0.25">
      <c r="D660" s="227"/>
    </row>
    <row r="661" spans="4:4" x14ac:dyDescent="0.25">
      <c r="D661" s="227"/>
    </row>
    <row r="662" spans="4:4" x14ac:dyDescent="0.25">
      <c r="D662" s="227"/>
    </row>
    <row r="663" spans="4:4" x14ac:dyDescent="0.25">
      <c r="D663" s="227"/>
    </row>
    <row r="664" spans="4:4" x14ac:dyDescent="0.25">
      <c r="D664" s="227"/>
    </row>
    <row r="665" spans="4:4" x14ac:dyDescent="0.25">
      <c r="D665" s="227"/>
    </row>
    <row r="666" spans="4:4" x14ac:dyDescent="0.25">
      <c r="D666" s="227"/>
    </row>
    <row r="667" spans="4:4" x14ac:dyDescent="0.25">
      <c r="D667" s="227"/>
    </row>
    <row r="668" spans="4:4" x14ac:dyDescent="0.25">
      <c r="D668" s="227"/>
    </row>
    <row r="669" spans="4:4" x14ac:dyDescent="0.25">
      <c r="D669" s="227"/>
    </row>
    <row r="670" spans="4:4" x14ac:dyDescent="0.25">
      <c r="D670" s="227"/>
    </row>
    <row r="671" spans="4:4" x14ac:dyDescent="0.25">
      <c r="D671" s="227"/>
    </row>
    <row r="672" spans="4:4" x14ac:dyDescent="0.25">
      <c r="D672" s="227"/>
    </row>
    <row r="673" spans="4:4" x14ac:dyDescent="0.25">
      <c r="D673" s="227"/>
    </row>
    <row r="674" spans="4:4" x14ac:dyDescent="0.25">
      <c r="D674" s="227"/>
    </row>
    <row r="675" spans="4:4" x14ac:dyDescent="0.25">
      <c r="D675" s="227"/>
    </row>
    <row r="676" spans="4:4" x14ac:dyDescent="0.25">
      <c r="D676" s="227"/>
    </row>
    <row r="677" spans="4:4" x14ac:dyDescent="0.25">
      <c r="D677" s="227"/>
    </row>
    <row r="678" spans="4:4" x14ac:dyDescent="0.25">
      <c r="D678" s="227"/>
    </row>
    <row r="679" spans="4:4" x14ac:dyDescent="0.25">
      <c r="D679" s="227"/>
    </row>
    <row r="680" spans="4:4" x14ac:dyDescent="0.25">
      <c r="D680" s="227"/>
    </row>
    <row r="681" spans="4:4" x14ac:dyDescent="0.25">
      <c r="D681" s="227"/>
    </row>
    <row r="682" spans="4:4" x14ac:dyDescent="0.25">
      <c r="D682" s="227"/>
    </row>
    <row r="683" spans="4:4" x14ac:dyDescent="0.25">
      <c r="D683" s="227"/>
    </row>
    <row r="684" spans="4:4" x14ac:dyDescent="0.25">
      <c r="D684" s="227"/>
    </row>
    <row r="685" spans="4:4" x14ac:dyDescent="0.25">
      <c r="D685" s="227"/>
    </row>
    <row r="686" spans="4:4" x14ac:dyDescent="0.25">
      <c r="D686" s="227"/>
    </row>
    <row r="687" spans="4:4" x14ac:dyDescent="0.25">
      <c r="D687" s="227"/>
    </row>
    <row r="688" spans="4:4" x14ac:dyDescent="0.25">
      <c r="D688" s="227"/>
    </row>
    <row r="689" spans="4:4" x14ac:dyDescent="0.25">
      <c r="D689" s="227"/>
    </row>
    <row r="690" spans="4:4" x14ac:dyDescent="0.25">
      <c r="D690" s="227"/>
    </row>
    <row r="691" spans="4:4" x14ac:dyDescent="0.25">
      <c r="D691" s="227"/>
    </row>
    <row r="692" spans="4:4" x14ac:dyDescent="0.25">
      <c r="D692" s="227"/>
    </row>
    <row r="693" spans="4:4" x14ac:dyDescent="0.25">
      <c r="D693" s="227"/>
    </row>
    <row r="694" spans="4:4" x14ac:dyDescent="0.25">
      <c r="D694" s="227"/>
    </row>
    <row r="695" spans="4:4" x14ac:dyDescent="0.25">
      <c r="D695" s="227"/>
    </row>
    <row r="696" spans="4:4" x14ac:dyDescent="0.25">
      <c r="D696" s="227"/>
    </row>
    <row r="697" spans="4:4" x14ac:dyDescent="0.25">
      <c r="D697" s="227"/>
    </row>
    <row r="698" spans="4:4" x14ac:dyDescent="0.25">
      <c r="D698" s="227"/>
    </row>
    <row r="699" spans="4:4" x14ac:dyDescent="0.25">
      <c r="D699" s="227"/>
    </row>
    <row r="700" spans="4:4" x14ac:dyDescent="0.25">
      <c r="D700" s="227"/>
    </row>
    <row r="701" spans="4:4" x14ac:dyDescent="0.25">
      <c r="D701" s="227"/>
    </row>
    <row r="702" spans="4:4" x14ac:dyDescent="0.25">
      <c r="D702" s="227"/>
    </row>
    <row r="703" spans="4:4" x14ac:dyDescent="0.25">
      <c r="D703" s="227"/>
    </row>
    <row r="704" spans="4:4" x14ac:dyDescent="0.25">
      <c r="D704" s="227"/>
    </row>
    <row r="705" spans="4:4" x14ac:dyDescent="0.25">
      <c r="D705" s="227"/>
    </row>
    <row r="706" spans="4:4" x14ac:dyDescent="0.25">
      <c r="D706" s="227"/>
    </row>
    <row r="707" spans="4:4" x14ac:dyDescent="0.25">
      <c r="D707" s="227"/>
    </row>
    <row r="708" spans="4:4" x14ac:dyDescent="0.25">
      <c r="D708" s="227"/>
    </row>
    <row r="709" spans="4:4" x14ac:dyDescent="0.25">
      <c r="D709" s="227"/>
    </row>
    <row r="710" spans="4:4" x14ac:dyDescent="0.25">
      <c r="D710" s="227"/>
    </row>
    <row r="711" spans="4:4" x14ac:dyDescent="0.25">
      <c r="D711" s="227"/>
    </row>
    <row r="712" spans="4:4" x14ac:dyDescent="0.25">
      <c r="D712" s="227"/>
    </row>
    <row r="713" spans="4:4" x14ac:dyDescent="0.25">
      <c r="D713" s="227"/>
    </row>
    <row r="714" spans="4:4" x14ac:dyDescent="0.25">
      <c r="D714" s="227"/>
    </row>
    <row r="715" spans="4:4" x14ac:dyDescent="0.25">
      <c r="D715" s="227"/>
    </row>
    <row r="716" spans="4:4" x14ac:dyDescent="0.25">
      <c r="D716" s="227"/>
    </row>
    <row r="717" spans="4:4" x14ac:dyDescent="0.25">
      <c r="D717" s="227"/>
    </row>
    <row r="718" spans="4:4" x14ac:dyDescent="0.25">
      <c r="D718" s="227"/>
    </row>
    <row r="719" spans="4:4" x14ac:dyDescent="0.25">
      <c r="D719" s="227"/>
    </row>
    <row r="720" spans="4:4" x14ac:dyDescent="0.25">
      <c r="D720" s="227"/>
    </row>
    <row r="721" spans="4:4" x14ac:dyDescent="0.25">
      <c r="D721" s="227"/>
    </row>
    <row r="722" spans="4:4" x14ac:dyDescent="0.25">
      <c r="D722" s="227"/>
    </row>
    <row r="723" spans="4:4" x14ac:dyDescent="0.25">
      <c r="D723" s="227"/>
    </row>
    <row r="724" spans="4:4" x14ac:dyDescent="0.25">
      <c r="D724" s="227"/>
    </row>
    <row r="725" spans="4:4" x14ac:dyDescent="0.25">
      <c r="D725" s="227"/>
    </row>
    <row r="726" spans="4:4" x14ac:dyDescent="0.25">
      <c r="D726" s="227"/>
    </row>
    <row r="727" spans="4:4" x14ac:dyDescent="0.25">
      <c r="D727" s="227"/>
    </row>
    <row r="728" spans="4:4" x14ac:dyDescent="0.25">
      <c r="D728" s="227"/>
    </row>
    <row r="729" spans="4:4" x14ac:dyDescent="0.25">
      <c r="D729" s="227"/>
    </row>
    <row r="730" spans="4:4" x14ac:dyDescent="0.25">
      <c r="D730" s="227"/>
    </row>
    <row r="731" spans="4:4" x14ac:dyDescent="0.25">
      <c r="D731" s="227"/>
    </row>
    <row r="732" spans="4:4" x14ac:dyDescent="0.25">
      <c r="D732" s="227"/>
    </row>
    <row r="733" spans="4:4" x14ac:dyDescent="0.25">
      <c r="D733" s="227"/>
    </row>
    <row r="734" spans="4:4" x14ac:dyDescent="0.25">
      <c r="D734" s="227"/>
    </row>
    <row r="735" spans="4:4" x14ac:dyDescent="0.25">
      <c r="D735" s="227"/>
    </row>
    <row r="736" spans="4:4" x14ac:dyDescent="0.25">
      <c r="D736" s="227"/>
    </row>
    <row r="737" spans="4:4" x14ac:dyDescent="0.25">
      <c r="D737" s="227"/>
    </row>
  </sheetData>
  <mergeCells count="4">
    <mergeCell ref="A8:C8"/>
    <mergeCell ref="A15:C15"/>
    <mergeCell ref="A18:C18"/>
    <mergeCell ref="A2:B2"/>
  </mergeCells>
  <phoneticPr fontId="0" type="noConversion"/>
  <pageMargins left="0.74791666666666667" right="0.74791666666666667" top="0.98402777777777783" bottom="0.98402777777777783" header="0.51180555555555562" footer="0.51180555555555562"/>
  <pageSetup paperSize="8" firstPageNumber="0" orientation="portrait" horizontalDpi="300" verticalDpi="300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"/>
  <sheetViews>
    <sheetView zoomScale="75" workbookViewId="0">
      <selection activeCell="F45" sqref="F45"/>
    </sheetView>
  </sheetViews>
  <sheetFormatPr defaultColWidth="9.109375" defaultRowHeight="13.2" x14ac:dyDescent="0.25"/>
  <cols>
    <col min="1" max="1" width="14.109375" style="31" customWidth="1"/>
    <col min="2" max="2" width="13.5546875" style="31" customWidth="1"/>
    <col min="3" max="16384" width="9.109375" style="31"/>
  </cols>
  <sheetData>
    <row r="2" spans="1:1" s="491" customFormat="1" ht="15" x14ac:dyDescent="0.25">
      <c r="A2" s="490" t="s">
        <v>139</v>
      </c>
    </row>
  </sheetData>
  <mergeCells count="1">
    <mergeCell ref="A2:XFD2"/>
  </mergeCells>
  <phoneticPr fontId="0" type="noConversion"/>
  <pageMargins left="0.75" right="0.75" top="1" bottom="1" header="0.5" footer="0.5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3.2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12</vt:i4>
      </vt:variant>
      <vt:variant>
        <vt:lpstr>Intervalli denominati</vt:lpstr>
      </vt:variant>
      <vt:variant>
        <vt:i4>9</vt:i4>
      </vt:variant>
    </vt:vector>
  </HeadingPairs>
  <TitlesOfParts>
    <vt:vector size="21" baseType="lpstr">
      <vt:lpstr>ANAGRAFICA AZIENDA</vt:lpstr>
      <vt:lpstr>MATERIE PRIME</vt:lpstr>
      <vt:lpstr>ACQUA ED ENERGIA</vt:lpstr>
      <vt:lpstr>EMISSIONI IN ARIA</vt:lpstr>
      <vt:lpstr>EMISSIONI IN ACQUA</vt:lpstr>
      <vt:lpstr>RUMORE</vt:lpstr>
      <vt:lpstr>RIFIUTI</vt:lpstr>
      <vt:lpstr>SUOLO E SOTTOSUOLO</vt:lpstr>
      <vt:lpstr>GESTIONALE</vt:lpstr>
      <vt:lpstr>INDICATORI DI PRESTAZIONE</vt:lpstr>
      <vt:lpstr>ALTRE DICHIARAZIONI</vt:lpstr>
      <vt:lpstr>Foglio1</vt:lpstr>
      <vt:lpstr>'ACQUA ED ENERGIA'!Area_stampa</vt:lpstr>
      <vt:lpstr>'ANAGRAFICA AZIENDA'!Area_stampa</vt:lpstr>
      <vt:lpstr>'EMISSIONI IN ACQUA'!Area_stampa</vt:lpstr>
      <vt:lpstr>'EMISSIONI IN ARIA'!Area_stampa</vt:lpstr>
      <vt:lpstr>GESTIONALE!Area_stampa</vt:lpstr>
      <vt:lpstr>'INDICATORI DI PRESTAZIONE'!Area_stampa</vt:lpstr>
      <vt:lpstr>'MATERIE PRIME'!Area_stampa</vt:lpstr>
      <vt:lpstr>RIFIUTI!Area_stampa</vt:lpstr>
      <vt:lpstr>'SUOLO E SOTTOSUOLO'!Area_stampa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cograziella</dc:creator>
  <cp:lastModifiedBy>Mauro Pasetto</cp:lastModifiedBy>
  <cp:lastPrinted>2025-04-30T06:33:20Z</cp:lastPrinted>
  <dcterms:created xsi:type="dcterms:W3CDTF">2008-09-08T16:05:56Z</dcterms:created>
  <dcterms:modified xsi:type="dcterms:W3CDTF">2025-04-30T13:04:50Z</dcterms:modified>
</cp:coreProperties>
</file>