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omments1.xml" ContentType="application/vnd.openxmlformats-officedocument.spreadsheetml.comments+xml"/>
  <Override PartName="/xl/drawings/drawing3.xml" ContentType="application/vnd.openxmlformats-officedocument.drawing+xml"/>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5.xml" ContentType="application/vnd.openxmlformats-officedocument.drawing+xml"/>
  <Override PartName="/xl/comments4.xml" ContentType="application/vnd.openxmlformats-officedocument.spreadsheetml.comments+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workbookPr/>
  <mc:AlternateContent xmlns:mc="http://schemas.openxmlformats.org/markup-compatibility/2006">
    <mc:Choice Requires="x15">
      <x15ac:absPath xmlns:x15ac="http://schemas.microsoft.com/office/spreadsheetml/2010/11/ac" url="\\vefiles.gmi.local\Ambiente\GestioneAmbiente_LI\"/>
    </mc:Choice>
  </mc:AlternateContent>
  <xr:revisionPtr revIDLastSave="0" documentId="13_ncr:1_{426E880A-628E-4DF3-A3EA-E6A513769431}" xr6:coauthVersionLast="47" xr6:coauthVersionMax="47" xr10:uidLastSave="{00000000-0000-0000-0000-000000000000}"/>
  <bookViews>
    <workbookView xWindow="0" yWindow="360" windowWidth="23256" windowHeight="12456" tabRatio="921" activeTab="1" xr2:uid="{00000000-000D-0000-FFFF-FFFF00000000}"/>
  </bookViews>
  <sheets>
    <sheet name="INDICE" sheetId="120" r:id="rId1"/>
    <sheet name="SCADENZE complessive" sheetId="121" r:id="rId2"/>
    <sheet name="Schede sicurezza prodotti" sheetId="108" r:id="rId3"/>
    <sheet name="elenco accumulatori" sheetId="107" r:id="rId4"/>
    <sheet name="Kit in USO" sheetId="91" r:id="rId5"/>
    <sheet name="Registro Legislativo" sheetId="42" r:id="rId6"/>
    <sheet name="nostre autorizzazioni" sheetId="4" r:id="rId7"/>
    <sheet name="Prescrizioni AIA" sheetId="109" r:id="rId8"/>
    <sheet name="5.1 Gestione Impianto" sheetId="110" r:id="rId9"/>
    <sheet name="5.2 Emissioni in atmosfera" sheetId="111" r:id="rId10"/>
    <sheet name="5.3 Scarichi idrici" sheetId="114" r:id="rId11"/>
    <sheet name="5.5 Energia" sheetId="123" r:id="rId12"/>
    <sheet name="5.4 Rifiuti prodotti" sheetId="115" r:id="rId13"/>
    <sheet name="5.6 Agenti Fisici" sheetId="122" r:id="rId14"/>
    <sheet name="5.7 Suolo e sottosuolo" sheetId="124" r:id="rId15"/>
    <sheet name="PMC" sheetId="117" r:id="rId16"/>
    <sheet name="autorizzazioni trasp-smalt rifi" sheetId="116" r:id="rId17"/>
    <sheet name="RIFIUTI- COMUNIC_SCELTA GESTORE" sheetId="89" r:id="rId18"/>
    <sheet name="movim_carico e scarico_2025" sheetId="112" r:id="rId19"/>
    <sheet name="prod e dest rifiuti" sheetId="24" r:id="rId20"/>
    <sheet name="ADR_movimenti 2025" sheetId="105" r:id="rId21"/>
    <sheet name="gestione fanghi fosse settiche" sheetId="96" r:id="rId22"/>
    <sheet name="Analisi rifiuti" sheetId="65" r:id="rId23"/>
    <sheet name="Prevenzione Incendi" sheetId="113" r:id="rId24"/>
    <sheet name="Prevenz. emergenze ambientali" sheetId="37" r:id="rId25"/>
    <sheet name="EPRTR" sheetId="75" r:id="rId26"/>
    <sheet name="Condizionatori" sheetId="118" r:id="rId27"/>
    <sheet name="controlli acque meteoriche" sheetId="57" r:id="rId28"/>
    <sheet name="Dati AIA" sheetId="51" r:id="rId29"/>
    <sheet name="check list adempimenti AIA 2021" sheetId="95" r:id="rId30"/>
    <sheet name="check list adempimenti AIA 2022" sheetId="94" r:id="rId31"/>
    <sheet name="check list adempimenti AIA 2023" sheetId="100" r:id="rId32"/>
    <sheet name="Impianti riscaldamento" sheetId="30" r:id="rId33"/>
    <sheet name="Impianti condizionamento" sheetId="35" r:id="rId34"/>
    <sheet name="FORMAZIONE" sheetId="84" r:id="rId35"/>
    <sheet name="INDICATORI DI PRESTAZIONE" sheetId="80" r:id="rId36"/>
  </sheets>
  <externalReferences>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s>
  <definedNames>
    <definedName name="_xlnm._FilterDatabase" localSheetId="16" hidden="1">'autorizzazioni trasp-smalt rifi'!$E$5:$J$8</definedName>
    <definedName name="_xlnm._FilterDatabase" localSheetId="3" hidden="1">'elenco accumulatori'!$C$5:$O$27</definedName>
    <definedName name="_xlnm._FilterDatabase" localSheetId="33" hidden="1">'Impianti condizionamento'!$B$2:$Z$2</definedName>
    <definedName name="_xlnm._FilterDatabase" localSheetId="4" hidden="1">'Kit in USO'!$A$11:$O$83</definedName>
    <definedName name="_xlnm._FilterDatabase" localSheetId="18" hidden="1">'movim_carico e scarico_2025'!$A$5:$AE$450</definedName>
    <definedName name="_xlnm._FilterDatabase" localSheetId="1" hidden="1">'SCADENZE complessive'!$A$4:$K$4</definedName>
    <definedName name="_xlnm.Print_Area" localSheetId="3">'elenco accumulatori'!$A$1:$P$27</definedName>
    <definedName name="_xlnm.Print_Area" localSheetId="33">'Impianti condizionamento'!$A$1:$AH$46</definedName>
    <definedName name="_xlnm.Print_Area" localSheetId="35">'INDICATORI DI PRESTAZIONE'!$A$5:$C$35</definedName>
    <definedName name="_xlnm.Print_Area" localSheetId="4">'Kit in USO'!$A$1:$AA$91</definedName>
    <definedName name="_xlnm.Print_Area" localSheetId="19">'prod e dest rifiuti'!$A$1:$H$111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9" i="24" l="1"/>
  <c r="H46" i="24"/>
  <c r="H45" i="24"/>
  <c r="H43" i="24"/>
  <c r="H41" i="24"/>
  <c r="H39" i="24"/>
  <c r="H37" i="24"/>
  <c r="H35" i="24"/>
  <c r="H51" i="24"/>
  <c r="H52" i="24"/>
  <c r="H55" i="24"/>
  <c r="H57" i="24"/>
  <c r="H58" i="24"/>
  <c r="H61" i="24"/>
  <c r="H62" i="24"/>
  <c r="H64" i="24"/>
  <c r="H67" i="24"/>
  <c r="H69" i="24"/>
  <c r="H70" i="24"/>
  <c r="H33" i="24"/>
  <c r="H31" i="24"/>
  <c r="H29" i="24"/>
  <c r="H27" i="24"/>
  <c r="H25" i="24"/>
  <c r="H21" i="24"/>
  <c r="H19" i="24"/>
  <c r="H17" i="24"/>
  <c r="H15" i="24"/>
  <c r="H12" i="24"/>
  <c r="H11" i="24"/>
  <c r="H8" i="24"/>
  <c r="H6" i="24"/>
  <c r="H5" i="24"/>
  <c r="H23" i="24"/>
  <c r="G21" i="24"/>
  <c r="G19" i="24"/>
  <c r="G17" i="24"/>
  <c r="G15" i="24"/>
  <c r="G12" i="24"/>
  <c r="G11" i="24"/>
  <c r="G8" i="24"/>
  <c r="G6" i="24"/>
  <c r="G23" i="24"/>
  <c r="G25" i="24"/>
  <c r="G27" i="24"/>
  <c r="G29" i="24"/>
  <c r="G31" i="24"/>
  <c r="G33" i="24"/>
  <c r="G35" i="24"/>
  <c r="G37" i="24"/>
  <c r="G39" i="24"/>
  <c r="G41" i="24"/>
  <c r="G43" i="24"/>
  <c r="G45" i="24"/>
  <c r="G46" i="24"/>
  <c r="G49" i="24"/>
  <c r="G51" i="24"/>
  <c r="G52" i="24"/>
  <c r="G55" i="24"/>
  <c r="G57" i="24"/>
  <c r="G58" i="24"/>
  <c r="G61" i="24"/>
  <c r="G62" i="24"/>
  <c r="G64" i="24"/>
  <c r="G67" i="24"/>
  <c r="G69" i="24"/>
  <c r="G70" i="24"/>
  <c r="G5" i="24"/>
  <c r="C3" i="113"/>
  <c r="F3" i="112" l="1"/>
  <c r="G3" i="112"/>
  <c r="G450" i="112"/>
  <c r="G449" i="112"/>
  <c r="G448" i="112"/>
  <c r="G447" i="112"/>
  <c r="G446" i="112"/>
  <c r="G445" i="112"/>
  <c r="G444" i="112"/>
  <c r="G443" i="112"/>
  <c r="G442" i="112"/>
  <c r="G441" i="112"/>
  <c r="G440" i="112"/>
  <c r="G439" i="112"/>
  <c r="G438" i="112"/>
  <c r="G437" i="112"/>
  <c r="G436" i="112"/>
  <c r="G435" i="112"/>
  <c r="G434" i="112"/>
  <c r="G433" i="112"/>
  <c r="G432" i="112"/>
  <c r="G431" i="112"/>
  <c r="G430" i="112"/>
  <c r="G429" i="112"/>
  <c r="G428" i="112"/>
  <c r="G427" i="112"/>
  <c r="G426" i="112"/>
  <c r="G425" i="112"/>
  <c r="G424" i="112"/>
  <c r="G423" i="112"/>
  <c r="G422" i="112"/>
  <c r="G421" i="112"/>
  <c r="G420" i="112"/>
  <c r="G419" i="112"/>
  <c r="G418" i="112"/>
  <c r="G417" i="112"/>
  <c r="G416" i="112"/>
  <c r="G415" i="112"/>
  <c r="G414" i="112"/>
  <c r="G413" i="112"/>
  <c r="G412" i="112"/>
  <c r="G411" i="112"/>
  <c r="G410" i="112"/>
  <c r="G409" i="112"/>
  <c r="G408" i="112"/>
  <c r="G407" i="112"/>
  <c r="G406" i="112"/>
  <c r="G405" i="112"/>
  <c r="G404" i="112"/>
  <c r="G403" i="112"/>
  <c r="G402" i="112"/>
  <c r="G401" i="112"/>
  <c r="G400" i="112"/>
  <c r="G399" i="112"/>
  <c r="G398" i="112"/>
  <c r="G397" i="112"/>
  <c r="G396" i="112"/>
  <c r="G395" i="112"/>
  <c r="G394" i="112"/>
  <c r="G393" i="112"/>
  <c r="G392" i="112"/>
  <c r="G391" i="112"/>
  <c r="G390" i="112"/>
  <c r="G389" i="112"/>
  <c r="G388" i="112"/>
  <c r="G387" i="112"/>
  <c r="G386" i="112"/>
  <c r="G385" i="112"/>
  <c r="G384" i="112"/>
  <c r="G383" i="112"/>
  <c r="G382" i="112"/>
  <c r="G381" i="112"/>
  <c r="G380" i="112"/>
  <c r="G379" i="112"/>
  <c r="G378" i="112"/>
  <c r="G377" i="112"/>
  <c r="G376" i="112"/>
  <c r="G375" i="112"/>
  <c r="G374" i="112"/>
  <c r="G373" i="112"/>
  <c r="G372" i="112"/>
  <c r="G371" i="112"/>
  <c r="G370" i="112"/>
  <c r="G369" i="112"/>
  <c r="G368" i="112"/>
  <c r="G367" i="112"/>
  <c r="G366" i="112"/>
  <c r="G365" i="112"/>
  <c r="G364" i="112"/>
  <c r="G363" i="112"/>
  <c r="G362" i="112"/>
  <c r="G361" i="112"/>
  <c r="G360" i="112"/>
  <c r="G359" i="112"/>
  <c r="G358" i="112"/>
  <c r="G357" i="112"/>
  <c r="G356" i="112"/>
  <c r="G355" i="112"/>
  <c r="G354" i="112"/>
  <c r="G353" i="112"/>
  <c r="G352" i="112"/>
  <c r="G351" i="112"/>
  <c r="G350" i="112"/>
  <c r="G349" i="112"/>
  <c r="G348" i="112"/>
  <c r="G347" i="112"/>
  <c r="G346" i="112"/>
  <c r="G345" i="112"/>
  <c r="G344" i="112"/>
  <c r="G343" i="112"/>
  <c r="G342" i="112"/>
  <c r="G341" i="112"/>
  <c r="G340" i="112"/>
  <c r="G339" i="112"/>
  <c r="G338" i="112"/>
  <c r="G337" i="112"/>
  <c r="G336" i="112"/>
  <c r="G335" i="112"/>
  <c r="G334" i="112"/>
  <c r="G333" i="112"/>
  <c r="G332" i="112"/>
  <c r="G331" i="112"/>
  <c r="G330" i="112"/>
  <c r="G329" i="112"/>
  <c r="G328" i="112"/>
  <c r="G327" i="112"/>
  <c r="G326" i="112"/>
  <c r="G325" i="112"/>
  <c r="G324" i="112"/>
  <c r="G323" i="112"/>
  <c r="G322" i="112"/>
  <c r="G321" i="112"/>
  <c r="G320" i="112"/>
  <c r="G319" i="112"/>
  <c r="G318" i="112"/>
  <c r="G317" i="112"/>
  <c r="G316" i="112"/>
  <c r="G315" i="112"/>
  <c r="G314" i="112"/>
  <c r="G313" i="112"/>
  <c r="G312" i="112"/>
  <c r="G311" i="112"/>
  <c r="H29" i="105" l="1"/>
  <c r="D29" i="105"/>
  <c r="H14" i="105"/>
  <c r="D14" i="105"/>
  <c r="Q11" i="80" l="1"/>
  <c r="P31" i="80" l="1"/>
  <c r="P34" i="80"/>
  <c r="P33" i="80"/>
  <c r="P30" i="80"/>
  <c r="P29" i="80"/>
  <c r="P28" i="80"/>
  <c r="P27" i="80"/>
  <c r="P26" i="80"/>
  <c r="P25" i="80"/>
  <c r="P20" i="80"/>
  <c r="P19" i="80"/>
  <c r="P16" i="80"/>
  <c r="P14" i="80"/>
  <c r="P13" i="80"/>
  <c r="P12" i="80"/>
  <c r="Q16" i="80" l="1"/>
  <c r="D2" i="100" l="1"/>
  <c r="D2" i="95" l="1"/>
  <c r="D2" i="94"/>
  <c r="O31" i="80" l="1"/>
  <c r="M31" i="80" l="1"/>
  <c r="O34" i="80"/>
  <c r="O33" i="80"/>
  <c r="O30" i="80"/>
  <c r="O29" i="80"/>
  <c r="O28" i="80"/>
  <c r="O27" i="80"/>
  <c r="O26" i="80"/>
  <c r="O25" i="80"/>
  <c r="O20" i="80"/>
  <c r="O19" i="80"/>
  <c r="O16" i="80"/>
  <c r="O14" i="80"/>
  <c r="O13" i="80"/>
  <c r="L12" i="80"/>
  <c r="O12" i="80"/>
  <c r="N31" i="80" l="1"/>
  <c r="N34" i="80" l="1"/>
  <c r="N33" i="80"/>
  <c r="N30" i="80"/>
  <c r="N29" i="80"/>
  <c r="N28" i="80"/>
  <c r="N27" i="80"/>
  <c r="N26" i="80"/>
  <c r="N25" i="80"/>
  <c r="N20" i="80"/>
  <c r="N19" i="80"/>
  <c r="N16" i="80"/>
  <c r="N14" i="80"/>
  <c r="N13" i="80"/>
  <c r="N12" i="80"/>
  <c r="M30" i="80" l="1"/>
  <c r="L30" i="80"/>
  <c r="K30" i="80"/>
  <c r="J30" i="80"/>
  <c r="I30" i="80"/>
  <c r="H30" i="80"/>
  <c r="M34" i="80" l="1"/>
  <c r="M33" i="80"/>
  <c r="M29" i="80"/>
  <c r="M28" i="80"/>
  <c r="M27" i="80"/>
  <c r="M26" i="80"/>
  <c r="M25" i="80"/>
  <c r="M20" i="80"/>
  <c r="M19" i="80"/>
  <c r="M16" i="80"/>
  <c r="M14" i="80"/>
  <c r="M13" i="80"/>
  <c r="M12" i="80"/>
  <c r="H16" i="80" l="1"/>
  <c r="H12" i="80"/>
  <c r="H19" i="80"/>
  <c r="H29" i="80"/>
  <c r="H27" i="80"/>
  <c r="H25" i="80"/>
  <c r="I16" i="80"/>
  <c r="I12" i="80"/>
  <c r="I34" i="80"/>
  <c r="I27" i="80"/>
  <c r="L34" i="80"/>
  <c r="L33" i="80"/>
  <c r="L29" i="80"/>
  <c r="L28" i="80"/>
  <c r="L27" i="80"/>
  <c r="L26" i="80"/>
  <c r="L25" i="80"/>
  <c r="L20" i="80"/>
  <c r="L19" i="80"/>
  <c r="L16" i="80"/>
  <c r="L13" i="80"/>
  <c r="L14" i="80"/>
  <c r="I29" i="80"/>
  <c r="K34" i="80"/>
  <c r="J34" i="80"/>
  <c r="K33" i="80"/>
  <c r="J33" i="80"/>
  <c r="K29" i="80"/>
  <c r="J29" i="80"/>
  <c r="K28" i="80"/>
  <c r="J28" i="80"/>
  <c r="K27" i="80"/>
  <c r="J27" i="80"/>
  <c r="K26" i="80"/>
  <c r="J26" i="80"/>
  <c r="K25" i="80"/>
  <c r="J25" i="80"/>
  <c r="K20" i="80"/>
  <c r="J20" i="80"/>
  <c r="K19" i="80"/>
  <c r="J19" i="80"/>
  <c r="I19" i="80"/>
  <c r="K16" i="80"/>
  <c r="J16" i="80"/>
  <c r="K14" i="80"/>
  <c r="J14" i="80"/>
  <c r="K13" i="80"/>
  <c r="J13" i="80"/>
  <c r="K12" i="80"/>
  <c r="J12" i="80"/>
  <c r="H34" i="80" l="1"/>
  <c r="H28" i="80"/>
  <c r="H26" i="80"/>
  <c r="H20" i="80"/>
  <c r="H13" i="80"/>
  <c r="H33" i="80"/>
  <c r="H14" i="80"/>
  <c r="I25" i="80"/>
  <c r="I26" i="80"/>
  <c r="I20" i="80"/>
  <c r="I13" i="80"/>
  <c r="I33" i="80"/>
  <c r="I14" i="80"/>
  <c r="I28" i="80" l="1"/>
  <c r="H72" i="24" l="1"/>
  <c r="Q31" i="80" l="1"/>
  <c r="Q27" i="80" l="1"/>
  <c r="Q26" i="80"/>
  <c r="Q14" i="80"/>
  <c r="Q34" i="80"/>
  <c r="Q13" i="80"/>
  <c r="Q33" i="80"/>
  <c r="Q20" i="80"/>
  <c r="Q28" i="80"/>
  <c r="Q25" i="80" l="1"/>
  <c r="Q19" i="80"/>
  <c r="Q30" i="80"/>
  <c r="Q29" i="80"/>
  <c r="E3" i="1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gmi</author>
  </authors>
  <commentList>
    <comment ref="F9" authorId="0" shapeId="0" xr:uid="{00000000-0006-0000-0600-000001000000}">
      <text>
        <r>
          <rPr>
            <b/>
            <sz val="8"/>
            <color indexed="81"/>
            <rFont val="Tahoma"/>
            <family val="2"/>
          </rPr>
          <t>gmi:</t>
        </r>
        <r>
          <rPr>
            <sz val="8"/>
            <color indexed="81"/>
            <rFont val="Tahoma"/>
            <family val="2"/>
          </rPr>
          <t xml:space="preserve">
data entro la quale è stata presentata documentazione per il  rilascio dell' Autorizzazione Integrata Ambientale </t>
        </r>
        <r>
          <rPr>
            <b/>
            <sz val="8"/>
            <color indexed="81"/>
            <rFont val="Tahoma"/>
            <family val="2"/>
          </rPr>
          <t>DEFINITIVA; siamo in attesa di riceverla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gmi</author>
  </authors>
  <commentList>
    <comment ref="G81" authorId="0" shapeId="0" xr:uid="{00000000-0006-0000-1000-000001000000}">
      <text>
        <r>
          <rPr>
            <b/>
            <sz val="8"/>
            <color indexed="81"/>
            <rFont val="Tahoma"/>
            <family val="2"/>
          </rPr>
          <t>gmi:</t>
        </r>
        <r>
          <rPr>
            <sz val="8"/>
            <color indexed="81"/>
            <rFont val="Tahoma"/>
            <family val="2"/>
          </rPr>
          <t xml:space="preserve">
PROROGA PER COVID</t>
        </r>
      </text>
    </comment>
    <comment ref="C97" authorId="0" shapeId="0" xr:uid="{00000000-0006-0000-1000-000002000000}">
      <text>
        <r>
          <rPr>
            <b/>
            <sz val="8"/>
            <color indexed="81"/>
            <rFont val="Tahoma"/>
            <family val="2"/>
          </rPr>
          <t>gmi:</t>
        </r>
        <r>
          <rPr>
            <sz val="8"/>
            <color indexed="81"/>
            <rFont val="Tahoma"/>
            <family val="2"/>
          </rPr>
          <t xml:space="preserve">
RINNOVO DEL 17/04/2019</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gmi</author>
  </authors>
  <commentList>
    <comment ref="D5" authorId="0" shapeId="0" xr:uid="{00000000-0006-0000-1300-000001000000}">
      <text>
        <r>
          <rPr>
            <b/>
            <sz val="8"/>
            <color indexed="81"/>
            <rFont val="Tahoma"/>
            <family val="2"/>
          </rPr>
          <t>gmi:</t>
        </r>
        <r>
          <rPr>
            <sz val="8"/>
            <color indexed="81"/>
            <rFont val="Tahoma"/>
            <family val="2"/>
          </rPr>
          <t xml:space="preserve">
media di 1300 Kg/m3 per i sassolini e 500 per gli sfarinati </t>
        </r>
      </text>
    </comment>
    <comment ref="B8" authorId="0" shapeId="0" xr:uid="{00000000-0006-0000-1300-000002000000}">
      <text>
        <r>
          <rPr>
            <b/>
            <sz val="8"/>
            <color indexed="81"/>
            <rFont val="Tahoma"/>
            <family val="2"/>
          </rPr>
          <t>gmi:</t>
        </r>
        <r>
          <rPr>
            <sz val="8"/>
            <color indexed="81"/>
            <rFont val="Tahoma"/>
            <family val="2"/>
          </rPr>
          <t xml:space="preserve">
CLASSI DI PERICOLO: H08 e H05</t>
        </r>
      </text>
    </comment>
    <comment ref="D23" authorId="0" shapeId="0" xr:uid="{00000000-0006-0000-1300-000003000000}">
      <text>
        <r>
          <rPr>
            <b/>
            <sz val="8"/>
            <color indexed="81"/>
            <rFont val="Tahoma"/>
            <family val="2"/>
          </rPr>
          <t>gmi:</t>
        </r>
        <r>
          <rPr>
            <sz val="8"/>
            <color indexed="81"/>
            <rFont val="Tahoma"/>
            <family val="2"/>
          </rPr>
          <t xml:space="preserve">
da tabella sarebbe tra 700 e 1150 Kg/m3 ma per gli sfridi è stato considerato il massimo riempimento del press-container da 26 m3.</t>
        </r>
      </text>
    </comment>
    <comment ref="D25" authorId="0" shapeId="0" xr:uid="{00000000-0006-0000-1300-000004000000}">
      <text>
        <r>
          <rPr>
            <b/>
            <sz val="8"/>
            <color indexed="81"/>
            <rFont val="Tahoma"/>
            <family val="2"/>
          </rPr>
          <t>gmi: il valore corrisponde ad 1/3 del valore di riferimento per il nylon in quanto il rifiuto viene depositato alla rinfusa ed occupa più volume</t>
        </r>
        <r>
          <rPr>
            <sz val="8"/>
            <color indexed="81"/>
            <rFont val="Tahoma"/>
            <family val="2"/>
          </rPr>
          <t xml:space="preserve">
</t>
        </r>
      </text>
    </comment>
    <comment ref="D29" authorId="0" shapeId="0" xr:uid="{00000000-0006-0000-1300-000005000000}">
      <text>
        <r>
          <rPr>
            <b/>
            <sz val="8"/>
            <color indexed="81"/>
            <rFont val="Tahoma"/>
            <family val="2"/>
          </rPr>
          <t>gmi:</t>
        </r>
        <r>
          <rPr>
            <sz val="8"/>
            <color indexed="81"/>
            <rFont val="Tahoma"/>
            <family val="2"/>
          </rPr>
          <t xml:space="preserve">
considerato massimo smaltimento effettuato con container da 20 m3 pieno</t>
        </r>
      </text>
    </comment>
    <comment ref="D31" authorId="0" shapeId="0" xr:uid="{00000000-0006-0000-1300-000006000000}">
      <text>
        <r>
          <rPr>
            <b/>
            <sz val="8"/>
            <color indexed="81"/>
            <rFont val="Tahoma"/>
            <family val="2"/>
          </rPr>
          <t>gmi:</t>
        </r>
        <r>
          <rPr>
            <sz val="8"/>
            <color indexed="81"/>
            <rFont val="Tahoma"/>
            <family val="2"/>
          </rPr>
          <t xml:space="preserve">
CONSIDERATO VALORE MEDIO TRA CONTENITORI/TANICHE IN METALLO E PLASTICA </t>
        </r>
        <r>
          <rPr>
            <b/>
            <sz val="8"/>
            <color indexed="10"/>
            <rFont val="Tahoma"/>
            <family val="2"/>
          </rPr>
          <t>NON SCHIACCIATI.</t>
        </r>
      </text>
    </comment>
    <comment ref="D33" authorId="0" shapeId="0" xr:uid="{00000000-0006-0000-1300-000007000000}">
      <text>
        <r>
          <rPr>
            <b/>
            <sz val="8"/>
            <color indexed="81"/>
            <rFont val="Tahoma"/>
            <family val="2"/>
          </rPr>
          <t>gmi:</t>
        </r>
        <r>
          <rPr>
            <sz val="8"/>
            <color indexed="81"/>
            <rFont val="Tahoma"/>
            <family val="2"/>
          </rPr>
          <t xml:space="preserve">
CONSIDERATO PESO DELLE BOMBOLETTE METALLICHE NON SCHIACCIATE</t>
        </r>
      </text>
    </comment>
    <comment ref="D37" authorId="0" shapeId="0" xr:uid="{00000000-0006-0000-1300-000008000000}">
      <text>
        <r>
          <rPr>
            <b/>
            <sz val="8"/>
            <color indexed="81"/>
            <rFont val="Tahoma"/>
            <family val="2"/>
          </rPr>
          <t>gmi:</t>
        </r>
        <r>
          <rPr>
            <sz val="8"/>
            <color indexed="81"/>
            <rFont val="Tahoma"/>
            <family val="2"/>
          </rPr>
          <t xml:space="preserve">
CONSIDERATO MASSIMO SMALTIMENTO EFFETTUATO (1700 KG) A CONTAINER DA 20 M3 PIENO  </t>
        </r>
      </text>
    </comment>
    <comment ref="D39" authorId="0" shapeId="0" xr:uid="{00000000-0006-0000-1300-000009000000}">
      <text>
        <r>
          <rPr>
            <b/>
            <sz val="8"/>
            <color indexed="81"/>
            <rFont val="Tahoma"/>
            <family val="2"/>
          </rPr>
          <t>gmi:</t>
        </r>
        <r>
          <rPr>
            <sz val="8"/>
            <color indexed="81"/>
            <rFont val="Tahoma"/>
            <family val="2"/>
          </rPr>
          <t xml:space="preserve">
CONSIDERATO IL PESO DI MONITOR A TUBO CATODICO E FOTOCOPIATRICI</t>
        </r>
      </text>
    </comment>
    <comment ref="D41" authorId="0" shapeId="0" xr:uid="{00000000-0006-0000-1300-00000A000000}">
      <text>
        <r>
          <rPr>
            <b/>
            <sz val="8"/>
            <color indexed="81"/>
            <rFont val="Tahoma"/>
            <family val="2"/>
          </rPr>
          <t>gmi:</t>
        </r>
        <r>
          <rPr>
            <sz val="8"/>
            <color indexed="81"/>
            <rFont val="Tahoma"/>
            <family val="2"/>
          </rPr>
          <t xml:space="preserve">
CONSIDERATO IL PESO DI PORTALAMPADE, STAMPANTI, TASTIERE, MOUSE ECC.</t>
        </r>
      </text>
    </comment>
    <comment ref="D43" authorId="0" shapeId="0" xr:uid="{00000000-0006-0000-1300-00000B000000}">
      <text>
        <r>
          <rPr>
            <b/>
            <sz val="8"/>
            <color indexed="81"/>
            <rFont val="Tahoma"/>
            <family val="2"/>
          </rPr>
          <t>gmi:</t>
        </r>
        <r>
          <rPr>
            <sz val="8"/>
            <color indexed="81"/>
            <rFont val="Tahoma"/>
            <family val="2"/>
          </rPr>
          <t xml:space="preserve">
CONDENSATORI ELETTRICI DI RIFASAMENTO PRIVI DI PCB/PCT</t>
        </r>
      </text>
    </comment>
    <comment ref="D57" authorId="0" shapeId="0" xr:uid="{00000000-0006-0000-1300-00000C000000}">
      <text>
        <r>
          <rPr>
            <b/>
            <sz val="8"/>
            <color indexed="81"/>
            <rFont val="Tahoma"/>
            <family val="2"/>
          </rPr>
          <t>gmi:</t>
        </r>
        <r>
          <rPr>
            <sz val="8"/>
            <color indexed="81"/>
            <rFont val="Tahoma"/>
            <family val="2"/>
          </rPr>
          <t xml:space="preserve">
da tabella sarebbe 7860 Kg/m3 ma preso come riferimento il massimo smaltimento effettuato a container  (da 10 m3) pieno.</t>
        </r>
      </text>
    </comment>
    <comment ref="D58" authorId="0" shapeId="0" xr:uid="{00000000-0006-0000-1300-00000D000000}">
      <text>
        <r>
          <rPr>
            <b/>
            <sz val="8"/>
            <color indexed="81"/>
            <rFont val="Tahoma"/>
            <family val="2"/>
          </rPr>
          <t>gmi:</t>
        </r>
        <r>
          <rPr>
            <sz val="8"/>
            <color indexed="81"/>
            <rFont val="Tahoma"/>
            <family val="2"/>
          </rPr>
          <t xml:space="preserve">
da tabella relativo ad eternite</t>
        </r>
      </text>
    </comment>
    <comment ref="D69" authorId="0" shapeId="0" xr:uid="{00000000-0006-0000-1300-00000E000000}">
      <text>
        <r>
          <rPr>
            <b/>
            <sz val="8"/>
            <color indexed="81"/>
            <rFont val="Tahoma"/>
            <family val="2"/>
          </rPr>
          <t>gmi:</t>
        </r>
        <r>
          <rPr>
            <sz val="8"/>
            <color indexed="81"/>
            <rFont val="Tahoma"/>
            <family val="2"/>
          </rPr>
          <t xml:space="preserve">
considerate lampade al neon comprensive di imballaggio antiurto in cartone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gmi</author>
    <author>COLaboratorio1</author>
  </authors>
  <commentList>
    <comment ref="B30" authorId="0" shapeId="0" xr:uid="{00000000-0006-0000-2000-000001000000}">
      <text>
        <r>
          <rPr>
            <b/>
            <sz val="8"/>
            <color indexed="81"/>
            <rFont val="Tahoma"/>
            <family val="2"/>
          </rPr>
          <t>gmi:</t>
        </r>
        <r>
          <rPr>
            <sz val="10"/>
            <color indexed="81"/>
            <rFont val="Tahoma"/>
            <family val="2"/>
          </rPr>
          <t xml:space="preserve">
</t>
        </r>
        <r>
          <rPr>
            <b/>
            <sz val="12"/>
            <color indexed="81"/>
            <rFont val="Tahoma"/>
            <family val="2"/>
          </rPr>
          <t>dismessa  il 13/05/2022 perché non più funzionante</t>
        </r>
      </text>
    </comment>
    <comment ref="B31" authorId="1" shapeId="0" xr:uid="{00000000-0006-0000-2000-000002000000}">
      <text>
        <r>
          <rPr>
            <b/>
            <sz val="12"/>
            <color indexed="81"/>
            <rFont val="Tahoma"/>
            <family val="2"/>
          </rPr>
          <t>COLaboratorio1:
messa in servizio il 23/12/2022</t>
        </r>
      </text>
    </comment>
    <comment ref="A32" authorId="0" shapeId="0" xr:uid="{00000000-0006-0000-2000-000003000000}">
      <text>
        <r>
          <rPr>
            <b/>
            <sz val="12"/>
            <color indexed="81"/>
            <rFont val="Tahoma"/>
            <family val="2"/>
          </rPr>
          <t>gmi:regolarizzati controlli per caldaia ad olio diatermico in data 24/10/2007</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COLaboratorio1</author>
    <author>gmi</author>
    <author>Mauro Pasetto</author>
  </authors>
  <commentList>
    <comment ref="D5" authorId="0" shapeId="0" xr:uid="{00000000-0006-0000-2100-000001000000}">
      <text>
        <r>
          <rPr>
            <b/>
            <sz val="9"/>
            <color indexed="81"/>
            <rFont val="Tahoma"/>
            <family val="2"/>
          </rPr>
          <t xml:space="preserve">COLaboratorio1:  </t>
        </r>
        <r>
          <rPr>
            <sz val="9"/>
            <color indexed="81"/>
            <rFont val="Tahoma"/>
            <family val="2"/>
          </rPr>
          <t>farsi mandare il rapporto di smantellamento</t>
        </r>
      </text>
    </comment>
    <comment ref="E5" authorId="0" shapeId="0" xr:uid="{00000000-0006-0000-2100-000002000000}">
      <text>
        <r>
          <rPr>
            <b/>
            <sz val="9"/>
            <color indexed="81"/>
            <rFont val="Tahoma"/>
            <family val="2"/>
          </rPr>
          <t>COLaboratorio1:</t>
        </r>
        <r>
          <rPr>
            <sz val="9"/>
            <color indexed="81"/>
            <rFont val="Tahoma"/>
            <family val="2"/>
          </rPr>
          <t xml:space="preserve">
smantellato in data 11/08/2023</t>
        </r>
      </text>
    </comment>
    <comment ref="E6" authorId="0" shapeId="0" xr:uid="{00000000-0006-0000-2100-000003000000}">
      <text>
        <r>
          <rPr>
            <b/>
            <sz val="9"/>
            <color indexed="81"/>
            <rFont val="Tahoma"/>
            <family val="2"/>
          </rPr>
          <t>COLaboratorio1:</t>
        </r>
        <r>
          <rPr>
            <sz val="9"/>
            <color indexed="81"/>
            <rFont val="Tahoma"/>
            <family val="2"/>
          </rPr>
          <t xml:space="preserve">
instalato in data 11/08/2023</t>
        </r>
      </text>
    </comment>
    <comment ref="E22" authorId="1" shapeId="0" xr:uid="{00000000-0006-0000-2100-000004000000}">
      <text>
        <r>
          <rPr>
            <b/>
            <sz val="8"/>
            <color indexed="81"/>
            <rFont val="Tahoma"/>
            <family val="2"/>
          </rPr>
          <t>gmi:</t>
        </r>
        <r>
          <rPr>
            <sz val="8"/>
            <color indexed="81"/>
            <rFont val="Tahoma"/>
            <family val="2"/>
          </rPr>
          <t xml:space="preserve">
smantellato in data 05/08/2022</t>
        </r>
      </text>
    </comment>
    <comment ref="E25" authorId="1" shapeId="0" xr:uid="{00000000-0006-0000-2100-000005000000}">
      <text>
        <r>
          <rPr>
            <b/>
            <sz val="8"/>
            <color indexed="81"/>
            <rFont val="Tahoma"/>
            <family val="2"/>
          </rPr>
          <t>gmi:</t>
        </r>
        <r>
          <rPr>
            <sz val="8"/>
            <color indexed="81"/>
            <rFont val="Tahoma"/>
            <family val="2"/>
          </rPr>
          <t xml:space="preserve">
smantellato in data 11/08/2020 in quanto guasto e completamente scarico di gas</t>
        </r>
      </text>
    </comment>
    <comment ref="E28" authorId="1" shapeId="0" xr:uid="{00000000-0006-0000-2100-000006000000}">
      <text>
        <r>
          <rPr>
            <b/>
            <sz val="8"/>
            <color indexed="81"/>
            <rFont val="Tahoma"/>
            <family val="2"/>
          </rPr>
          <t>gmi:</t>
        </r>
        <r>
          <rPr>
            <sz val="8"/>
            <color indexed="81"/>
            <rFont val="Tahoma"/>
            <family val="2"/>
          </rPr>
          <t xml:space="preserve">
installato in data 11/08/2020</t>
        </r>
      </text>
    </comment>
    <comment ref="AQ31" authorId="2" shapeId="0" xr:uid="{00000000-0006-0000-2100-000007000000}">
      <text>
        <r>
          <rPr>
            <b/>
            <sz val="9"/>
            <color indexed="81"/>
            <rFont val="Tahoma"/>
            <family val="2"/>
          </rPr>
          <t xml:space="preserve">Mauro Pasetto
</t>
        </r>
        <r>
          <rPr>
            <sz val="9"/>
            <color indexed="81"/>
            <rFont val="Tahoma"/>
            <family val="2"/>
          </rPr>
          <t>esegiota manutenzione in data 14/12/2023 con ricarica dell'intero quantitativo di gas R-134a</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gmi</author>
  </authors>
  <commentList>
    <comment ref="R16" authorId="0" shapeId="0" xr:uid="{00000000-0006-0000-2300-000001000000}">
      <text>
        <r>
          <rPr>
            <b/>
            <sz val="8"/>
            <color indexed="81"/>
            <rFont val="Tahoma"/>
            <family val="2"/>
          </rPr>
          <t>gmi:
per il 2023 mancano ancora i rilievi dei campionamenti</t>
        </r>
      </text>
    </comment>
  </commentList>
</comments>
</file>

<file path=xl/sharedStrings.xml><?xml version="1.0" encoding="utf-8"?>
<sst xmlns="http://schemas.openxmlformats.org/spreadsheetml/2006/main" count="3380" uniqueCount="1140">
  <si>
    <t>Identificazione rifiuto</t>
  </si>
  <si>
    <t>Codice rifiuto</t>
  </si>
  <si>
    <t>Anno 2006</t>
  </si>
  <si>
    <t>Smaltimento</t>
  </si>
  <si>
    <t>Recupero</t>
  </si>
  <si>
    <t>Responsabile interno</t>
  </si>
  <si>
    <t>Ente di rilascio</t>
  </si>
  <si>
    <t>Titolo</t>
  </si>
  <si>
    <t>Frequenza</t>
  </si>
  <si>
    <t>Tipologia controllo</t>
  </si>
  <si>
    <t>Impianto termico n.</t>
  </si>
  <si>
    <t>Tipo caldaia</t>
  </si>
  <si>
    <t>Manutenzione</t>
  </si>
  <si>
    <t>Controlli di manutenzione previsti sui sistemi di prevenzione e di spegnimento</t>
  </si>
  <si>
    <t>Data scadenza autorizzazione</t>
  </si>
  <si>
    <t>Anno 2007</t>
  </si>
  <si>
    <t>Anno 2008</t>
  </si>
  <si>
    <t>Anno 2009</t>
  </si>
  <si>
    <t>Data intervento</t>
  </si>
  <si>
    <t>annuale</t>
  </si>
  <si>
    <t>semestrale</t>
  </si>
  <si>
    <t>Luci emergenza</t>
  </si>
  <si>
    <t>Manichette</t>
  </si>
  <si>
    <t>Idranti</t>
  </si>
  <si>
    <t>sistemi rilevazione  incendi</t>
  </si>
  <si>
    <t>Intervento di controllo e manutenzione ai sensi                del Reg. 517/14</t>
  </si>
  <si>
    <t>VERIFICA DI SUSSISTENZA DELL'OBBLIGO DI PRESENTARE LA RELAZIONE DI RIFERIMENTO</t>
  </si>
  <si>
    <t>NON SOGGETTA</t>
  </si>
  <si>
    <t>NOTE</t>
  </si>
  <si>
    <t>entro 30/04/16</t>
  </si>
  <si>
    <t>entro 13/11/15</t>
  </si>
  <si>
    <t>Certificato prevenzione incendi</t>
  </si>
  <si>
    <t>Data rilascio</t>
  </si>
  <si>
    <t>Autorizzazione n.</t>
  </si>
  <si>
    <t>Comune di Albaredo</t>
  </si>
  <si>
    <t>senza scadenza</t>
  </si>
  <si>
    <t>Provincia di Verona</t>
  </si>
  <si>
    <t>5590/05</t>
  </si>
  <si>
    <t>Comando Prov. VVF</t>
  </si>
  <si>
    <t>Imballaggi in carta e cartone</t>
  </si>
  <si>
    <t>Imballaggi in materiali misti</t>
  </si>
  <si>
    <t>Soluzione e fanghi di rigenerazione delle resine a scambio ionico</t>
  </si>
  <si>
    <t>triennale</t>
  </si>
  <si>
    <t>Toner per stampa esauriti, diversi da quelli di cui alla voce 080317</t>
  </si>
  <si>
    <t>080318</t>
  </si>
  <si>
    <t>assorbenti, materiali filtranti (inclusi filtri dell'olio non specificati altrimenti), stracci e indumenti protettivi, contaminati da sostanze pericolose</t>
  </si>
  <si>
    <t>150110*</t>
  </si>
  <si>
    <t>imballaggi contenenti residui di sostanze pericolose o contaminati da tali sostanze</t>
  </si>
  <si>
    <t>annuale (efficienza Energetica ogni 4 anni)</t>
  </si>
  <si>
    <t>EPRTR</t>
  </si>
  <si>
    <t>ASSOGGETTABILITA'</t>
  </si>
  <si>
    <t>ANNO RIFERIMENTO</t>
  </si>
  <si>
    <t>LIMITI</t>
  </si>
  <si>
    <t>emissione polveri &lt;50 t/a</t>
  </si>
  <si>
    <t>produzione rifiuti pericolosi &lt; 2 t/a</t>
  </si>
  <si>
    <t>produzione rifiuti non pericolosi &lt;2000 t/a</t>
  </si>
  <si>
    <t xml:space="preserve"> Uffici </t>
  </si>
  <si>
    <t>AC1P202H0033</t>
  </si>
  <si>
    <t xml:space="preserve"> Cabina trasformazione molino</t>
  </si>
  <si>
    <t>Hitachi</t>
  </si>
  <si>
    <t>sala quadri silos grano</t>
  </si>
  <si>
    <t>Panasonic</t>
  </si>
  <si>
    <t>0719910091</t>
  </si>
  <si>
    <t>ufficio molino 1P</t>
  </si>
  <si>
    <t>0704707914</t>
  </si>
  <si>
    <t>5394/13</t>
  </si>
  <si>
    <t>Oli isolanti e termovettori minerali, non clorurati</t>
  </si>
  <si>
    <t>0772980476(est.) + 926817(int.)+ 926876(int.)</t>
  </si>
  <si>
    <t>ver. iniz. 14/03/08</t>
  </si>
  <si>
    <t>3/4</t>
  </si>
  <si>
    <t>2/3</t>
  </si>
  <si>
    <t>SI (dal 14/03/08)</t>
  </si>
  <si>
    <t>2/2</t>
  </si>
  <si>
    <t>1/1</t>
  </si>
  <si>
    <t>4/5</t>
  </si>
  <si>
    <t>5/6</t>
  </si>
  <si>
    <t>5/7</t>
  </si>
  <si>
    <t>5/8</t>
  </si>
  <si>
    <t>6/9</t>
  </si>
  <si>
    <t>7/10</t>
  </si>
  <si>
    <t>8/11</t>
  </si>
  <si>
    <t>n.d.</t>
  </si>
  <si>
    <t>imballaggi in legno</t>
  </si>
  <si>
    <t>200121*</t>
  </si>
  <si>
    <t>tubi fluorescenti ed altri rifiuti contenenti mercurio</t>
  </si>
  <si>
    <t>Rifiuti liquidi acquosi contenenti adesivi o sigillanti, diversi da 08-04-15</t>
  </si>
  <si>
    <t>Imballaggi di carta e cartone</t>
  </si>
  <si>
    <t>Rifiuti destinati a recupero (Kg)</t>
  </si>
  <si>
    <t>Rifiuti destinati a smaltimento (Kg)</t>
  </si>
  <si>
    <t>Rifiuti destinati a recupero (%)</t>
  </si>
  <si>
    <t>Rifiuti destinati a smaltimento (%)</t>
  </si>
  <si>
    <t>Totale rifiuti prodotti (Kg)</t>
  </si>
  <si>
    <t>MOV.DI REG. CARICO/SCARICO</t>
  </si>
  <si>
    <t>TREND INDICATORI AMBIENTALI</t>
  </si>
  <si>
    <t>Ditta</t>
  </si>
  <si>
    <t>Autorizzazione al trasporto</t>
  </si>
  <si>
    <t>scadenza</t>
  </si>
  <si>
    <t>data rilascio</t>
  </si>
  <si>
    <r>
      <t>COD</t>
    </r>
    <r>
      <rPr>
        <sz val="11"/>
        <rFont val="Arial"/>
        <family val="2"/>
      </rPr>
      <t xml:space="preserve">  </t>
    </r>
    <r>
      <rPr>
        <sz val="10"/>
        <rFont val="Arial"/>
        <family val="2"/>
      </rPr>
      <t xml:space="preserve">                                                      </t>
    </r>
    <r>
      <rPr>
        <sz val="9"/>
        <rFont val="Arial"/>
        <family val="2"/>
      </rPr>
      <t>(Met ISO 15705:2002)</t>
    </r>
  </si>
  <si>
    <r>
      <t>IDROCARBURI TOTALI</t>
    </r>
    <r>
      <rPr>
        <sz val="10"/>
        <rFont val="Arial"/>
        <family val="2"/>
      </rPr>
      <t xml:space="preserve">                                                    </t>
    </r>
    <r>
      <rPr>
        <sz val="9"/>
        <rFont val="Arial"/>
        <family val="2"/>
      </rPr>
      <t>(Met APAT CNR IRSA 5160 A2 man 29 2003)</t>
    </r>
  </si>
  <si>
    <r>
      <t>BOD 5</t>
    </r>
    <r>
      <rPr>
        <sz val="11"/>
        <rFont val="Arial"/>
        <family val="2"/>
      </rPr>
      <t xml:space="preserve">  </t>
    </r>
    <r>
      <rPr>
        <sz val="10"/>
        <rFont val="Arial"/>
        <family val="2"/>
      </rPr>
      <t xml:space="preserve">                                                      </t>
    </r>
    <r>
      <rPr>
        <sz val="9"/>
        <rFont val="Arial"/>
        <family val="2"/>
      </rPr>
      <t>(Met APAT CNR IRSA 5120 man 29 2003)</t>
    </r>
  </si>
  <si>
    <r>
      <t xml:space="preserve">pH </t>
    </r>
    <r>
      <rPr>
        <sz val="11"/>
        <rFont val="Arial"/>
        <family val="2"/>
      </rPr>
      <t xml:space="preserve">   </t>
    </r>
    <r>
      <rPr>
        <sz val="10"/>
        <rFont val="Arial"/>
        <family val="2"/>
      </rPr>
      <t xml:space="preserve">                                                      </t>
    </r>
    <r>
      <rPr>
        <sz val="9"/>
        <rFont val="Arial"/>
        <family val="2"/>
      </rPr>
      <t>(Met APAT CNR IRSA 2060 man 29 2003)</t>
    </r>
  </si>
  <si>
    <t>U.M</t>
  </si>
  <si>
    <t>mg/l</t>
  </si>
  <si>
    <t>mg/l (come O2)</t>
  </si>
  <si>
    <t>DETERMINAZIONE</t>
  </si>
  <si>
    <t>LIMITI PREVISTI (secondo Dlgs 152)</t>
  </si>
  <si>
    <t>&lt;= 80</t>
  </si>
  <si>
    <t>&lt;= 40</t>
  </si>
  <si>
    <t>&lt;= 160</t>
  </si>
  <si>
    <t>RAC25YH6 matr. 016663 (est.) + RAS25FH6 matr. 011585 (int.)</t>
  </si>
  <si>
    <t>n.r.</t>
  </si>
  <si>
    <t>17,7 +- 3,8</t>
  </si>
  <si>
    <t xml:space="preserve">DATA CONTROLLO </t>
  </si>
  <si>
    <t>Anno 2018</t>
  </si>
  <si>
    <t>PMC 2016 (PROMOLOG)</t>
  </si>
  <si>
    <t>letture contatori 2016</t>
  </si>
  <si>
    <t>relazione 2015 (PROMOLOG)</t>
  </si>
  <si>
    <t>D 14</t>
  </si>
  <si>
    <t>D 09</t>
  </si>
  <si>
    <t>R 13</t>
  </si>
  <si>
    <t>D 15</t>
  </si>
  <si>
    <t>D 13</t>
  </si>
  <si>
    <t>R 04</t>
  </si>
  <si>
    <t>170603*</t>
  </si>
  <si>
    <t>Altri materiali isolanti contenenti o costituiti da sostanze pericolose</t>
  </si>
  <si>
    <t>Ferro e acciaio</t>
  </si>
  <si>
    <t>Sostanze chimiche di laboratorio contenenti o costituite da sostanze pericolose, comprese le miscele di sostanze chimiche di laboratorio</t>
  </si>
  <si>
    <t>impianto di messa a terra</t>
  </si>
  <si>
    <t>biennale</t>
  </si>
  <si>
    <t>ver. iniz. 21/04/10</t>
  </si>
  <si>
    <t>Clivet</t>
  </si>
  <si>
    <t>scariche atmosferiche</t>
  </si>
  <si>
    <t>verifica impianti elettrici in luoghi a rischio esplosione</t>
  </si>
  <si>
    <t>A.I.A. n° 92 (697471/5719)</t>
  </si>
  <si>
    <t>833/99</t>
  </si>
  <si>
    <t>REGISTRO LEGISLATIVO</t>
  </si>
  <si>
    <t>Matr. 4024021 (60,58 KW)</t>
  </si>
  <si>
    <t>Matr. 960109 (1710,31 KW)</t>
  </si>
  <si>
    <t>53 +- 8,9</t>
  </si>
  <si>
    <t>6,82 +- 0,14</t>
  </si>
  <si>
    <t>6,3 +- 3,4</t>
  </si>
  <si>
    <t xml:space="preserve">Matr. 23488630968 (95,3 KW) - RIELLO </t>
  </si>
  <si>
    <t>Matr. 22389 (31 KW) - ACCORRONI</t>
  </si>
  <si>
    <t>7,60 +- 0,67</t>
  </si>
  <si>
    <t>intervento</t>
  </si>
  <si>
    <t>Verifica corretta compilazione libretto</t>
  </si>
  <si>
    <r>
      <t xml:space="preserve">VERIFICA ASSOGGETTABILITA' DICHIARAZIONE AD </t>
    </r>
    <r>
      <rPr>
        <b/>
        <sz val="10"/>
        <rFont val="Arial"/>
        <family val="2"/>
      </rPr>
      <t>ISPRA</t>
    </r>
  </si>
  <si>
    <t>REGIONE VENETO unità GENIO CIVILE</t>
  </si>
  <si>
    <t>592426 (pratica pozzo D/3113)</t>
  </si>
  <si>
    <t>Disciplinare per derivazione d'acqua dalla falda sotterranea per uso industriale</t>
  </si>
  <si>
    <t>Anno 2011</t>
  </si>
  <si>
    <t>Rifiuti liquidi acquosi contenenti adesivi e sigillanti, diversi da 080415</t>
  </si>
  <si>
    <t>Note</t>
  </si>
  <si>
    <t>Entro il 31 gennaio di ogni anno deve essere presentata all 'ARPAV di Belluno (Dipartimento Regionale per la Sicurezza del Territorio U.O. Rete Idrografica Regionale Via del Candel, 65 - 32100 Belluno) denuncia in apposito modulo di quanta acqua è stata prelevata dal pozzo.</t>
  </si>
  <si>
    <t>27,0 +- 5,3</t>
  </si>
  <si>
    <t>7,51 +- 0,14</t>
  </si>
  <si>
    <t>92,3 +2</t>
  </si>
  <si>
    <t>94,2 + 2</t>
  </si>
  <si>
    <t>92,7 +2</t>
  </si>
  <si>
    <t>letture contatori 2015</t>
  </si>
  <si>
    <t>PMC 2015 (PROMOLOG)</t>
  </si>
  <si>
    <t xml:space="preserve">                                                                                                                                                                                                                                                                                                 </t>
  </si>
  <si>
    <t>PMC 2017 (PROMOLOG)</t>
  </si>
  <si>
    <t>letture contatori 2017</t>
  </si>
  <si>
    <t>PROVINCIA di VERONA Sezione AMBIENTE</t>
  </si>
  <si>
    <t>2437/11</t>
  </si>
  <si>
    <t>altri solventi e miscele di solventi</t>
  </si>
  <si>
    <t>140603*</t>
  </si>
  <si>
    <t>D14</t>
  </si>
  <si>
    <t>33 +- 6,1</t>
  </si>
  <si>
    <t>8,13 +- 0,14</t>
  </si>
  <si>
    <t>17,8 +- 3,8</t>
  </si>
  <si>
    <t>n.a.</t>
  </si>
  <si>
    <t>18 +- 4,3</t>
  </si>
  <si>
    <t>6,32 +- 0,14</t>
  </si>
  <si>
    <t>9,0 +- 3,4</t>
  </si>
  <si>
    <t>28,6 +- 4,6</t>
  </si>
  <si>
    <t>Tonnellate CO2 equivalente</t>
  </si>
  <si>
    <t>8,35</t>
  </si>
  <si>
    <t>&gt;= 5 tonnellate CO2</t>
  </si>
  <si>
    <t xml:space="preserve">concessione scarico acque meteoriche </t>
  </si>
  <si>
    <t>PRIVINCIA di VERONA                        U.O. Tutela delle acque e del suolo</t>
  </si>
  <si>
    <t>Prot. N. 0111281</t>
  </si>
  <si>
    <t>Data entro cui ci si deve            attivare per il rinnovo</t>
  </si>
  <si>
    <t>dismessi in data 04/04/2011</t>
  </si>
  <si>
    <t>Anno 2017</t>
  </si>
  <si>
    <t>RAC25YH6 matr. 024862 (est.) + RAS25FH6 matr. 018352 (int.)</t>
  </si>
  <si>
    <t>ver. iniz. 04/04/11</t>
  </si>
  <si>
    <t>sala quadri inverter fotovoltaico (imp. n° 1)</t>
  </si>
  <si>
    <t>sala quadri inverter fotovoltaico (imp. n° 2)</t>
  </si>
  <si>
    <t>11/14</t>
  </si>
  <si>
    <t>10/13</t>
  </si>
  <si>
    <t>SI (dal 20/05/10)</t>
  </si>
  <si>
    <t>RAS-6HRNM1E matr. 4HE88482 (est.) + RPC-6.0FSN2E matr. 4HE81889 (int.)</t>
  </si>
  <si>
    <t>ver. iniz. 28/04/11</t>
  </si>
  <si>
    <t>verifica recipienti a pressione sala compressori</t>
  </si>
  <si>
    <t>Simulazione di emergenza ambientale e controlli di conformità armadi ambientali</t>
  </si>
  <si>
    <t>070101*</t>
  </si>
  <si>
    <t>Soluzioni acquose di lavaggio ed acque madri</t>
  </si>
  <si>
    <r>
      <t xml:space="preserve">Rifiuti destinati a recupero (kg) </t>
    </r>
    <r>
      <rPr>
        <b/>
        <sz val="9"/>
        <rFont val="Comic Sans MS"/>
        <family val="4"/>
      </rPr>
      <t>escludendo il CER 15 01 03 "Imballaggi in legno"</t>
    </r>
  </si>
  <si>
    <r>
      <t xml:space="preserve">Rifiuti destinati a recupero (%) </t>
    </r>
    <r>
      <rPr>
        <b/>
        <sz val="9"/>
        <rFont val="Comic Sans MS"/>
        <family val="4"/>
      </rPr>
      <t>escludendo il CER 15 01 03 "Imballaggi in legno"</t>
    </r>
  </si>
  <si>
    <r>
      <t xml:space="preserve">Totale rifiuti prodotti (Kg) </t>
    </r>
    <r>
      <rPr>
        <b/>
        <sz val="9"/>
        <rFont val="Comic Sans MS"/>
        <family val="4"/>
      </rPr>
      <t>escludendo il CER 15 01 03 "Imballaggi in legno"</t>
    </r>
  </si>
  <si>
    <r>
      <t xml:space="preserve">Rifiuti destinati a smaltimento (%) </t>
    </r>
    <r>
      <rPr>
        <b/>
        <sz val="9"/>
        <rFont val="Comic Sans MS"/>
        <family val="4"/>
      </rPr>
      <t>escludendo il CER 15 01 03 "imballaggi in legno"</t>
    </r>
  </si>
  <si>
    <t>2979/15</t>
  </si>
  <si>
    <r>
      <t>Autorizzazione Integrata Ambientale (</t>
    </r>
    <r>
      <rPr>
        <b/>
        <sz val="10"/>
        <rFont val="Comic Sans MS"/>
        <family val="4"/>
      </rPr>
      <t>GMI SPA</t>
    </r>
    <r>
      <rPr>
        <sz val="10"/>
        <rFont val="Comic Sans MS"/>
        <family val="4"/>
      </rPr>
      <t>)</t>
    </r>
  </si>
  <si>
    <r>
      <t>Autorizzazione Integrata Ambientale (</t>
    </r>
    <r>
      <rPr>
        <b/>
        <sz val="10"/>
        <rFont val="Comic Sans MS"/>
        <family val="4"/>
      </rPr>
      <t>PROMOLOG SRL</t>
    </r>
    <r>
      <rPr>
        <sz val="10"/>
        <rFont val="Comic Sans MS"/>
        <family val="4"/>
      </rPr>
      <t>)</t>
    </r>
  </si>
  <si>
    <t>Comunicazione del PMC ad ARPAV, Provincia e Comune entro il 30/04 di ogni anno</t>
  </si>
  <si>
    <t>5,5-9,5</t>
  </si>
  <si>
    <t>&lt;= 5</t>
  </si>
  <si>
    <t>AGV</t>
  </si>
  <si>
    <t>14 +- 4,3</t>
  </si>
  <si>
    <t>7,55 +- 0,66</t>
  </si>
  <si>
    <t>6,0 +- 3,3</t>
  </si>
  <si>
    <t>27,5 +- 4,4</t>
  </si>
  <si>
    <t>verifica contenuto armadi ambientali</t>
  </si>
  <si>
    <t>salsicciotti di contenimento</t>
  </si>
  <si>
    <t>ELENCO MATERIALE MINIMO:</t>
  </si>
  <si>
    <t>DATA MOVIM.</t>
  </si>
  <si>
    <t xml:space="preserve">Controlli combustione </t>
  </si>
  <si>
    <t>Controlli e manutenzioni</t>
  </si>
  <si>
    <t>--</t>
  </si>
  <si>
    <t>Ossigeno %</t>
  </si>
  <si>
    <t>Rendimento combustione %</t>
  </si>
  <si>
    <t>Anno 2004</t>
  </si>
  <si>
    <t>Anno 2005</t>
  </si>
  <si>
    <t>Controllo combustione</t>
  </si>
  <si>
    <t>CO (ppm)</t>
  </si>
  <si>
    <t>SI</t>
  </si>
  <si>
    <t>NO</t>
  </si>
  <si>
    <t>Anno 2013</t>
  </si>
  <si>
    <t>Per gli impianti per i quali è previsto il libretto di impianto (quantità R22 &gt; 3 kg) è previsto oltre al rapporto di manutenzione anche la compilazione del libretto</t>
  </si>
  <si>
    <t>Autorizzazione allo scarico di acque reflue</t>
  </si>
  <si>
    <t>Autorizzazioni per le emissioni in atmosfera</t>
  </si>
  <si>
    <t>Acque oleose prodotte dalla separazione olio/acqua</t>
  </si>
  <si>
    <t>130507*</t>
  </si>
  <si>
    <t>Acido cloridrico</t>
  </si>
  <si>
    <t>Fanghi delle fosse settiche</t>
  </si>
  <si>
    <t>160213*</t>
  </si>
  <si>
    <t>130205*</t>
  </si>
  <si>
    <t>scarti di olio minerale per motori, ingranaggi e lubrificazione, non clorurati</t>
  </si>
  <si>
    <t>150202*</t>
  </si>
  <si>
    <t>21,0 +- 4,6</t>
  </si>
  <si>
    <t>6,61 +- 0,14</t>
  </si>
  <si>
    <t>Aggiornamento Autorizzazione Integrata Ambientale a seguito voltura a favore di Promolog Srl</t>
  </si>
  <si>
    <t>160506*</t>
  </si>
  <si>
    <t>semestrale (*)</t>
  </si>
  <si>
    <t>verifica pressione Anello antincendio</t>
  </si>
  <si>
    <t>Estintori (sorveglianza)</t>
  </si>
  <si>
    <t>Estintori (controllo periodico)</t>
  </si>
  <si>
    <t>Estintori (revisione)</t>
  </si>
  <si>
    <t>continua</t>
  </si>
  <si>
    <t>in funzione tipo</t>
  </si>
  <si>
    <t>060102*</t>
  </si>
  <si>
    <t>imballaggi contaminati, compresi i contenitori a pressione vuoti</t>
  </si>
  <si>
    <t>150111*</t>
  </si>
  <si>
    <t>Sbampato Gianluca</t>
  </si>
  <si>
    <t>marca</t>
  </si>
  <si>
    <t>matricola</t>
  </si>
  <si>
    <t>R 134A</t>
  </si>
  <si>
    <t>Anno 2012</t>
  </si>
  <si>
    <t>concomitante il controllo compressori</t>
  </si>
  <si>
    <t>sala compressori - essiccatore</t>
  </si>
  <si>
    <t>M.T.A. Srl mod. DE225</t>
  </si>
  <si>
    <t>4BE36375</t>
  </si>
  <si>
    <t>magazzino ricambi</t>
  </si>
  <si>
    <t>4BE41511+4BE47902</t>
  </si>
  <si>
    <t>spogliatoi ditte esterne</t>
  </si>
  <si>
    <t>513804+871736</t>
  </si>
  <si>
    <t>sala mensa</t>
  </si>
  <si>
    <t>435715+383718</t>
  </si>
  <si>
    <t>ufficio control room ica</t>
  </si>
  <si>
    <t>6300700858+6100701358+6100701331</t>
  </si>
  <si>
    <t>ufficio control room magazzino spedizioni</t>
  </si>
  <si>
    <t>553460+872269</t>
  </si>
  <si>
    <t>sala attesa autisti</t>
  </si>
  <si>
    <t>Annuale</t>
  </si>
  <si>
    <t>NON PIU' IN USO</t>
  </si>
  <si>
    <t>/</t>
  </si>
  <si>
    <t>130307*</t>
  </si>
  <si>
    <t>ver. iniz. 18/08/09</t>
  </si>
  <si>
    <t>018380(est.) + 012016(int.)</t>
  </si>
  <si>
    <t>smoke out (evacuatori fumo)</t>
  </si>
  <si>
    <t>impianto antiesplosione</t>
  </si>
  <si>
    <t xml:space="preserve">simulazione di evacuazione </t>
  </si>
  <si>
    <t>Liquido refrig.</t>
  </si>
  <si>
    <t>quantità (kg)</t>
  </si>
  <si>
    <t>R 407C</t>
  </si>
  <si>
    <t>R 410A</t>
  </si>
  <si>
    <t>R 22</t>
  </si>
  <si>
    <t xml:space="preserve"> (A) 198900+471011</t>
  </si>
  <si>
    <t xml:space="preserve"> (B) 198894+371353</t>
  </si>
  <si>
    <t>(A) 4EE44857</t>
  </si>
  <si>
    <t>(B) 4EE46613</t>
  </si>
  <si>
    <t>(C ) 4CE49966</t>
  </si>
  <si>
    <t xml:space="preserve"> </t>
  </si>
  <si>
    <t>080416</t>
  </si>
  <si>
    <t>porte REI</t>
  </si>
  <si>
    <t>uscite di sicurezza</t>
  </si>
  <si>
    <t>scadenza efficacia</t>
  </si>
  <si>
    <t>lotto</t>
  </si>
  <si>
    <r>
      <t>MATERIALI IN SOSPENSIONE</t>
    </r>
    <r>
      <rPr>
        <b/>
        <sz val="10"/>
        <rFont val="Arial"/>
        <family val="2"/>
      </rPr>
      <t xml:space="preserve"> </t>
    </r>
    <r>
      <rPr>
        <sz val="10"/>
        <rFont val="Arial"/>
        <family val="2"/>
      </rPr>
      <t xml:space="preserve">                 </t>
    </r>
    <r>
      <rPr>
        <sz val="9"/>
        <rFont val="Arial"/>
        <family val="2"/>
      </rPr>
      <t>(Met APAT CNR IRSA 2090 B man 29 2003)</t>
    </r>
  </si>
  <si>
    <t>Raccolta dati per Autorizzazione Integrata Ambientale</t>
  </si>
  <si>
    <t>sottoposto   a normativa ADR</t>
  </si>
  <si>
    <r>
      <t xml:space="preserve">QUANTITATIVO </t>
    </r>
    <r>
      <rPr>
        <b/>
        <sz val="8"/>
        <rFont val="Comic Sans MS"/>
        <family val="4"/>
      </rPr>
      <t>COMPLESSIVO</t>
    </r>
    <r>
      <rPr>
        <sz val="8"/>
        <rFont val="Comic Sans MS"/>
        <family val="4"/>
      </rPr>
      <t xml:space="preserve"> RIFIUTI ATTUALM. IN CARICO                         </t>
    </r>
    <r>
      <rPr>
        <b/>
        <sz val="8"/>
        <color indexed="10"/>
        <rFont val="Comic Sans MS"/>
        <family val="4"/>
      </rPr>
      <t>(MAX 30 M</t>
    </r>
    <r>
      <rPr>
        <b/>
        <vertAlign val="superscript"/>
        <sz val="8"/>
        <color indexed="10"/>
        <rFont val="Comic Sans MS"/>
        <family val="4"/>
      </rPr>
      <t>3</t>
    </r>
    <r>
      <rPr>
        <b/>
        <sz val="8"/>
        <color indexed="10"/>
        <rFont val="Comic Sans MS"/>
        <family val="4"/>
      </rPr>
      <t>)</t>
    </r>
  </si>
  <si>
    <r>
      <t xml:space="preserve">QUANTITATIVO RIFIUTI </t>
    </r>
    <r>
      <rPr>
        <b/>
        <sz val="8"/>
        <color indexed="10"/>
        <rFont val="Comic Sans MS"/>
        <family val="4"/>
      </rPr>
      <t>PERICOLOSI</t>
    </r>
    <r>
      <rPr>
        <sz val="8"/>
        <rFont val="Comic Sans MS"/>
        <family val="4"/>
      </rPr>
      <t xml:space="preserve"> ATTUALM. IN CARICO                         </t>
    </r>
    <r>
      <rPr>
        <b/>
        <sz val="8"/>
        <color indexed="10"/>
        <rFont val="Comic Sans MS"/>
        <family val="4"/>
      </rPr>
      <t>(MAX 10 M</t>
    </r>
    <r>
      <rPr>
        <b/>
        <vertAlign val="superscript"/>
        <sz val="8"/>
        <color indexed="10"/>
        <rFont val="Comic Sans MS"/>
        <family val="4"/>
      </rPr>
      <t>3</t>
    </r>
    <r>
      <rPr>
        <b/>
        <sz val="8"/>
        <color indexed="10"/>
        <rFont val="Comic Sans MS"/>
        <family val="4"/>
      </rPr>
      <t>)</t>
    </r>
  </si>
  <si>
    <t xml:space="preserve">RIFIUTI ATTUALMENTE IN CARICO (Kg) </t>
  </si>
  <si>
    <t>Kg di rifiuti complessivi in carico</t>
  </si>
  <si>
    <t>APPUNTI SU GESTIONE RIFIUTI</t>
  </si>
  <si>
    <r>
      <t>Peso specif. Kg/m</t>
    </r>
    <r>
      <rPr>
        <b/>
        <vertAlign val="superscript"/>
        <sz val="9"/>
        <rFont val="Comic Sans MS"/>
        <family val="4"/>
      </rPr>
      <t>3</t>
    </r>
  </si>
  <si>
    <t xml:space="preserve">FREQUENZA CONTROLLO </t>
  </si>
  <si>
    <t>11,0 +- 3,7</t>
  </si>
  <si>
    <t>6,12 +- 0,14</t>
  </si>
  <si>
    <t>8 +- 3,7</t>
  </si>
  <si>
    <t>7,26 +- 0,06</t>
  </si>
  <si>
    <t xml:space="preserve">Libretto impianto ai sensi dell'art. 3 comma 8 del  Decreto Ministeriale del 10/02/2014 pubblicato in G.U. 55 del 07/03/2014 </t>
  </si>
  <si>
    <t>DICHIARAZIONI F-GAS</t>
  </si>
  <si>
    <t>DATA</t>
  </si>
  <si>
    <t>STATO</t>
  </si>
  <si>
    <t>ESEGUITO</t>
  </si>
  <si>
    <t>Autorizzazione allo stoccaggio/smaltimento/recupero</t>
  </si>
  <si>
    <t>REGIONE VENETO Sezione AMBIENTE</t>
  </si>
  <si>
    <t>Carta e cartone</t>
  </si>
  <si>
    <t>R13</t>
  </si>
  <si>
    <t>Pasetto Mauro</t>
  </si>
  <si>
    <t>Anno 2010</t>
  </si>
  <si>
    <t>Polvere di grano; Scarti inutilizzabili per il consumo o la trasformazione</t>
  </si>
  <si>
    <t>020304</t>
  </si>
  <si>
    <t>Filtri a manica (assorbenti, materiali filtranti….)</t>
  </si>
  <si>
    <t>Simulazione emergenza ambientale</t>
  </si>
  <si>
    <t>Data</t>
  </si>
  <si>
    <t>Apparecchiature fuori uso, contenenti componenti pericolosi diversi da quelli di cui alle voci 160209 e 160212</t>
  </si>
  <si>
    <t>Apparecchiature fuori uso, diverse da quelle di cui alle voci 160209 a 160213</t>
  </si>
  <si>
    <t>sala quadri farine</t>
  </si>
  <si>
    <t>Libretto impianto / Registro apparecchiatura</t>
  </si>
  <si>
    <t>4,00</t>
  </si>
  <si>
    <t>U46J8011(est.) + 4GE67587(int.) + 4HE03871(int.)</t>
  </si>
  <si>
    <t>7,30</t>
  </si>
  <si>
    <t>4GE74056(est.) + 4GE65738(int.)</t>
  </si>
  <si>
    <t>0,87</t>
  </si>
  <si>
    <t>9/12</t>
  </si>
  <si>
    <t>4GE60123(est.) + 4GE65158(int.)</t>
  </si>
  <si>
    <t>6,77 +- 0,14</t>
  </si>
  <si>
    <t>28,2 +- 4,5</t>
  </si>
  <si>
    <t>160215*</t>
  </si>
  <si>
    <t>Componenti pericolosi rimossi da apparecchiature fuori uso</t>
  </si>
  <si>
    <t>&lt; RL</t>
  </si>
  <si>
    <t>7,55 +- 0,14</t>
  </si>
  <si>
    <t>8,8 +- 3,4</t>
  </si>
  <si>
    <t>* almeno 1 tappeto copritombino</t>
  </si>
  <si>
    <t>* almeno 5 Kg prodotto assorbente</t>
  </si>
  <si>
    <t xml:space="preserve">* almeno 10 metri complessivi di </t>
  </si>
  <si>
    <t>* prodotto assorbente elettrolita batterie</t>
  </si>
  <si>
    <t xml:space="preserve">* DPI: 1 paio di guanti, </t>
  </si>
  <si>
    <t>entro 30/04/17</t>
  </si>
  <si>
    <t>relazione 2016 (PROMOLOG)</t>
  </si>
  <si>
    <t>1 paio di occhiali protettivi</t>
  </si>
  <si>
    <t>1 sessola e 3 buste PE</t>
  </si>
  <si>
    <t>ASSORBENTI PER ACIDI BATTERIE</t>
  </si>
  <si>
    <t>fornitore</t>
  </si>
  <si>
    <t>7,14 +- 0,14</t>
  </si>
  <si>
    <t>Anno 2014</t>
  </si>
  <si>
    <t>Anno 2015</t>
  </si>
  <si>
    <t>Anno 2016</t>
  </si>
  <si>
    <t>denominazione</t>
  </si>
  <si>
    <t>Data:</t>
  </si>
  <si>
    <t>potere assorbente</t>
  </si>
  <si>
    <t>kg/lt</t>
  </si>
  <si>
    <t>apparecchiatura con gas fluorurati ad effetto serra DPR 43 (2012)</t>
  </si>
  <si>
    <t>sostituita dall'Autorizzazioner Integrata definitiva</t>
  </si>
  <si>
    <r>
      <t>Autorizzazione Integrata Ambientale (</t>
    </r>
    <r>
      <rPr>
        <b/>
        <strike/>
        <u/>
        <sz val="10"/>
        <rFont val="Comic Sans MS"/>
        <family val="4"/>
      </rPr>
      <t>Provvisoria</t>
    </r>
    <r>
      <rPr>
        <strike/>
        <sz val="10"/>
        <rFont val="Comic Sans MS"/>
        <family val="4"/>
      </rPr>
      <t>)</t>
    </r>
  </si>
  <si>
    <t>RICEVIMENTO 4° COPIA</t>
  </si>
  <si>
    <t>COD. RIF. RIFIUTO</t>
  </si>
  <si>
    <t>MOVIMENTI DI CARICO</t>
  </si>
  <si>
    <t>N° FORMULARIO</t>
  </si>
  <si>
    <t>DATA FORMULARIO</t>
  </si>
  <si>
    <t>TRASPORTATORE</t>
  </si>
  <si>
    <t>DESTINATARIO</t>
  </si>
  <si>
    <t>150101</t>
  </si>
  <si>
    <t>200121</t>
  </si>
  <si>
    <t>PMC 2014 (PROMOLOG)</t>
  </si>
  <si>
    <t>PMC 2013 (PROMOLOG)</t>
  </si>
  <si>
    <t>PMC 2013 (GRANDI MOLINI ITALIANI)</t>
  </si>
  <si>
    <t>PMC 2012 (GRANDI MOLINI ITALIANI)</t>
  </si>
  <si>
    <t>PMC 2011 (GRANDI MOLINI ITALIANI)</t>
  </si>
  <si>
    <t>letture contatori 2011</t>
  </si>
  <si>
    <t>letture contatori 2012</t>
  </si>
  <si>
    <t>letture contatori 2013</t>
  </si>
  <si>
    <t>letture contatori 2014</t>
  </si>
  <si>
    <t>relazione 2011 (GRANDI MOLINI ITALIANI)</t>
  </si>
  <si>
    <t>relazione 2012 (GRANDI MOLINI ITALIANI)</t>
  </si>
  <si>
    <t>relazione 2013 (GRANDI MOLINI ITALIANI)</t>
  </si>
  <si>
    <t>relazione 2013 (PROMOLOG)</t>
  </si>
  <si>
    <t>relazione 2014 (PROMOLOG)</t>
  </si>
  <si>
    <t>CER</t>
  </si>
  <si>
    <t>DENOMINAZIONE RIFIUTO</t>
  </si>
  <si>
    <t>ANNO DI RIFERIMENTO</t>
  </si>
  <si>
    <r>
      <t xml:space="preserve">imballaggi </t>
    </r>
    <r>
      <rPr>
        <b/>
        <sz val="9"/>
        <color indexed="48"/>
        <rFont val="Comic Sans MS"/>
        <family val="4"/>
      </rPr>
      <t>(METALLICI)</t>
    </r>
    <r>
      <rPr>
        <sz val="9"/>
        <rFont val="Comic Sans MS"/>
        <family val="4"/>
      </rPr>
      <t xml:space="preserve"> contenenti residui di sost. pericolose o contaminati da tali sost.</t>
    </r>
  </si>
  <si>
    <t>scheda tecnica</t>
  </si>
  <si>
    <t>scheda sicurezza</t>
  </si>
  <si>
    <t>06/06/2023                                (secondo quanto previsto da determinazione n° 775/15 del 05/03/2015)</t>
  </si>
  <si>
    <r>
      <t xml:space="preserve">imballaggi </t>
    </r>
    <r>
      <rPr>
        <b/>
        <sz val="9"/>
        <color indexed="48"/>
        <rFont val="Comic Sans MS"/>
        <family val="4"/>
      </rPr>
      <t>(PLASTICI)</t>
    </r>
    <r>
      <rPr>
        <sz val="9"/>
        <rFont val="Comic Sans MS"/>
        <family val="4"/>
      </rPr>
      <t xml:space="preserve"> contenenti residui di sost. pericolose o contaminati da tali sost.</t>
    </r>
  </si>
  <si>
    <t>Gas in contenitori a pressione, diversi da quelli di cui alla voce 16 05 04</t>
  </si>
  <si>
    <r>
      <t xml:space="preserve">imballaggi </t>
    </r>
    <r>
      <rPr>
        <b/>
        <sz val="9"/>
        <color indexed="48"/>
        <rFont val="Comic Sans MS"/>
        <family val="4"/>
      </rPr>
      <t>(LABORATORIO)</t>
    </r>
    <r>
      <rPr>
        <sz val="9"/>
        <rFont val="Comic Sans MS"/>
        <family val="4"/>
      </rPr>
      <t xml:space="preserve"> contenenti residui di sost. pericolose o contaminati da tali sost.</t>
    </r>
  </si>
  <si>
    <r>
      <t>GRANAGLIE/SFARINATI</t>
    </r>
    <r>
      <rPr>
        <sz val="9"/>
        <rFont val="Comic Sans MS"/>
        <family val="4"/>
      </rPr>
      <t>; Scarti inutilizzabili per il consumo o la trasformazione</t>
    </r>
  </si>
  <si>
    <t>ANALISI DI CARATTERIZZAZIONE ESEGUITE SUI RIFIUTI</t>
  </si>
  <si>
    <t>maschere facciali antincendio</t>
  </si>
  <si>
    <t>170405</t>
  </si>
  <si>
    <t>161001*</t>
  </si>
  <si>
    <t>Soluzioni acquose di scarto, contenenti sostanze pericolose</t>
  </si>
  <si>
    <t>170203</t>
  </si>
  <si>
    <t>Rifiuti plastici provenienti dalle operazioni di costruzione e di demoliz. (cinghie di distribuzione)</t>
  </si>
  <si>
    <t>Componenti rimossi da apparecchiature fuori uso (cinghie di distribuzione)</t>
  </si>
  <si>
    <t>Rifiuti misti dell'attività di costruzione e demolizione (cinghie di distribuzione)</t>
  </si>
  <si>
    <t>7,58 +- 0,67</t>
  </si>
  <si>
    <t>14,5 +- 3,6</t>
  </si>
  <si>
    <t>Plastica</t>
  </si>
  <si>
    <t>8,0 +- 3,6</t>
  </si>
  <si>
    <t>6,69 +- 0,62</t>
  </si>
  <si>
    <t>12,0 +- 3,5</t>
  </si>
  <si>
    <t>39,7 +- 5,3</t>
  </si>
  <si>
    <t>entro 30/04/18</t>
  </si>
  <si>
    <t>relazione 2017 (PROMOLOG)</t>
  </si>
  <si>
    <t>N° identificativo interno</t>
  </si>
  <si>
    <t>Kaiser mod. TF 230</t>
  </si>
  <si>
    <t>2,00</t>
  </si>
  <si>
    <t>dismesso il 12/01/18</t>
  </si>
  <si>
    <t>3 – INDICATORI DI PRESTAZIONE</t>
  </si>
  <si>
    <r>
      <t xml:space="preserve">Tabella 3.1. </t>
    </r>
    <r>
      <rPr>
        <i/>
        <sz val="11"/>
        <rFont val="Tahoma"/>
        <family val="2"/>
      </rPr>
      <t>Monitoraggio degli indicatori di performance</t>
    </r>
  </si>
  <si>
    <t>Indicatore a sua descrizione</t>
  </si>
  <si>
    <t>UM</t>
  </si>
  <si>
    <r>
      <t xml:space="preserve">2013          </t>
    </r>
    <r>
      <rPr>
        <b/>
        <sz val="12"/>
        <color indexed="48"/>
        <rFont val="Tahoma"/>
        <family val="2"/>
      </rPr>
      <t>(GMI)</t>
    </r>
  </si>
  <si>
    <r>
      <t xml:space="preserve">2013 </t>
    </r>
    <r>
      <rPr>
        <b/>
        <sz val="12"/>
        <color indexed="48"/>
        <rFont val="Tahoma"/>
        <family val="2"/>
      </rPr>
      <t>(PROMOLOG)</t>
    </r>
  </si>
  <si>
    <r>
      <t xml:space="preserve">2013 </t>
    </r>
    <r>
      <rPr>
        <b/>
        <sz val="10"/>
        <color indexed="48"/>
        <rFont val="Tahoma"/>
        <family val="2"/>
      </rPr>
      <t>(GMI+PROMOLOG)</t>
    </r>
  </si>
  <si>
    <t>Materie prime</t>
  </si>
  <si>
    <t>Energia elettrica totale vs. grano macinato</t>
  </si>
  <si>
    <t>Kwh/t</t>
  </si>
  <si>
    <t>Energia elettrica da rete esterna vs. grano macinato</t>
  </si>
  <si>
    <t>Energia elettrica autoprodotta vs. grano macinato</t>
  </si>
  <si>
    <t>Emissioni</t>
  </si>
  <si>
    <t>Polveri emesse / grano macinato</t>
  </si>
  <si>
    <t>Kg/t</t>
  </si>
  <si>
    <t>Consumi idrici</t>
  </si>
  <si>
    <t>Acqua utilizzata in bagnatura / farina prodotta</t>
  </si>
  <si>
    <t>l/t</t>
  </si>
  <si>
    <t>Acqua utilizzata in bagnatura / grano macinato</t>
  </si>
  <si>
    <r>
      <t xml:space="preserve">Rifiuti </t>
    </r>
    <r>
      <rPr>
        <b/>
        <strike/>
        <sz val="10"/>
        <rFont val="Tahoma"/>
        <family val="2"/>
      </rPr>
      <t>(sottoprodotti)</t>
    </r>
  </si>
  <si>
    <t>Rifiuti totali (P e NP) vs. grano macinato</t>
  </si>
  <si>
    <r>
      <t xml:space="preserve">Rifiuti </t>
    </r>
    <r>
      <rPr>
        <i/>
        <sz val="10"/>
        <rFont val="Tahoma"/>
        <family val="2"/>
      </rPr>
      <t>non pericolosi</t>
    </r>
    <r>
      <rPr>
        <sz val="10"/>
        <rFont val="Tahoma"/>
        <family val="2"/>
      </rPr>
      <t xml:space="preserve"> vs. grano macinato</t>
    </r>
  </si>
  <si>
    <t>Rifiuti pericolosi vs. grano macinato</t>
  </si>
  <si>
    <t>% rifiuti a recupero vs. rifiuti totali</t>
  </si>
  <si>
    <t>%</t>
  </si>
  <si>
    <t>Scarti inutilizzabili per il consumo (CER 020304) / farina prodotta</t>
  </si>
  <si>
    <t>Imballaggi carta e cartone (CER 150101) / farina prodotta</t>
  </si>
  <si>
    <t>Combustibili</t>
  </si>
  <si>
    <t xml:space="preserve">Consumo di metano vs. grano macinato </t>
  </si>
  <si>
    <r>
      <t>m</t>
    </r>
    <r>
      <rPr>
        <vertAlign val="superscript"/>
        <sz val="10"/>
        <rFont val="Tahoma"/>
        <family val="2"/>
      </rPr>
      <t>3</t>
    </r>
    <r>
      <rPr>
        <sz val="10"/>
        <rFont val="Tahoma"/>
        <family val="2"/>
      </rPr>
      <t>/t</t>
    </r>
  </si>
  <si>
    <t>Consumo di metano vs. farina prodotta</t>
  </si>
  <si>
    <t>Imballaggi di plastica</t>
  </si>
  <si>
    <t>150102</t>
  </si>
  <si>
    <t>??????</t>
  </si>
  <si>
    <t>Anno 2019</t>
  </si>
  <si>
    <t>Autorizzazione intermediazione e commercio rifiuti pericolosi e non</t>
  </si>
  <si>
    <t>18,0 +- 4,9</t>
  </si>
  <si>
    <t>7,09 +-0,65</t>
  </si>
  <si>
    <t>13,0 +- 3,5</t>
  </si>
  <si>
    <t>38,0 +- 5,2</t>
  </si>
  <si>
    <t xml:space="preserve">NON DOVUTA </t>
  </si>
  <si>
    <t>impianto termico n° 3 (ad olio diaterm.) Pot. Nom. Max 1710,31 KW / Pot. Nom. Utile 1453,75 KW</t>
  </si>
  <si>
    <t>impianto termico n° 2 (uffici) Pot. Nom. Max. 60,58 KW / Pot. Nom. Utile 55,5 KW</t>
  </si>
  <si>
    <t>impianto termico n° 1 (mensa) Pot. Nom. Max 95,3 KW / Pot. Nom. Utile 86 KW</t>
  </si>
  <si>
    <t>6,84 +- 0,63</t>
  </si>
  <si>
    <t>15,3 +-3,7</t>
  </si>
  <si>
    <t>registro aggiornato al:</t>
  </si>
  <si>
    <t>Materiali isolanti diversi da quelli di cui alle voci 170601 e 170603</t>
  </si>
  <si>
    <t>6,81 +- 0,63</t>
  </si>
  <si>
    <t>31,9 +-4,7</t>
  </si>
  <si>
    <t>Anno 2020</t>
  </si>
  <si>
    <t>Destinazione corrente (attuale)</t>
  </si>
  <si>
    <t>XX/XX/2020</t>
  </si>
  <si>
    <t>entro 30/04/19</t>
  </si>
  <si>
    <t>entro 30/04/20</t>
  </si>
  <si>
    <t>PMC 2018 (PROMOLOG)</t>
  </si>
  <si>
    <t>PMC 2019 (PROMOLOG)</t>
  </si>
  <si>
    <t>letture contatori 2018</t>
  </si>
  <si>
    <t>letture contatori 2019</t>
  </si>
  <si>
    <t>relazione 2018 (PROMOLOG)</t>
  </si>
  <si>
    <t>relazione 2019 (PROMOLOG)</t>
  </si>
  <si>
    <t>letture contatori 2020</t>
  </si>
  <si>
    <t>PMC 2020 (PROMOLOG)</t>
  </si>
  <si>
    <t>18 +- 4,7</t>
  </si>
  <si>
    <t>6,36+-0,60</t>
  </si>
  <si>
    <t>11+-3,5</t>
  </si>
  <si>
    <t>62,1+-7,3</t>
  </si>
  <si>
    <t>addetti coinvolti nelle esercitazioni</t>
  </si>
  <si>
    <t>FORMAZIONE</t>
  </si>
  <si>
    <r>
      <t xml:space="preserve">semestrale </t>
    </r>
    <r>
      <rPr>
        <b/>
        <u/>
        <sz val="9"/>
        <rFont val="Comic Sans MS"/>
        <family val="4"/>
      </rPr>
      <t>(o con più simulazioni in modo da coinvolgere tutto il personale</t>
    </r>
  </si>
  <si>
    <t>Imballaggi di plastica (CER 150102) / farina prodotta</t>
  </si>
  <si>
    <t>6,76+-0,62</t>
  </si>
  <si>
    <t>16,3+-3,7</t>
  </si>
  <si>
    <t>Anno 2021</t>
  </si>
  <si>
    <t>entro 30/04/21</t>
  </si>
  <si>
    <t>entro 30/04/2021</t>
  </si>
  <si>
    <t>PMC 2021 (PROMOLOG)</t>
  </si>
  <si>
    <t>letture contatori 2021</t>
  </si>
  <si>
    <t>relazione 2020 (PROMOLOG)</t>
  </si>
  <si>
    <t>7,27+-0,16</t>
  </si>
  <si>
    <t>8,0+-3,4</t>
  </si>
  <si>
    <t>63,3+-7,4</t>
  </si>
  <si>
    <t>RAC-25WED matr. 025292 (est.) + RAC-25PED matr. 020581 (int.)</t>
  </si>
  <si>
    <t>COMUNICAZIONI</t>
  </si>
  <si>
    <t>COMUNICAZIONI PER SCELTA GESTORE (TARIFFE RIFIUTI)</t>
  </si>
  <si>
    <t>DOCUMENTI DI RIFERIMENTO</t>
  </si>
  <si>
    <t>bozza fac-simile comunicazione</t>
  </si>
  <si>
    <t>indicazioni intercommercio</t>
  </si>
  <si>
    <t>allegato L-quater (parte IV DLGS 152/06)</t>
  </si>
  <si>
    <t>allegato I-quinquies (parte IV DLGS 152/06)</t>
  </si>
  <si>
    <t>EMPTEEZY ITALIA SRL</t>
  </si>
  <si>
    <t>BATTEREEZY HT</t>
  </si>
  <si>
    <t>ordine di acquisto</t>
  </si>
  <si>
    <t>01/06/2021</t>
  </si>
  <si>
    <t>01-06-2026</t>
  </si>
  <si>
    <t>20/04/2021 e 03/06/2021</t>
  </si>
  <si>
    <t>R 32</t>
  </si>
  <si>
    <t>ver. iniz. 15/07/21</t>
  </si>
  <si>
    <t>6,72+-0,08</t>
  </si>
  <si>
    <t>27,9+-3,2</t>
  </si>
  <si>
    <t>160303*</t>
  </si>
  <si>
    <t>Rifiuti inorganici, contenenti sostanze pericolose</t>
  </si>
  <si>
    <t>Anno 2022</t>
  </si>
  <si>
    <t>PMC 2022 (PROMOLOG)</t>
  </si>
  <si>
    <t>letture contatori 2022</t>
  </si>
  <si>
    <t>entro 30/04/22</t>
  </si>
  <si>
    <t>6,77+-0,08</t>
  </si>
  <si>
    <t>54,2+-6,3</t>
  </si>
  <si>
    <t>1.1</t>
  </si>
  <si>
    <t>Materie prime e prodotti in ingresso e in uscita</t>
  </si>
  <si>
    <t>REPORTING</t>
  </si>
  <si>
    <t>Mensile</t>
  </si>
  <si>
    <t>FASE</t>
  </si>
  <si>
    <t>1.2</t>
  </si>
  <si>
    <t>Risorse idriche</t>
  </si>
  <si>
    <t>1.3</t>
  </si>
  <si>
    <t>Risorse energetiche</t>
  </si>
  <si>
    <t>1.4</t>
  </si>
  <si>
    <t>Consumo combustibili</t>
  </si>
  <si>
    <t>Mensile (metano) /Annuale (gasolio)</t>
  </si>
  <si>
    <t>1.5</t>
  </si>
  <si>
    <t>Emissioni in aria</t>
  </si>
  <si>
    <t>1.6</t>
  </si>
  <si>
    <t>Emissioni in acqua (SF2)</t>
  </si>
  <si>
    <t>Semestrale</t>
  </si>
  <si>
    <t>1.7</t>
  </si>
  <si>
    <t>Rumore</t>
  </si>
  <si>
    <t>Triennale</t>
  </si>
  <si>
    <t>1.8</t>
  </si>
  <si>
    <t>Rifiuti</t>
  </si>
  <si>
    <t>Settimanale (quantità)/ Annuale (caratterizzazione)</t>
  </si>
  <si>
    <t>1.9</t>
  </si>
  <si>
    <t>Suolo e sottosuolo (acque di falda)</t>
  </si>
  <si>
    <t>2.1.2</t>
  </si>
  <si>
    <t>Annuale (solo esiti negativi)</t>
  </si>
  <si>
    <t>Gestione impianto (manutenzione ordinaria impianti di abattimento)</t>
  </si>
  <si>
    <t>2.1.3</t>
  </si>
  <si>
    <t>Gestione impianto (sistemi trattamento dei fumi)</t>
  </si>
  <si>
    <t>Giornaliero</t>
  </si>
  <si>
    <t>2.1.4</t>
  </si>
  <si>
    <t>Gestione impianto (sistemi di depurazione)</t>
  </si>
  <si>
    <t>2.1.5</t>
  </si>
  <si>
    <t>Gestione impianto (aree di stoccaggio)</t>
  </si>
  <si>
    <t>3.1</t>
  </si>
  <si>
    <t>Indicatori di prestazione (Monitoraggio indicatori performance)</t>
  </si>
  <si>
    <t>FREQUENZA</t>
  </si>
  <si>
    <t>AUTOCONTROLLO</t>
  </si>
  <si>
    <t>CHECK LIST ADEMPIMENTI REQUISITI AIA</t>
  </si>
  <si>
    <t>COMPONENTI AMBIENTALI</t>
  </si>
  <si>
    <t>RIF.</t>
  </si>
  <si>
    <t>AIA</t>
  </si>
  <si>
    <t>RIFERIMENTO ANNO 2022</t>
  </si>
  <si>
    <t>DATA DEL DOCUMENTO</t>
  </si>
  <si>
    <t>entro 02/01/2023</t>
  </si>
  <si>
    <t>entro 30/04/2024</t>
  </si>
  <si>
    <t>entro 10/01/2025</t>
  </si>
  <si>
    <t>ATTIVITA'</t>
  </si>
  <si>
    <t>comunicazione entro 24 ore ad Arpav, Provincia e Comune del campionamento emissioni in acqua SF2 per il 1 SEMESTRE</t>
  </si>
  <si>
    <t>comunicazione entro 24 ore ad Arpav, Provincia e Comune del campionamento emissioni in acqua SF2 per il 2 SEMESTRE</t>
  </si>
  <si>
    <t>invio relazione dati caratteristici e PMC del 2022 ad Arpav, Provincia e Comune</t>
  </si>
  <si>
    <t>ESEGUITO / CONFORME</t>
  </si>
  <si>
    <t>Comunicazione con preavviso di almeno 10 gg naturali e consecutivi ad Arpav, Provincia e Comune del campionamento emissioni in atmsosfera</t>
  </si>
  <si>
    <t xml:space="preserve">Comunicazione con preavviso di almeno 10 gg naturali e consecutivi ad Arpav, Provincia e Comune del campionamento immissione acustica </t>
  </si>
  <si>
    <t>NON APPLICABILE PER l'ANNO CORRENTE</t>
  </si>
  <si>
    <t>RIFERIMENTO ANNO 2021</t>
  </si>
  <si>
    <r>
      <t xml:space="preserve">QUANTITATIVO RIFIUTI </t>
    </r>
    <r>
      <rPr>
        <b/>
        <sz val="8"/>
        <rFont val="Comic Sans MS"/>
        <family val="4"/>
      </rPr>
      <t>NON</t>
    </r>
    <r>
      <rPr>
        <sz val="8"/>
        <rFont val="Comic Sans MS"/>
        <family val="4"/>
      </rPr>
      <t xml:space="preserve"> PERICOLOSI   ATTUALM. IN CARICO  </t>
    </r>
    <r>
      <rPr>
        <b/>
        <sz val="8"/>
        <rFont val="Comic Sans MS"/>
        <family val="4"/>
      </rPr>
      <t>(M</t>
    </r>
    <r>
      <rPr>
        <b/>
        <vertAlign val="superscript"/>
        <sz val="8"/>
        <rFont val="Comic Sans MS"/>
        <family val="4"/>
      </rPr>
      <t>3</t>
    </r>
    <r>
      <rPr>
        <b/>
        <sz val="8"/>
        <rFont val="Comic Sans MS"/>
        <family val="4"/>
      </rPr>
      <t>)</t>
    </r>
  </si>
  <si>
    <t>CARICO        KG</t>
  </si>
  <si>
    <t>SCARICO               KG</t>
  </si>
  <si>
    <t>STATO DELLA VERIFICA DELL'AVVENUTO SMALTIMENTO             (ESEGUITO / IN ATTESA)</t>
  </si>
  <si>
    <t>PESO RISCONTRATO      A DESTINO             KG</t>
  </si>
  <si>
    <t>Produttore</t>
  </si>
  <si>
    <t>n° formulario</t>
  </si>
  <si>
    <t>data formulario</t>
  </si>
  <si>
    <r>
      <t>data smaltimento (</t>
    </r>
    <r>
      <rPr>
        <b/>
        <u/>
        <sz val="10"/>
        <rFont val="Arial"/>
        <family val="2"/>
      </rPr>
      <t>frequenza annuale</t>
    </r>
    <r>
      <rPr>
        <b/>
        <sz val="10"/>
        <rFont val="Arial"/>
        <family val="2"/>
      </rPr>
      <t>)</t>
    </r>
  </si>
  <si>
    <t>Quantità             (Kg)</t>
  </si>
  <si>
    <t>Destinazione rifiuto</t>
  </si>
  <si>
    <t>Destinatario</t>
  </si>
  <si>
    <t>FANGHI DELLE FOSSE SETTICHE</t>
  </si>
  <si>
    <t>pozzo dismesso</t>
  </si>
  <si>
    <t>Note per rinnovo</t>
  </si>
  <si>
    <r>
      <t xml:space="preserve">Comunicazione Provincia del 08/06/2022  di avvio del procedimento per il riesame del provedimento di rinnovo dell'AIA- trasmettere entro il </t>
    </r>
    <r>
      <rPr>
        <b/>
        <u/>
        <sz val="10"/>
        <color rgb="FFFF0000"/>
        <rFont val="Arial"/>
        <family val="2"/>
      </rPr>
      <t>08/12/2022</t>
    </r>
    <r>
      <rPr>
        <u/>
        <sz val="10"/>
        <color indexed="12"/>
        <rFont val="Arial"/>
        <family val="2"/>
      </rPr>
      <t xml:space="preserve"> la documentazione richiesta</t>
    </r>
  </si>
  <si>
    <t>relazione 2021 (PROMOLOG)</t>
  </si>
  <si>
    <t>Anno 2023</t>
  </si>
  <si>
    <t>21/04/21 - 19/10/21</t>
  </si>
  <si>
    <t>HAIER</t>
  </si>
  <si>
    <t>AAB0T 0E000 0N1M8(est.) + 012722420146(int.)+ 012722420172(int.)</t>
  </si>
  <si>
    <t>14,0 +- 3,7</t>
  </si>
  <si>
    <t>6,84+-0,08</t>
  </si>
  <si>
    <t>19,0+-3,8</t>
  </si>
  <si>
    <t>72,4+-8,4</t>
  </si>
  <si>
    <t>Matr. 1001932892-0 (34,00 KW)- IMMERGAS VICTRIX PRO 35 ErP</t>
  </si>
  <si>
    <t>impianto termico n° 2 (uffici) Pot. Nom. Max. 34,00 KW / Pot. Nom. Utile 34,00 KW</t>
  </si>
  <si>
    <t>21/04/22 - 21/11/22</t>
  </si>
  <si>
    <t>21/04/22 - 21/12/22</t>
  </si>
  <si>
    <t>RAC35YH5 matr. 015999(est.) + 001516(int.)</t>
  </si>
  <si>
    <t>RAC50NH5 matr. 0732844064(est.) + 416746(int.)</t>
  </si>
  <si>
    <r>
      <rPr>
        <b/>
        <sz val="10"/>
        <rFont val="Arial"/>
        <family val="2"/>
      </rPr>
      <t xml:space="preserve"> CONFORME</t>
    </r>
    <r>
      <rPr>
        <sz val="10"/>
        <rFont val="Arial"/>
        <family val="2"/>
      </rPr>
      <t xml:space="preserve"> </t>
    </r>
  </si>
  <si>
    <r>
      <rPr>
        <b/>
        <sz val="10"/>
        <rFont val="Arial"/>
        <family val="2"/>
      </rPr>
      <t>CONFORME</t>
    </r>
    <r>
      <rPr>
        <sz val="10"/>
        <rFont val="Arial"/>
        <family val="2"/>
      </rPr>
      <t xml:space="preserve"> per 1° e 2° semestre</t>
    </r>
  </si>
  <si>
    <r>
      <t xml:space="preserve"> </t>
    </r>
    <r>
      <rPr>
        <b/>
        <sz val="10"/>
        <rFont val="Arial"/>
        <family val="2"/>
      </rPr>
      <t>CONFORME</t>
    </r>
    <r>
      <rPr>
        <sz val="10"/>
        <rFont val="Arial"/>
        <family val="2"/>
      </rPr>
      <t xml:space="preserve"> </t>
    </r>
  </si>
  <si>
    <r>
      <rPr>
        <b/>
        <sz val="10"/>
        <rFont val="Arial"/>
        <family val="2"/>
      </rPr>
      <t>CONFORME</t>
    </r>
    <r>
      <rPr>
        <sz val="10"/>
        <rFont val="Arial"/>
        <family val="2"/>
      </rPr>
      <t xml:space="preserve"> </t>
    </r>
  </si>
  <si>
    <r>
      <rPr>
        <b/>
        <sz val="10"/>
        <rFont val="Arial"/>
        <family val="2"/>
      </rPr>
      <t>CONFORME</t>
    </r>
    <r>
      <rPr>
        <sz val="10"/>
        <rFont val="Arial"/>
        <family val="2"/>
      </rPr>
      <t/>
    </r>
  </si>
  <si>
    <r>
      <rPr>
        <b/>
        <sz val="10"/>
        <rFont val="Arial"/>
        <family val="2"/>
      </rPr>
      <t xml:space="preserve"> CONFORME</t>
    </r>
    <r>
      <rPr>
        <sz val="10"/>
        <rFont val="Arial"/>
        <family val="2"/>
      </rPr>
      <t/>
    </r>
  </si>
  <si>
    <t>RIFERIMENTO ANNO 2023</t>
  </si>
  <si>
    <t>relazione 2022 (PROMOLOG)</t>
  </si>
  <si>
    <t>entro 30/04/23</t>
  </si>
  <si>
    <t>entro 02/11/2023</t>
  </si>
  <si>
    <t>entro 10/01/2024</t>
  </si>
  <si>
    <r>
      <t xml:space="preserve">ad oggi </t>
    </r>
    <r>
      <rPr>
        <b/>
        <sz val="10"/>
        <rFont val="Arial"/>
        <family val="2"/>
      </rPr>
      <t>CONFORME</t>
    </r>
    <r>
      <rPr>
        <sz val="10"/>
        <rFont val="Arial"/>
        <family val="2"/>
      </rPr>
      <t/>
    </r>
  </si>
  <si>
    <t>letture contatori 2023</t>
  </si>
  <si>
    <t>PMC 2023 (PROMOLOG)</t>
  </si>
  <si>
    <t>entro 30/04/24</t>
  </si>
  <si>
    <t>5,0 +- 1,3</t>
  </si>
  <si>
    <t>7,62+-0,08</t>
  </si>
  <si>
    <t>Aermec</t>
  </si>
  <si>
    <t>(A) 2303616075820001</t>
  </si>
  <si>
    <t>Identificazione condizionatori impianto                             (mappatura)</t>
  </si>
  <si>
    <t>Anno 2024</t>
  </si>
  <si>
    <t>Attuale CODICE Smaltimento     / Recupero</t>
  </si>
  <si>
    <t>Evidenza gestione rifiuto del produttore</t>
  </si>
  <si>
    <t>7,10+-0,08</t>
  </si>
  <si>
    <t>32,8+-2,8</t>
  </si>
  <si>
    <t>7,00+-0,08</t>
  </si>
  <si>
    <t>22,4+-2,1</t>
  </si>
  <si>
    <t>entro 05/12/2024</t>
  </si>
  <si>
    <t>entro 05/12/24</t>
  </si>
  <si>
    <r>
      <t>30/04/24 - xx</t>
    </r>
    <r>
      <rPr>
        <sz val="9"/>
        <color rgb="FFFF0000"/>
        <rFont val="Comic Sans MS"/>
        <family val="4"/>
      </rPr>
      <t>/xx/24</t>
    </r>
  </si>
  <si>
    <t>26/04/23 - 02/11/23</t>
  </si>
  <si>
    <t>Consumo specifico di energia                                                       (consumo di energia finale/tasso di attività)</t>
  </si>
  <si>
    <t>MWh/t</t>
  </si>
  <si>
    <t>RIF. MOV.DI REG.SCARICO</t>
  </si>
  <si>
    <t>FORMULARIO</t>
  </si>
  <si>
    <t>QUANTITATIVO      (KG)</t>
  </si>
  <si>
    <r>
      <t>QUANTITATIVO      (</t>
    </r>
    <r>
      <rPr>
        <b/>
        <sz val="9"/>
        <color rgb="FFFF0000"/>
        <rFont val="Comic Sans MS"/>
        <family val="4"/>
      </rPr>
      <t>1.000 KG MAX</t>
    </r>
    <r>
      <rPr>
        <b/>
        <sz val="9"/>
        <rFont val="Comic Sans MS"/>
        <family val="4"/>
      </rPr>
      <t xml:space="preserve">) </t>
    </r>
  </si>
  <si>
    <r>
      <t xml:space="preserve">TOTALE </t>
    </r>
    <r>
      <rPr>
        <b/>
        <sz val="8"/>
        <color rgb="FFFF0000"/>
        <rFont val="Arial"/>
        <family val="2"/>
      </rPr>
      <t>(24.000 Kg max)</t>
    </r>
  </si>
  <si>
    <t>ANNOTAZIONI</t>
  </si>
  <si>
    <r>
      <t xml:space="preserve">TOTALE </t>
    </r>
    <r>
      <rPr>
        <b/>
        <sz val="8"/>
        <color rgb="FFFF0000"/>
        <rFont val="Arial"/>
        <family val="2"/>
      </rPr>
      <t>(50.000 Kg max)</t>
    </r>
  </si>
  <si>
    <r>
      <t xml:space="preserve">RIFIUTI </t>
    </r>
    <r>
      <rPr>
        <b/>
        <sz val="15"/>
        <color rgb="FF00B0F0"/>
        <rFont val="Arial"/>
        <family val="2"/>
      </rPr>
      <t>LIQUIDI</t>
    </r>
    <r>
      <rPr>
        <b/>
        <sz val="10"/>
        <rFont val="Arial"/>
        <family val="2"/>
      </rPr>
      <t xml:space="preserve"> CON TRASPORTO SOGGETTO A NORMATIVA ADR -	                                                                                                                                                                                                                                                                                                                                                                                       </t>
    </r>
    <r>
      <rPr>
        <b/>
        <sz val="10"/>
        <color rgb="FFFF0000"/>
        <rFont val="Arial"/>
        <family val="2"/>
      </rPr>
      <t>LIMITAZIONI</t>
    </r>
    <r>
      <rPr>
        <b/>
        <sz val="10"/>
        <rFont val="Arial"/>
        <family val="2"/>
      </rPr>
      <t xml:space="preserve"> </t>
    </r>
    <r>
      <rPr>
        <b/>
        <u/>
        <sz val="10"/>
        <rFont val="Arial"/>
        <family val="2"/>
      </rPr>
      <t xml:space="preserve">oltre le quali è necessario provvedere alla nomina di un proprio consulente ADR: </t>
    </r>
    <r>
      <rPr>
        <b/>
        <sz val="10"/>
        <rFont val="Arial"/>
        <family val="2"/>
      </rPr>
      <t xml:space="preserve">                                                                                                                                                                                                                                                                                                                                                    per tali rifiuti liquidi spediti in autobotte (per esempio gli OLI): </t>
    </r>
    <r>
      <rPr>
        <b/>
        <sz val="10"/>
        <color rgb="FF0070C0"/>
        <rFont val="Arial"/>
        <family val="2"/>
      </rPr>
      <t>12 spedizioni max all’anno, 2 spedizioni max al mese, per un quantitativo massimo complessivo di 50 ton/anno.</t>
    </r>
  </si>
  <si>
    <r>
      <t xml:space="preserve">TOTALE SPEDIZIONI </t>
    </r>
    <r>
      <rPr>
        <b/>
        <sz val="8"/>
        <color rgb="FFFF0000"/>
        <rFont val="Arial"/>
        <family val="2"/>
      </rPr>
      <t>(24 max/anno)</t>
    </r>
  </si>
  <si>
    <t>PESO VERIFICATO A DESTINO</t>
  </si>
  <si>
    <r>
      <t xml:space="preserve">RIFIUTI </t>
    </r>
    <r>
      <rPr>
        <b/>
        <sz val="15"/>
        <color rgb="FF00B050"/>
        <rFont val="Arial"/>
        <family val="2"/>
      </rPr>
      <t>SOLIDI</t>
    </r>
    <r>
      <rPr>
        <b/>
        <sz val="10"/>
        <rFont val="Arial"/>
        <family val="2"/>
      </rPr>
      <t xml:space="preserve"> CON TRASPORTO SOGGETTO A NORMATIVA ADR                                                                          	                                                                                                                                                                                                                                                                                                                                                                                                                                                                                                                                                                                                                                         </t>
    </r>
    <r>
      <rPr>
        <b/>
        <sz val="10"/>
        <color rgb="FFFF0000"/>
        <rFont val="Arial"/>
        <family val="2"/>
      </rPr>
      <t>LIMITAZIONI</t>
    </r>
    <r>
      <rPr>
        <b/>
        <sz val="10"/>
        <rFont val="Arial"/>
        <family val="2"/>
      </rPr>
      <t xml:space="preserve"> </t>
    </r>
    <r>
      <rPr>
        <b/>
        <u/>
        <sz val="10"/>
        <rFont val="Arial"/>
        <family val="2"/>
      </rPr>
      <t xml:space="preserve">oltre le quali è necessario provvedere alla nomina di un proprio consulente ADR: </t>
    </r>
    <r>
      <rPr>
        <b/>
        <sz val="10"/>
        <rFont val="Arial"/>
        <family val="2"/>
      </rPr>
      <t xml:space="preserve">                                                                                                                                                                                                                                                                                                                                                                                                                                                                                                                                                                                                                                                                                                     per tali rifiuti solidi spediti in colli (per esempio gli imballaggi contaminati): </t>
    </r>
    <r>
      <rPr>
        <b/>
        <sz val="10"/>
        <color rgb="FF0070C0"/>
        <rFont val="Arial"/>
        <family val="2"/>
      </rPr>
      <t>24 spedizioni max all’anno, 3 spedizioni max al mese con un quantitativo massimo complessivo per spedizione non superiore ai 1.000 Kg</t>
    </r>
    <r>
      <rPr>
        <b/>
        <sz val="10"/>
        <rFont val="Arial"/>
        <family val="2"/>
      </rPr>
      <t>.</t>
    </r>
  </si>
  <si>
    <r>
      <t xml:space="preserve">TOTALE SPEDIZIONI </t>
    </r>
    <r>
      <rPr>
        <b/>
        <sz val="8"/>
        <color rgb="FFFF0000"/>
        <rFont val="Arial"/>
        <family val="2"/>
      </rPr>
      <t>(12 max/anno)</t>
    </r>
  </si>
  <si>
    <t>RAS-6HNC1E matr. 4PE83713 (est.) + RPC-6.0FSN3  matr. UAWF1578 (int.)</t>
  </si>
  <si>
    <r>
      <t>ad oggi</t>
    </r>
    <r>
      <rPr>
        <b/>
        <sz val="10"/>
        <rFont val="Arial"/>
        <family val="2"/>
      </rPr>
      <t xml:space="preserve"> CONFORME</t>
    </r>
    <r>
      <rPr>
        <sz val="10"/>
        <rFont val="Arial"/>
        <family val="2"/>
      </rPr>
      <t xml:space="preserve"> </t>
    </r>
  </si>
  <si>
    <r>
      <rPr>
        <b/>
        <sz val="10"/>
        <rFont val="Arial"/>
        <family val="2"/>
      </rPr>
      <t>CONFORME</t>
    </r>
    <r>
      <rPr>
        <sz val="10"/>
        <rFont val="Arial"/>
        <family val="2"/>
      </rPr>
      <t xml:space="preserve"> per 1° semestre /</t>
    </r>
    <r>
      <rPr>
        <sz val="10"/>
        <color theme="2" tint="-0.89999084444715716"/>
        <rFont val="Arial"/>
        <family val="2"/>
      </rPr>
      <t xml:space="preserve"> per 2° semestre entro 30/11/23</t>
    </r>
  </si>
  <si>
    <r>
      <t xml:space="preserve">ad oggi </t>
    </r>
    <r>
      <rPr>
        <b/>
        <sz val="10"/>
        <color theme="2" tint="-0.89999084444715716"/>
        <rFont val="Arial"/>
        <family val="2"/>
      </rPr>
      <t>CONFORME</t>
    </r>
    <r>
      <rPr>
        <sz val="10"/>
        <color theme="2" tint="-0.89999084444715716"/>
        <rFont val="Arial"/>
        <family val="2"/>
      </rPr>
      <t xml:space="preserve"> (prossimo controllo il 05/06/2023) / caratterizzazione CER 190906 entro il 30/11/23</t>
    </r>
  </si>
  <si>
    <r>
      <t xml:space="preserve">ad oggi </t>
    </r>
    <r>
      <rPr>
        <b/>
        <sz val="10"/>
        <color theme="2" tint="-0.89999084444715716"/>
        <rFont val="Arial"/>
        <family val="2"/>
      </rPr>
      <t>CONFORME</t>
    </r>
    <r>
      <rPr>
        <sz val="10"/>
        <color theme="2" tint="-0.89999084444715716"/>
        <rFont val="Arial"/>
        <family val="2"/>
      </rPr>
      <t xml:space="preserve"> (prossimo controllo il 01/06/2023) </t>
    </r>
  </si>
  <si>
    <r>
      <t>ad oggi</t>
    </r>
    <r>
      <rPr>
        <b/>
        <sz val="10"/>
        <color theme="2" tint="-0.89999084444715716"/>
        <rFont val="Arial"/>
        <family val="2"/>
      </rPr>
      <t xml:space="preserve"> CONFORME</t>
    </r>
    <r>
      <rPr>
        <sz val="10"/>
        <color theme="2" tint="-0.89999084444715716"/>
        <rFont val="Arial"/>
        <family val="2"/>
      </rPr>
      <t xml:space="preserve"> (prossimo controllo il 10/06/2023)</t>
    </r>
  </si>
  <si>
    <t>entro LUGLIO 2025</t>
  </si>
  <si>
    <t>Anno 2025</t>
  </si>
  <si>
    <t>7,0+-3,4</t>
  </si>
  <si>
    <t>34,2+-2,9</t>
  </si>
  <si>
    <t>XX/04/2024</t>
  </si>
  <si>
    <t>entro aprile 2028</t>
  </si>
  <si>
    <t>entro              GIUGNO 2025</t>
  </si>
  <si>
    <t>in attesa di evento piovoso</t>
  </si>
  <si>
    <t>ARPAV: Dati storici Meteo-Idro-Nivo</t>
  </si>
  <si>
    <t>MOTORE DIESEL ANTINCENDIO</t>
  </si>
  <si>
    <t>SILOS LATO MARE</t>
  </si>
  <si>
    <t>SALA POMPE LATO MARE</t>
  </si>
  <si>
    <t>POMPA DIESEL ANTINCENDIO</t>
  </si>
  <si>
    <t>nd</t>
  </si>
  <si>
    <t>ACIDO SOLFORICO</t>
  </si>
  <si>
    <t>6XM10ib</t>
  </si>
  <si>
    <t>IBC</t>
  </si>
  <si>
    <t xml:space="preserve">CM 2033 </t>
  </si>
  <si>
    <t>OFFICINA</t>
  </si>
  <si>
    <t>VARIE</t>
  </si>
  <si>
    <t>PIATTAFORMA A PANTOGRAFO</t>
  </si>
  <si>
    <t>M6-260 TBL</t>
  </si>
  <si>
    <t>MASTER</t>
  </si>
  <si>
    <t>B4KA11981</t>
  </si>
  <si>
    <t>BOB CAT</t>
  </si>
  <si>
    <t>8FDF3064571</t>
  </si>
  <si>
    <t>TOYOTA</t>
  </si>
  <si>
    <t>CARRELLO ELEVATORE DIESEL</t>
  </si>
  <si>
    <t>NILFISK  BR751</t>
  </si>
  <si>
    <t>MAGAZZINO SACCHI VUOTI</t>
  </si>
  <si>
    <t>Molino/insacco</t>
  </si>
  <si>
    <t>LAVAPAVIMENTI UOMO A BORDO</t>
  </si>
  <si>
    <t>PB6240</t>
  </si>
  <si>
    <t>CPBATTERIES</t>
  </si>
  <si>
    <t>0621X024413</t>
  </si>
  <si>
    <t>WIRBEL RAPID 40 SM 55 BC TOUCH</t>
  </si>
  <si>
    <t>LAVAPAVIMENTI</t>
  </si>
  <si>
    <t>P312706</t>
  </si>
  <si>
    <t>Carrello Industriale LWE160</t>
  </si>
  <si>
    <t>Insacco/Mag Spedizione</t>
  </si>
  <si>
    <t xml:space="preserve">TRANSPALLET </t>
  </si>
  <si>
    <t>ENEXA</t>
  </si>
  <si>
    <t>CE435901</t>
  </si>
  <si>
    <t>BLIZ 318</t>
  </si>
  <si>
    <t>CARRELLO ELEVATORE</t>
  </si>
  <si>
    <t>48v 5 pzs625</t>
  </si>
  <si>
    <t>HAWKER</t>
  </si>
  <si>
    <t>CE389190</t>
  </si>
  <si>
    <t>5EPZS623</t>
  </si>
  <si>
    <t>TAB</t>
  </si>
  <si>
    <t>SWISSLOG FORKTURA</t>
  </si>
  <si>
    <t>Insacco</t>
  </si>
  <si>
    <t>48V 3 PZM 240</t>
  </si>
  <si>
    <t>FIAMM</t>
  </si>
  <si>
    <t>803090-001</t>
  </si>
  <si>
    <t>803090-002</t>
  </si>
  <si>
    <t>Carrello Industriale LPE200/8</t>
  </si>
  <si>
    <t>TRANSPALLET UOMO A BORDO</t>
  </si>
  <si>
    <t>9935-50007-00</t>
  </si>
  <si>
    <t>4-PZB-300</t>
  </si>
  <si>
    <t>ENERGYS</t>
  </si>
  <si>
    <t>MATRICOLA DELL'APPARECCHIATURA</t>
  </si>
  <si>
    <t>MODELLO APPARECCHIATURA IN CUI         VIENE UTILIZZATO L'ACCUMULATORE</t>
  </si>
  <si>
    <t>UBICAZIONE ARMADIO CONTENENTE PRODOTTO NEUTRALIZZANTE - GRUPPO DI RIFERIMENTO</t>
  </si>
  <si>
    <t>UBICAZIONE APPARECCHIATURA</t>
  </si>
  <si>
    <t>TIPO APPARECCHIATURA IN CUI VIENE UTILIZZATO L'ACCUMULATORE                                        (es.carrello elevatore, AGV,..ecc.ecc.)</t>
  </si>
  <si>
    <t xml:space="preserve">STIMA (IN LITRI) DEL CONTENUTO ACIDO IN BASE LA CAPACITA' DELLA BATTERIA </t>
  </si>
  <si>
    <t>CAPACITA' (Ah)</t>
  </si>
  <si>
    <t>VOLT</t>
  </si>
  <si>
    <t xml:space="preserve">QUANTITATIVO  IN LITRI DELLA SOLUZ. ACIDA/GEL </t>
  </si>
  <si>
    <t>TIPOLOGIA CONTENUTO (SOLUZIONE ACIDA / GEL)</t>
  </si>
  <si>
    <t>MATRICOLA ACCUMULATORE</t>
  </si>
  <si>
    <t>MODELLO ACCUMULATORE          (SE RIPORTATO)</t>
  </si>
  <si>
    <t>MARCA ACCUMULATORE</t>
  </si>
  <si>
    <r>
      <t>GRANDI MOLINI ITALIANI - LIVORNO</t>
    </r>
    <r>
      <rPr>
        <sz val="10"/>
        <rFont val="Arial"/>
        <family val="2"/>
      </rPr>
      <t xml:space="preserve">                   </t>
    </r>
    <r>
      <rPr>
        <b/>
        <sz val="10"/>
        <rFont val="Arial"/>
        <family val="2"/>
      </rPr>
      <t xml:space="preserve"> </t>
    </r>
    <r>
      <rPr>
        <b/>
        <sz val="14"/>
        <rFont val="Arial"/>
        <family val="2"/>
      </rPr>
      <t>(ELENCO ACCUMULATORI)</t>
    </r>
  </si>
  <si>
    <t>approvato/in uso per  macchine e ingranaggi non a contatto con il prodotto/mp</t>
  </si>
  <si>
    <t>Stabilimento</t>
  </si>
  <si>
    <t>Lubrificante</t>
  </si>
  <si>
    <t>Sheel omala</t>
  </si>
  <si>
    <t>Shell omala S4 GXV220</t>
  </si>
  <si>
    <t>Silicone</t>
  </si>
  <si>
    <t>Silocone acetico</t>
  </si>
  <si>
    <t>Molino/Insacco/Miscelazione</t>
  </si>
  <si>
    <t>Detergente lavassciuga</t>
  </si>
  <si>
    <t>Vedi cartellina</t>
  </si>
  <si>
    <t>SGRA - Sgrassatore</t>
  </si>
  <si>
    <t>Silos/Direttore</t>
  </si>
  <si>
    <t xml:space="preserve">Toner stampante </t>
  </si>
  <si>
    <t>https://cdn-s1.lyreco.com/staticswebshop/sds/ITIT/4204652.pdf?_ga=2.153542392.1518789111.1708935770-1085999262.1708935770</t>
  </si>
  <si>
    <t>Toner laser Kyocera TK-1160 7.2K nero</t>
  </si>
  <si>
    <t>Molino</t>
  </si>
  <si>
    <t>https://cdn-s1.lyreco.com/staticswebshop/sds/ITIT/16595339.pdf?_ga=2.118273353.1518789111.1708935770-1085999262.1708935770</t>
  </si>
  <si>
    <t>Toner Brother TN1050 Originale per DCP 1612W / HL 1212W Nero 1.000 Pagine</t>
  </si>
  <si>
    <t>Insacco/Miscelazione</t>
  </si>
  <si>
    <t>https://cdn-s1.lyreco.com/staticswebshop/sds/ITIT/11309566.pdf?_ga=2.114228807.1518789111.1708935770-1085999262.1708935770</t>
  </si>
  <si>
    <t>Toner nero LYRECO compatibile con ML2160;2161;2162;2164;2165;2168;SCX-3400;3401;3405;SF-760</t>
  </si>
  <si>
    <t>Stanza elettricista</t>
  </si>
  <si>
    <t>https://cdn-s1.lyreco.com/staticswebshop/sds/ITIT/4201592.pdf?_ga=2.115259079.1518789111.1708935770-1085999262.1708935770</t>
  </si>
  <si>
    <t>Toner per Samsung Originale SU810A MLT-D111S/ELS 1k Nero</t>
  </si>
  <si>
    <t>Laboratorio analisi</t>
  </si>
  <si>
    <t>https://cdn-s1.lyreco.com/staticswebshop/sds/ITIT/11309253.pdf?_ga=2.118487753.1518789111.1708935770-1085999262.1708935770</t>
  </si>
  <si>
    <t>Toner laser Lyreco nero</t>
  </si>
  <si>
    <t>https://cdn-s1.lyreco.com/staticswebshop/sds/ITIT/11309259.pdf?_ga=2.81588567.1518789111.1708935770-1085999262.1708935770</t>
  </si>
  <si>
    <t>Toner laser Lyreco magenta</t>
  </si>
  <si>
    <t>https://cdn-s1.lyreco.com/staticswebshop/sds/ITIT/11309240.pdf?_ga=2.122525387.1518789111.1708935770-1085999262.1708935770</t>
  </si>
  <si>
    <t>Toner laser Lyreco color giallo</t>
  </si>
  <si>
    <t>https://cdn-s1.lyreco.com/staticswebshop/sds/ITIT/11309278.pdf?_ga=2.81075799.1518789111.1708935770-1085999262.1708935770</t>
  </si>
  <si>
    <t>Toner laser Lyreco color ciano</t>
  </si>
  <si>
    <t>Laboratorio grani</t>
  </si>
  <si>
    <t>https://cdn-s1.lyreco.com/staticswebshop/sds/ITIT/4691851.pdf?_ga=2.148805623.1518789111.1708935770-1085999262.1708935770</t>
  </si>
  <si>
    <t>Toner laser Kiocera 1T02T80NL0 15,5K nero</t>
  </si>
  <si>
    <t>Laboratorio ufficio</t>
  </si>
  <si>
    <t>https://www.lyreco.com/webshop/ITIT/product/viewSecuritySheet/000000000007436002.pdf</t>
  </si>
  <si>
    <t>Toner nero per Taskalfa 3510i</t>
  </si>
  <si>
    <t>https://cdn-s1.lyreco.com/staticswebshop/sds/ITIT/4691955.pdf?_ga=2.182819558.1518789111.1708935770-1085999262.1708935770</t>
  </si>
  <si>
    <t>Kiocera Toner Nero ECOSYS</t>
  </si>
  <si>
    <t>https://cdn-s1.lyreco.com/staticswebshop/sds/ITIT/4691959.pdf?_ga=2.178689764.1518789111.1708935770-1085999262.1708935770</t>
  </si>
  <si>
    <t>Kiocera Toner Ciano ECOSYS</t>
  </si>
  <si>
    <t>https://cdn-s1.lyreco.com/staticswebshop/sds/ITIT/4691958.pdf?_ga=2.148709239.1518789111.1708935770-1085999262.1708935770</t>
  </si>
  <si>
    <t>Kiocera Toner Magenta ECOSYS</t>
  </si>
  <si>
    <t>https://cdn-s1.lyreco.com/staticswebshop/sds/ITIT/4691957.pdf?_ga=2.156686075.1518789111.1708935770-1085999262.1708935770</t>
  </si>
  <si>
    <t xml:space="preserve">Kiocera Toner giallo per ECOSYS </t>
  </si>
  <si>
    <t>Grasso multipurpose filante all'idrossisrearato di litio</t>
  </si>
  <si>
    <t>https://service.scar.it/scarservice/AreaWEB/SDSChimici/986027050_sds_it_reg08.pdf</t>
  </si>
  <si>
    <t>Grease Scar Ambra</t>
  </si>
  <si>
    <t>Disossidante per contatti elettrici</t>
  </si>
  <si>
    <t>https://service.scar.it/scarservice/AreaWEB/SDSChimici/891100080_sds_it_reg08.pdf</t>
  </si>
  <si>
    <t>Deoxid (scar)</t>
  </si>
  <si>
    <t>Detergente contatti elettrici</t>
  </si>
  <si>
    <t>https://service.scar.it/scarservice/AreaWEB/SDSChimici/890910250_sds_it_reg08.pdf</t>
  </si>
  <si>
    <t>Proclean (scar)</t>
  </si>
  <si>
    <t>https://service.scar.it/scarservice/AreaWEB/SDSChimici/890905100_sds_it_reg08.pdf</t>
  </si>
  <si>
    <t>Oil Machine (scar)</t>
  </si>
  <si>
    <t>x</t>
  </si>
  <si>
    <t>ANDEROL 3046\ANDEROL-3000 (serie) - 03-24.pdf</t>
  </si>
  <si>
    <t>Anderol-3000(serie)</t>
  </si>
  <si>
    <t xml:space="preserve">TAMOIL CARTER EP 680 SICUREZZA.pdf </t>
  </si>
  <si>
    <t>Carter EP Lubrificant680 TAMOIL</t>
  </si>
  <si>
    <t>https://service.scar.it/scarservice/AreaWEB/SDSChimici/890100136_sds_it_reg08.pdf</t>
  </si>
  <si>
    <t>Tarvosidro ISO 68</t>
  </si>
  <si>
    <t>Olio 420</t>
  </si>
  <si>
    <t>Scar Tarvosidro ISO 46</t>
  </si>
  <si>
    <t>Olio 36</t>
  </si>
  <si>
    <t>ANDEROL 3046.pdf</t>
  </si>
  <si>
    <t>Meyerlub MA-004 - Anderol 3046</t>
  </si>
  <si>
    <t>CFG grasso al bisolfuro di MOBILDENO</t>
  </si>
  <si>
    <t>Scarchem pasta antigrappante</t>
  </si>
  <si>
    <t>CFG grasso ad alte perstazioni</t>
  </si>
  <si>
    <t>Sigillante</t>
  </si>
  <si>
    <t>Rubson SL300 silicone liquido</t>
  </si>
  <si>
    <t>Pittura</t>
  </si>
  <si>
    <t>https://service.scar.it/scarservice/AreaWEB/SDSChimici/892184730_sds_it_reg08.pdf</t>
  </si>
  <si>
    <t>Smalto acrilico art.892184730 (scar)</t>
  </si>
  <si>
    <t>Spray per saldatura</t>
  </si>
  <si>
    <t>Lubrofluid 18 lubrificante aria compressa</t>
  </si>
  <si>
    <t>Lubrificante per freni</t>
  </si>
  <si>
    <t>https://service.scar.it/scarservice/AreaWEB/SDSChimici/890990007_sds_it_reg08.pdf</t>
  </si>
  <si>
    <t xml:space="preserve">Scarchem Frenoil 1Lt </t>
  </si>
  <si>
    <t>Sbloccante</t>
  </si>
  <si>
    <t>https://service.scar.it/scarservice/AreaWEB/SDSChimici/891100104_sds_it_reg08.pdf</t>
  </si>
  <si>
    <t>SC 40 (Scar)</t>
  </si>
  <si>
    <t>Antiruggine</t>
  </si>
  <si>
    <t>Ironox ferro vivo F3 (liquiplast)</t>
  </si>
  <si>
    <t>Molykote grasso per alte prestazioni BR2plus</t>
  </si>
  <si>
    <t>White greas grasso bianco atossico</t>
  </si>
  <si>
    <t>CFG grasso antigrappante</t>
  </si>
  <si>
    <t>Pavimento in resina</t>
  </si>
  <si>
    <t>Paviplast resine e vernici es200 RAL7032</t>
  </si>
  <si>
    <t>https://service.scar.it/scarservice/AreaWEB/SDSChimici/894195000_sds_it_reg08.pdf</t>
  </si>
  <si>
    <t>Silicone Torggler trasparente acetic professional</t>
  </si>
  <si>
    <t>Ferox Convertiruggine</t>
  </si>
  <si>
    <t>https://service.scar.it/scarservice/AreaWEB/SDSChimici/891100101_sds_it_reg08.pdf</t>
  </si>
  <si>
    <t>Sblock (scar)</t>
  </si>
  <si>
    <t>https://service.scar.it/scarservice/AreaWEB/SDSChimici/891270100_sds_it_reg08.pdf</t>
  </si>
  <si>
    <t>Sigyl Spray (scar)</t>
  </si>
  <si>
    <t>UTILIZZATORI</t>
  </si>
  <si>
    <t xml:space="preserve">TIPO DI UTILIZZO </t>
  </si>
  <si>
    <t>DATA REVISIONE</t>
  </si>
  <si>
    <t xml:space="preserve"> SCHEDA DI SICUREZZA</t>
  </si>
  <si>
    <t>NOME PRODOTTO</t>
  </si>
  <si>
    <t>5. Prescrizioni Tecniche e Gestionali</t>
  </si>
  <si>
    <t>5.1 Gestione Impianto</t>
  </si>
  <si>
    <t>5.2 Emissioni in atmosfera</t>
  </si>
  <si>
    <t xml:space="preserve">5.2 Emissioni </t>
  </si>
  <si>
    <t>ALLEGATO A</t>
  </si>
  <si>
    <t>N°  PRESCRIZIONE</t>
  </si>
  <si>
    <t>DATA TERMINE PER L' ADEMPIMENTO</t>
  </si>
  <si>
    <t>OGGETTO</t>
  </si>
  <si>
    <t>DATA NELLA QUALE E' STATO OTTEMPERATO L'ADEMPIMENTO</t>
  </si>
  <si>
    <t>DATA RISCONTRO DEGLI ENTI</t>
  </si>
  <si>
    <t xml:space="preserve">NOTE                                                                                      </t>
  </si>
  <si>
    <t>001/2025</t>
  </si>
  <si>
    <t>002/2025</t>
  </si>
  <si>
    <t>130208</t>
  </si>
  <si>
    <t>003/2025</t>
  </si>
  <si>
    <t>07.01.2025</t>
  </si>
  <si>
    <t>NLGN 001381 K</t>
  </si>
  <si>
    <t xml:space="preserve">T.LOG &amp; CO SRL via delle Colline 100 COLLESALVETTI  </t>
  </si>
  <si>
    <t>ECOVIP  SRL  via Francesca 180  SANTA MARIA A MONTE</t>
  </si>
  <si>
    <t>004/2025</t>
  </si>
  <si>
    <t>09.01.2025</t>
  </si>
  <si>
    <t>LONZI ROSSANO via delle Macchie  angolo via di scirocco LIVORNO</t>
  </si>
  <si>
    <t>005/2025</t>
  </si>
  <si>
    <t>006/2025</t>
  </si>
  <si>
    <t>17.01.2025</t>
  </si>
  <si>
    <t>NLGN 001401  Y</t>
  </si>
  <si>
    <t>PHYSIS SRL Via Lavoria 7/c CRESPINA</t>
  </si>
  <si>
    <t>007/2025</t>
  </si>
  <si>
    <t>008/2025</t>
  </si>
  <si>
    <t>009/2025</t>
  </si>
  <si>
    <t>010/2025</t>
  </si>
  <si>
    <t>03.02.2025</t>
  </si>
  <si>
    <t>NLGN 001427 P</t>
  </si>
  <si>
    <t>PADANA RECUPERI  SRL  Via Renzetta 1 Loc Belforte GAZZUOLO</t>
  </si>
  <si>
    <t>011/2025</t>
  </si>
  <si>
    <t>012/2025</t>
  </si>
  <si>
    <t>21.02.2025</t>
  </si>
  <si>
    <t>013/2025</t>
  </si>
  <si>
    <t>014/2025</t>
  </si>
  <si>
    <t>CRJSY 000006 NP</t>
  </si>
  <si>
    <t xml:space="preserve">PIERINI LUCA </t>
  </si>
  <si>
    <t>ECO RICILCI DI RUBESSI MARIO Via Pietrasntina 161-b 56122 PISA</t>
  </si>
  <si>
    <t>015/2025</t>
  </si>
  <si>
    <t>REG 4°COPIA</t>
  </si>
  <si>
    <t>016/2025</t>
  </si>
  <si>
    <t>017/2025</t>
  </si>
  <si>
    <t>018/2025</t>
  </si>
  <si>
    <t>28.03.2025</t>
  </si>
  <si>
    <t>019/2025</t>
  </si>
  <si>
    <t>NKXNV 000069 MN</t>
  </si>
  <si>
    <t>020/2025</t>
  </si>
  <si>
    <t>021/2025</t>
  </si>
  <si>
    <t>022/2025</t>
  </si>
  <si>
    <t>023/2025</t>
  </si>
  <si>
    <t>08.04.2025</t>
  </si>
  <si>
    <t>REG 4°COPIA CONT</t>
  </si>
  <si>
    <t>NKXNV 000077 WJ</t>
  </si>
  <si>
    <t>REAL SRL Via Molin Nuovo  50053 EMPOLI FI</t>
  </si>
  <si>
    <t>024/2025</t>
  </si>
  <si>
    <t>025/2025</t>
  </si>
  <si>
    <t>03.05.2025</t>
  </si>
  <si>
    <t>026/2025</t>
  </si>
  <si>
    <t>MANCA 4° COPIA</t>
  </si>
  <si>
    <t>CRJSY 000155  VJ</t>
  </si>
  <si>
    <t>027/2025</t>
  </si>
  <si>
    <t>028/2025</t>
  </si>
  <si>
    <t>029/2025</t>
  </si>
  <si>
    <t>08.05.2025</t>
  </si>
  <si>
    <t>NKXNV 000105  JT</t>
  </si>
  <si>
    <t>entro aprile 2026</t>
  </si>
  <si>
    <t>------</t>
  </si>
  <si>
    <t>Pompa diesel antincendio</t>
  </si>
  <si>
    <t>trimestrale</t>
  </si>
  <si>
    <t>NON PRESENTI</t>
  </si>
  <si>
    <t>ND</t>
  </si>
  <si>
    <t>13/09/2023</t>
  </si>
  <si>
    <t>????</t>
  </si>
  <si>
    <t>entro GIUGNO 2025</t>
  </si>
  <si>
    <t>entro SETTEMBRE 2025</t>
  </si>
  <si>
    <t>Squadra di emergenza</t>
  </si>
  <si>
    <t>Rifiuti prodotti</t>
  </si>
  <si>
    <t>entro 31/01/2026</t>
  </si>
  <si>
    <t>5.3 Scarichi idrici</t>
  </si>
  <si>
    <t>5.4 Rifiuti prodotti</t>
  </si>
  <si>
    <t>Trasmettere al Settore Autorizzazioni Integrate Ambientali, ad Arpat ed al Comune di Livorno, l'aggiornamento della panimetria 3.4 "Planimetria depositi rifiuti"</t>
  </si>
  <si>
    <t>DOCUMENTO ALLEGATO</t>
  </si>
  <si>
    <t>RICEVUTE PEC</t>
  </si>
  <si>
    <t>Elaborato tecnico 3.4 Planimetria depositi rifiuti_rev 06_09_2024</t>
  </si>
  <si>
    <t>Trasmettere al Settore Autorizzazioni Integrate Ambientali, ad Arpat ed al Comune di Livorno, l'aggiornamento della panimetria 3.2 "Planimetria dell'impianto-rete idrica" con chiara indicazione dei pozzetti di ispezione in uscita dai due impianti di trattamento, il punto in cui confluiscoo le AMDNC e i punti di immissione nel canale portuale</t>
  </si>
  <si>
    <t>Elaborato tecnico 3.2 Planimetria dell'impianto - rete idrica</t>
  </si>
  <si>
    <t>a seguito della messa in esercizio delle nuove sorgenti emissive la cui attivazione è prevista entro il 2025, dovrà essere integrato lo studio diffusionale agli atti al prot. n. 0100453 del 12/02/2024</t>
  </si>
  <si>
    <t>Tenuto conto dell’elevato numero di camini presenti presso l’installazione entro il 31/12/2024 dovrà essere inviata una relazione in cui siano valutati i costi-benefici sulla riunificazione (anche parziale o a gruppi) dei camini secondo quanto disciplinato dall’art. 270 comma 4 del D.lgs. 152/2006).</t>
  </si>
  <si>
    <t>Non pervenuto</t>
  </si>
  <si>
    <t>ALLEGATO 1 - 30_12_2024_relazione della valutazione costi-benefici sulla riunificazione dei camini</t>
  </si>
  <si>
    <t>Per le emissioni E91 e E92, per le quali non è stato indicato nella documentazione di perfezionamento il range considerato come indice di buon funzionamento, entro il 31/10/2024 dovrà essere comunicato il range considerato come indice di buon funzionamento del sistema di abbattimento.</t>
  </si>
  <si>
    <t>con riferimento alla emissione E97 deve essere effettuata entro il 31/12/2024 un unico controllo analitico. Gli inquinati da determinate sono: polveri (VLE 5 mg/Nm3), Cr, Ni,Cd, Co, Pb (VLE 0,1 mg/Nm3), Sn (VLE 2 mg/Nm3) (Parte Seconda Allegato 2 Piano Regionale della Qualità dell’Aria e dell’Ambiente). Gli esiti dovranno essere inviati non appena disponibili (e comunque entro 60 giorni dallo svolgimento) al Settore Autorizzazioni Integrate Ambientali e ad ARPAT.</t>
  </si>
  <si>
    <t>Per le emissioni con una portata superiore a 15.000 Nm3/h, per le quali è stato richiesta (da quadro emissivo proposto dalla Società) una autorizzazione per 24 ore al giorno su 365 giorni all’anno, entro il 30/03/2025 dovranno essere installati dei sistemi di allarme basati sul differenziale pressorio in grado di segnalare anomalie di funzionamento.</t>
  </si>
  <si>
    <t>dovranno essere adottati i seguenti REGISTRI, aventi pagine numerate e firmate dal gestore dello stabilimento:
•in conformità al punto 2.7 dell’allegato VI alla Parte Quinta del D.lgs. 152/2006 dovrà essere adottato il registro delle analisi. Al fine di semplificare la registrazione potrà essere fatto riferimento ai dati indicativi del certificato analitico il quale dovrà essere allegato al registro stesso;
•in conformità al punto 2.8 dell’allegato VI alla Parte Quinta del D.lgs. 152/2006 dovrà essere adottato il registro degli interventi sugli impianti di abbattimento</t>
  </si>
  <si>
    <t>immediato al rilascio del Decreto Autorizzativo</t>
  </si>
  <si>
    <t>Registro delle analisi</t>
  </si>
  <si>
    <t>Registro degli interventi sugli impianti di abbattimento</t>
  </si>
  <si>
    <t>Presentazione della relazione annuale PMeC di cui all'allegato B</t>
  </si>
  <si>
    <t>1,2,3,4,6,7</t>
  </si>
  <si>
    <t>richiesta di proroga di 60 gg (30/06/2025)</t>
  </si>
  <si>
    <t>T. LOG</t>
  </si>
  <si>
    <t xml:space="preserve">iscrizione N.FI32866    cat.4 E </t>
  </si>
  <si>
    <t>iscrizione N.FI32866    cat. 5 F</t>
  </si>
  <si>
    <t>iscrizione N.FI32866    cat. Carrozzerie mobili (casssoni) variazione  cat  4E--5F</t>
  </si>
  <si>
    <t>iscrizione N.FI32866   variazione   cat  4E--5F cancellazione 2 mezzi</t>
  </si>
  <si>
    <t>LONZI  ROSSANO</t>
  </si>
  <si>
    <t xml:space="preserve">iscrizione N.FI00565    cat.5 F </t>
  </si>
  <si>
    <t xml:space="preserve">auto.integrata amb. N.128         certificata ISO 14001 -ISO 9001 </t>
  </si>
  <si>
    <t>PIERINI LUCA</t>
  </si>
  <si>
    <t xml:space="preserve">iscrizione N.FI01807    cat.4 F </t>
  </si>
  <si>
    <t>27/05/2025</t>
  </si>
  <si>
    <t>iscrizione N.FI01807   variazione   cat  4F integrazione 2 mezzi</t>
  </si>
  <si>
    <t>REAL SRL</t>
  </si>
  <si>
    <t>16679 (pratica di rinnovo)</t>
  </si>
  <si>
    <t>PADANA RECUPERI</t>
  </si>
  <si>
    <t>det 2460 e s.m.i</t>
  </si>
  <si>
    <t>PD 1668 (atto sostitutivo)</t>
  </si>
  <si>
    <t>PD 742 (pratica di rinnovo)</t>
  </si>
  <si>
    <t>PHYSIS</t>
  </si>
  <si>
    <t>auto.integrata amb. N.17400        certificata ISO 14001:2015</t>
  </si>
  <si>
    <t>ECOVIP  SRL</t>
  </si>
  <si>
    <t>DET 1320</t>
  </si>
  <si>
    <t>DET 603 (prog riorganizz)</t>
  </si>
  <si>
    <t>Voltura auto.unica amb.483</t>
  </si>
  <si>
    <t xml:space="preserve">rinnovo  prot 49760 </t>
  </si>
  <si>
    <t>rinnovo  prot 476110</t>
  </si>
  <si>
    <t>ECOVALDIPERGA  SRLS</t>
  </si>
  <si>
    <t>aut.unica amb. N 19058</t>
  </si>
  <si>
    <t xml:space="preserve">voltura auto.unica amb. N 12 </t>
  </si>
  <si>
    <t>è INDICATA NEI FORMULARI</t>
  </si>
  <si>
    <t>ECOS SRL</t>
  </si>
  <si>
    <t xml:space="preserve">aia n 1968 </t>
  </si>
  <si>
    <t>N 14034 (pratica di rinnovo)</t>
  </si>
  <si>
    <t>auto. Unica 23053</t>
  </si>
  <si>
    <t>BOGI VINICIO</t>
  </si>
  <si>
    <t>aut.unica amb. N 2864</t>
  </si>
  <si>
    <t>23128 (pratica di modifica)</t>
  </si>
  <si>
    <t>LIVORNO ECO LOGISTIC SRL</t>
  </si>
  <si>
    <t>11209 (pratica di rinnovo)</t>
  </si>
  <si>
    <t>ECO RICICLI</t>
  </si>
  <si>
    <t>AUA 1353</t>
  </si>
  <si>
    <t>3861 (pratica di rettifica)</t>
  </si>
  <si>
    <t>Valutazione aspetti legislativi al 31/03/2025</t>
  </si>
  <si>
    <t>Piano di Monitoraggio e Controllo</t>
  </si>
  <si>
    <t>Attestati formazione</t>
  </si>
  <si>
    <t>Ubicazione</t>
  </si>
  <si>
    <t>modello</t>
  </si>
  <si>
    <t>Prossimo intervento</t>
  </si>
  <si>
    <t>Palazzina uffici</t>
  </si>
  <si>
    <t>Sala serve n°2 PT</t>
  </si>
  <si>
    <t>UNIFLAIR</t>
  </si>
  <si>
    <t>SDAV0331A</t>
  </si>
  <si>
    <t>UCY 120576</t>
  </si>
  <si>
    <t>Si</t>
  </si>
  <si>
    <t>R-410 A</t>
  </si>
  <si>
    <t>Sala server PT</t>
  </si>
  <si>
    <t>CARRIER</t>
  </si>
  <si>
    <t>38NY012</t>
  </si>
  <si>
    <t>Sala server n°2</t>
  </si>
  <si>
    <t>Uffici</t>
  </si>
  <si>
    <t>MITSUBISHI ELECTRONIC</t>
  </si>
  <si>
    <t>MXZ-2HA40VF</t>
  </si>
  <si>
    <t>02P04133</t>
  </si>
  <si>
    <t>R-32</t>
  </si>
  <si>
    <t>DAIKI</t>
  </si>
  <si>
    <t>ARXN25MV</t>
  </si>
  <si>
    <t>K14247</t>
  </si>
  <si>
    <t>Palazzina spogliatoi</t>
  </si>
  <si>
    <t>Mensa dipendenti</t>
  </si>
  <si>
    <t>GREE</t>
  </si>
  <si>
    <t>GWH09AAB-K6DNA3AJO</t>
  </si>
  <si>
    <t>Silos</t>
  </si>
  <si>
    <t>Silos lato mare</t>
  </si>
  <si>
    <t>MAXA</t>
  </si>
  <si>
    <t>illeggibile</t>
  </si>
  <si>
    <t>Silos  lato terra</t>
  </si>
  <si>
    <t>TOSHIBA</t>
  </si>
  <si>
    <t>RAS-12SAV2-E</t>
  </si>
  <si>
    <t>Molino insacco magazzino</t>
  </si>
  <si>
    <t xml:space="preserve">Essiccatore centrale </t>
  </si>
  <si>
    <t>ATLAS COPCO</t>
  </si>
  <si>
    <t>ID 860 A USD IEC</t>
  </si>
  <si>
    <t>APF194950</t>
  </si>
  <si>
    <t>R-404 A</t>
  </si>
  <si>
    <t>Quadri elettrici (Non funzionante)</t>
  </si>
  <si>
    <t>30RB-033CO</t>
  </si>
  <si>
    <t>03AUI00035</t>
  </si>
  <si>
    <t>Essiccatore insacco</t>
  </si>
  <si>
    <t>FX 16</t>
  </si>
  <si>
    <t>CAI 392880</t>
  </si>
  <si>
    <t>ID 770</t>
  </si>
  <si>
    <t>Essiccatore 3° piano mix</t>
  </si>
  <si>
    <t>DONALDSON</t>
  </si>
  <si>
    <t>CQ 0225 AB</t>
  </si>
  <si>
    <t>R-407 C</t>
  </si>
  <si>
    <t>Laboratorio</t>
  </si>
  <si>
    <t>30RQ-060R-A0006SK</t>
  </si>
  <si>
    <t>M2024003373</t>
  </si>
  <si>
    <t>Non specificato</t>
  </si>
  <si>
    <t>Essiccatore sotto celle</t>
  </si>
  <si>
    <t>FB 170</t>
  </si>
  <si>
    <t>Non specificato (Non funzionante)</t>
  </si>
  <si>
    <t xml:space="preserve">RHOSS </t>
  </si>
  <si>
    <t>A3460537060</t>
  </si>
  <si>
    <t>A030526067</t>
  </si>
  <si>
    <t>Stanza inverter 6° piano</t>
  </si>
  <si>
    <t>SEAC</t>
  </si>
  <si>
    <t>ICG-18SEAC-OD</t>
  </si>
  <si>
    <t>A9333C910308W00205</t>
  </si>
  <si>
    <t>Cabina 3</t>
  </si>
  <si>
    <t>38NYV035H</t>
  </si>
  <si>
    <t>CONTROLLO OPERATIVO</t>
  </si>
  <si>
    <t>Data ultimo aggiornamento</t>
  </si>
  <si>
    <t>Schede sicurezza prodotti</t>
  </si>
  <si>
    <t>Elenco accumulatori</t>
  </si>
  <si>
    <t>KIT SCADUTO (proodtto neutralizzante le soluzioni acide)</t>
  </si>
  <si>
    <t>KIT in USO (prodotto neutralizzante le soluzioni acide)</t>
  </si>
  <si>
    <t>Registro Legislativo</t>
  </si>
  <si>
    <t>Adempimenti</t>
  </si>
  <si>
    <t>Contratti fornitori (rifiuti)</t>
  </si>
  <si>
    <t>Autorizzazioni fornitori (rifiuti)</t>
  </si>
  <si>
    <t>Emissioni in atmosfera</t>
  </si>
  <si>
    <t>Prevenzione Incendi</t>
  </si>
  <si>
    <t>Indicatori di prestazione</t>
  </si>
  <si>
    <t>da riportare</t>
  </si>
  <si>
    <t>INDICE</t>
  </si>
  <si>
    <t>SCADENZE complessive</t>
  </si>
  <si>
    <t>CAUSALE</t>
  </si>
  <si>
    <t>pagamento attività ispettiva e di controllo Arpat per l'anno 2024</t>
  </si>
  <si>
    <t>DATA TERMINE  SCADENZA</t>
  </si>
  <si>
    <t>DATA ADEMPIMENTO</t>
  </si>
  <si>
    <t>Comunicazione al gestore in loco dell'eventuale volontà di conferire al di fuori del servizio pubblico i propri rifiuti urbani</t>
  </si>
  <si>
    <t>Trasmissione della relazione annuale sulle emissioni e dati caratteristici del PMC AIA (rif. anno 2024)</t>
  </si>
  <si>
    <t>Integrazione dello studio diffusionale a seguito la messa in esercizio dei punti emissivi portati a regime nel corso del 2025</t>
  </si>
  <si>
    <t>Campionamento scarichi idrici (solo parametro E. Coli)</t>
  </si>
  <si>
    <t xml:space="preserve">Comunicazione al gestore dei quantitativi dei rifiuti urbani conferiti nel 2025 per esclusione della quota variabile della TARI </t>
  </si>
  <si>
    <t>Campionamento acque sotterranee (piezometri) per monitoraggio dell'analisi di rischio sanitaria (proc. di bonifica)</t>
  </si>
  <si>
    <t>Relazione sul monitoraggio delle acque sotterranee per analisi di rischio sanitaria (proc. di bonifica)</t>
  </si>
  <si>
    <t>Relazione conclusiva sul monitoraggio delle acque sotterranee per analisi di rischio sanitaria (proc. di bonifica)</t>
  </si>
  <si>
    <t>Trasmissione della relazione annuale sulle emissioni e dati caratteristici del PMC AIA (rif. anno 2025)</t>
  </si>
  <si>
    <t>Campionamento emissioni in atmosfera (camini)</t>
  </si>
  <si>
    <t>Adozione/installazione dei sistemi di allarme basati sul differenziale pressorio (per i camini interessati)</t>
  </si>
  <si>
    <r>
      <t>Campionamento scarichi idrici (</t>
    </r>
    <r>
      <rPr>
        <b/>
        <sz val="10"/>
        <rFont val="Arial"/>
        <family val="2"/>
      </rPr>
      <t>TUTT</t>
    </r>
    <r>
      <rPr>
        <sz val="10"/>
        <rFont val="Arial"/>
        <family val="2"/>
      </rPr>
      <t>I i parametri compreso E. Coli)</t>
    </r>
  </si>
  <si>
    <t>Valutazione impatto acustico</t>
  </si>
  <si>
    <t>Trasmettere risultati della messa a regime e della messa in esercizio del punto emissivo E 98</t>
  </si>
  <si>
    <t>Simulazione di emergenza ambientale in sito</t>
  </si>
  <si>
    <t>Messa a regime ed in esercizio dei punti emissivi E99, E100, E101, E102, E109, E110 ed E111</t>
  </si>
  <si>
    <t>Manutenzione quadrimestrale impianti di depurazione scarichi idrici</t>
  </si>
  <si>
    <t>CSQA - Compilazione ed inoltro modello PAC per NC VI 14001 del 28/05/25 (CPI scaduto)</t>
  </si>
  <si>
    <t>Comunicazione di preavviso ad Arpat e Regione Toscana per campionamenti scarichi e piezometri</t>
  </si>
  <si>
    <t>DOCUMENTI CORRELATI</t>
  </si>
  <si>
    <t>comunicazione di preavviso</t>
  </si>
  <si>
    <t>ALTRO</t>
  </si>
  <si>
    <t>DATA DOCUMENTI CORRELATI</t>
  </si>
  <si>
    <t>RISCONTRO ENTE INTERESSATO</t>
  </si>
  <si>
    <t>Compilazione Questionario IRSE 2021 e 2023</t>
  </si>
  <si>
    <t>Quietanza di pagamento</t>
  </si>
  <si>
    <t>PEC del 04/06/2025</t>
  </si>
  <si>
    <t>PAC</t>
  </si>
  <si>
    <t>trasmissione rdp</t>
  </si>
  <si>
    <t>5.5 Energia</t>
  </si>
  <si>
    <t>5.6 Agenti Fisici</t>
  </si>
  <si>
    <t>5.7 Suolo e sottosuolo</t>
  </si>
  <si>
    <t>La messa a regime degli impianti e i controlli analitici relativi alla fase di cui all’art. 269 comma 3 del D. Lgs. 152/2006 dovrà avvenire entro il 2024 per le emissioni (E50, E51, E98, E112, E113, E114) ed entro il 2025 per le emissioni (E99, E100, E101, E102, E109, E110, E111) e comunque non oltre 60 giorni dalla data effettiva di messa in esercizio (data di messa in funzione dei sistemi non ancora collaudati per la verifica del rispetto dei limiti emissivi imposti).</t>
  </si>
  <si>
    <t>Dovrà essere comunicata, con un preavviso di almeno 10 giorni, la data messa in esercizio e la messa a regime degli impianti oggetto di futura attivazione e anche in relazione alla prevista sostituzione dei turbo-decantatori con i filtri a maniche (per le emissioni E50 e E51), prevista per fine 2024, come anticipato dalla Società nella documentazione agli atti al prot. n. 0224232 del 16/04/2024;</t>
  </si>
  <si>
    <t>20_03_2025_Grandi Molini Italiani -Comunicazione di riscontro prescrizione autorizzativa.pdf</t>
  </si>
  <si>
    <t>SITO INTERESSATO</t>
  </si>
  <si>
    <t>DATA ENTRO LA QUALE BISOGNA ATTIVARSI</t>
  </si>
  <si>
    <t>LI</t>
  </si>
  <si>
    <t>RIFERIMENTO</t>
  </si>
  <si>
    <t>entro luglio 2026</t>
  </si>
  <si>
    <t>Prov. Emerg. Amb.</t>
  </si>
  <si>
    <t>verifica armadi ambientali</t>
  </si>
  <si>
    <t>Dovrà essere comunque rispettato quanto previsto al comma 6-bis dell’art. 29-sexies del D.lgs. 152/2006 (specifici controlli almeno una volta ogni cinque anni per le acque sotterranee e almeno una volta ogni dieci anni per il suolo), salvo ulteriori controlli prescritti. I risultati dei controlli dovranno essere trasmessi non appena disponibili a Regione Toscana Settore Autorizzazioni Integrate Ambientali, ad ARPAT e al Comune di Livorno.</t>
  </si>
  <si>
    <t>5.7 Suolo e Sottosuolo</t>
  </si>
  <si>
    <t>SI (mettere data)</t>
  </si>
  <si>
    <t>RIFIUTI</t>
  </si>
  <si>
    <t>sentire Sara Carozza</t>
  </si>
  <si>
    <t>PMC</t>
  </si>
  <si>
    <t>monitoraggio mensile E. Coli per scarichi idrici</t>
  </si>
  <si>
    <r>
      <t xml:space="preserve">monitoraggio mensile </t>
    </r>
    <r>
      <rPr>
        <b/>
        <sz val="10"/>
        <rFont val="Arial"/>
        <family val="2"/>
      </rPr>
      <t>COMPLETO</t>
    </r>
    <r>
      <rPr>
        <sz val="10"/>
        <rFont val="Arial"/>
        <family val="2"/>
      </rPr>
      <t xml:space="preserve"> per scarichi idrici</t>
    </r>
  </si>
  <si>
    <t xml:space="preserve">Inviare preavviso per il campionamento annuale dei camini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</si>
</sst>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quot;\ * #,##0.00_-;\-&quot;€&quot;\ * #,##0.00_-;_-&quot;€&quot;\ * &quot;-&quot;??_-;_-@_-"/>
    <numFmt numFmtId="165" formatCode="0.0"/>
    <numFmt numFmtId="166" formatCode="d/m/yy\ h:mm;@"/>
    <numFmt numFmtId="167" formatCode="#,##0.00\ &quot;€&quot;"/>
  </numFmts>
  <fonts count="124" x14ac:knownFonts="1">
    <font>
      <sz val="10"/>
      <name val="Arial"/>
    </font>
    <font>
      <sz val="11"/>
      <color theme="1"/>
      <name val="Calibri"/>
      <family val="2"/>
      <scheme val="minor"/>
    </font>
    <font>
      <sz val="11"/>
      <color theme="1"/>
      <name val="Calibri"/>
      <family val="2"/>
      <scheme val="minor"/>
    </font>
    <font>
      <sz val="10"/>
      <name val="Arial"/>
      <family val="2"/>
    </font>
    <font>
      <sz val="10"/>
      <name val="Comic Sans MS"/>
      <family val="4"/>
    </font>
    <font>
      <b/>
      <sz val="10"/>
      <name val="Comic Sans MS"/>
      <family val="4"/>
    </font>
    <font>
      <sz val="8"/>
      <name val="Comic Sans MS"/>
      <family val="4"/>
    </font>
    <font>
      <i/>
      <u/>
      <sz val="10"/>
      <name val="Comic Sans MS"/>
      <family val="4"/>
    </font>
    <font>
      <b/>
      <sz val="9"/>
      <name val="Comic Sans MS"/>
      <family val="4"/>
    </font>
    <font>
      <sz val="9"/>
      <name val="Comic Sans MS"/>
      <family val="4"/>
    </font>
    <font>
      <u/>
      <sz val="10"/>
      <color indexed="12"/>
      <name val="Arial"/>
      <family val="2"/>
    </font>
    <font>
      <b/>
      <sz val="12"/>
      <name val="Comic Sans MS"/>
      <family val="4"/>
    </font>
    <font>
      <b/>
      <sz val="10"/>
      <color indexed="17"/>
      <name val="Comic Sans MS"/>
      <family val="4"/>
    </font>
    <font>
      <b/>
      <sz val="8"/>
      <name val="Comic Sans MS"/>
      <family val="4"/>
    </font>
    <font>
      <b/>
      <sz val="14"/>
      <name val="Arial"/>
      <family val="2"/>
    </font>
    <font>
      <b/>
      <sz val="14"/>
      <name val="Comic Sans MS"/>
      <family val="4"/>
    </font>
    <font>
      <b/>
      <sz val="8"/>
      <color indexed="81"/>
      <name val="Tahoma"/>
      <family val="2"/>
    </font>
    <font>
      <b/>
      <sz val="11"/>
      <name val="Comic Sans MS"/>
      <family val="4"/>
    </font>
    <font>
      <sz val="8"/>
      <color indexed="81"/>
      <name val="Tahoma"/>
      <family val="2"/>
    </font>
    <font>
      <sz val="52"/>
      <name val="Comic Sans MS"/>
      <family val="4"/>
    </font>
    <font>
      <strike/>
      <sz val="10"/>
      <name val="Comic Sans MS"/>
      <family val="4"/>
    </font>
    <font>
      <sz val="11"/>
      <color indexed="8"/>
      <name val="Calibri"/>
      <family val="2"/>
    </font>
    <font>
      <sz val="11"/>
      <color indexed="9"/>
      <name val="Calibri"/>
      <family val="2"/>
    </font>
    <font>
      <b/>
      <sz val="11"/>
      <color indexed="52"/>
      <name val="Calibri"/>
      <family val="2"/>
    </font>
    <font>
      <sz val="11"/>
      <color indexed="52"/>
      <name val="Calibri"/>
      <family val="2"/>
    </font>
    <font>
      <b/>
      <sz val="11"/>
      <color indexed="9"/>
      <name val="Calibri"/>
      <family val="2"/>
    </font>
    <font>
      <sz val="11"/>
      <color indexed="62"/>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sz val="11"/>
      <color indexed="20"/>
      <name val="Calibri"/>
      <family val="2"/>
    </font>
    <font>
      <sz val="11"/>
      <color indexed="17"/>
      <name val="Calibri"/>
      <family val="2"/>
    </font>
    <font>
      <b/>
      <sz val="10"/>
      <name val="Arial"/>
      <family val="2"/>
    </font>
    <font>
      <u/>
      <sz val="10"/>
      <name val="Comic Sans MS"/>
      <family val="4"/>
    </font>
    <font>
      <sz val="10"/>
      <name val="Arial"/>
      <family val="2"/>
    </font>
    <font>
      <b/>
      <sz val="8"/>
      <name val="Arial"/>
      <family val="2"/>
    </font>
    <font>
      <strike/>
      <u/>
      <sz val="10"/>
      <color indexed="12"/>
      <name val="Arial"/>
      <family val="2"/>
    </font>
    <font>
      <b/>
      <sz val="12"/>
      <name val="Arial"/>
      <family val="2"/>
    </font>
    <font>
      <b/>
      <strike/>
      <u/>
      <sz val="10"/>
      <name val="Comic Sans MS"/>
      <family val="4"/>
    </font>
    <font>
      <sz val="9"/>
      <name val="Arial"/>
      <family val="2"/>
    </font>
    <font>
      <b/>
      <sz val="11"/>
      <name val="Arial"/>
      <family val="2"/>
    </font>
    <font>
      <sz val="11"/>
      <name val="Arial"/>
      <family val="2"/>
    </font>
    <font>
      <b/>
      <sz val="9"/>
      <color indexed="48"/>
      <name val="Comic Sans MS"/>
      <family val="4"/>
    </font>
    <font>
      <b/>
      <vertAlign val="superscript"/>
      <sz val="8"/>
      <name val="Comic Sans MS"/>
      <family val="4"/>
    </font>
    <font>
      <b/>
      <sz val="8"/>
      <color indexed="10"/>
      <name val="Comic Sans MS"/>
      <family val="4"/>
    </font>
    <font>
      <b/>
      <vertAlign val="superscript"/>
      <sz val="8"/>
      <color indexed="10"/>
      <name val="Comic Sans MS"/>
      <family val="4"/>
    </font>
    <font>
      <b/>
      <vertAlign val="superscript"/>
      <sz val="9"/>
      <name val="Comic Sans MS"/>
      <family val="4"/>
    </font>
    <font>
      <sz val="9"/>
      <name val="Arial"/>
      <family val="2"/>
    </font>
    <font>
      <b/>
      <sz val="8"/>
      <color indexed="10"/>
      <name val="Tahoma"/>
      <family val="2"/>
    </font>
    <font>
      <sz val="14"/>
      <name val="Comic Sans MS"/>
      <family val="4"/>
    </font>
    <font>
      <strike/>
      <sz val="12"/>
      <name val="Comic Sans MS"/>
      <family val="4"/>
    </font>
    <font>
      <strike/>
      <sz val="10"/>
      <name val="Arial"/>
      <family val="2"/>
    </font>
    <font>
      <sz val="12"/>
      <name val="Comic Sans MS"/>
      <family val="4"/>
    </font>
    <font>
      <b/>
      <sz val="10"/>
      <name val="Arial"/>
      <family val="2"/>
    </font>
    <font>
      <sz val="9"/>
      <color indexed="8"/>
      <name val="Comic Sans MS"/>
      <family val="4"/>
    </font>
    <font>
      <u/>
      <sz val="10"/>
      <name val="Arial"/>
      <family val="2"/>
    </font>
    <font>
      <sz val="9"/>
      <color rgb="FFFF0000"/>
      <name val="Comic Sans MS"/>
      <family val="4"/>
    </font>
    <font>
      <sz val="10"/>
      <name val="Tahoma"/>
      <family val="2"/>
    </font>
    <font>
      <b/>
      <sz val="12"/>
      <name val="Tahoma"/>
      <family val="2"/>
    </font>
    <font>
      <b/>
      <sz val="11"/>
      <name val="Tahoma"/>
      <family val="2"/>
    </font>
    <font>
      <i/>
      <sz val="11"/>
      <name val="Tahoma"/>
      <family val="2"/>
    </font>
    <font>
      <b/>
      <sz val="10"/>
      <name val="Tahoma"/>
      <family val="2"/>
    </font>
    <font>
      <b/>
      <sz val="12"/>
      <color indexed="48"/>
      <name val="Tahoma"/>
      <family val="2"/>
    </font>
    <font>
      <b/>
      <sz val="10"/>
      <color indexed="48"/>
      <name val="Tahoma"/>
      <family val="2"/>
    </font>
    <font>
      <sz val="12"/>
      <name val="Tahoma"/>
      <family val="2"/>
    </font>
    <font>
      <b/>
      <strike/>
      <sz val="10"/>
      <name val="Tahoma"/>
      <family val="2"/>
    </font>
    <font>
      <i/>
      <sz val="10"/>
      <name val="Tahoma"/>
      <family val="2"/>
    </font>
    <font>
      <vertAlign val="superscript"/>
      <sz val="10"/>
      <name val="Tahoma"/>
      <family val="2"/>
    </font>
    <font>
      <sz val="10"/>
      <color rgb="FFFF0000"/>
      <name val="Arial"/>
      <family val="2"/>
    </font>
    <font>
      <b/>
      <sz val="10"/>
      <color rgb="FFFF0000"/>
      <name val="Arial"/>
      <family val="2"/>
    </font>
    <font>
      <sz val="10"/>
      <color theme="1"/>
      <name val="Comic Sans MS"/>
      <family val="4"/>
    </font>
    <font>
      <b/>
      <u/>
      <sz val="10"/>
      <color rgb="FFFF0000"/>
      <name val="Arial"/>
      <family val="2"/>
    </font>
    <font>
      <sz val="9"/>
      <color indexed="81"/>
      <name val="Tahoma"/>
      <family val="2"/>
    </font>
    <font>
      <b/>
      <sz val="9"/>
      <color indexed="81"/>
      <name val="Tahoma"/>
      <family val="2"/>
    </font>
    <font>
      <b/>
      <sz val="9"/>
      <color rgb="FFFF0000"/>
      <name val="Comic Sans MS"/>
      <family val="4"/>
    </font>
    <font>
      <b/>
      <sz val="9"/>
      <color rgb="FF00B050"/>
      <name val="Comic Sans MS"/>
      <family val="4"/>
    </font>
    <font>
      <b/>
      <u/>
      <sz val="9"/>
      <name val="Comic Sans MS"/>
      <family val="4"/>
    </font>
    <font>
      <b/>
      <sz val="10"/>
      <color rgb="FFFF0000"/>
      <name val="Comic Sans MS"/>
      <family val="4"/>
    </font>
    <font>
      <u/>
      <sz val="7"/>
      <color indexed="12"/>
      <name val="Arial"/>
      <family val="2"/>
    </font>
    <font>
      <b/>
      <u/>
      <sz val="10"/>
      <name val="Arial"/>
      <family val="2"/>
    </font>
    <font>
      <sz val="9"/>
      <color theme="1"/>
      <name val="Comic Sans MS"/>
      <family val="4"/>
    </font>
    <font>
      <sz val="10"/>
      <color indexed="81"/>
      <name val="Tahoma"/>
      <family val="2"/>
    </font>
    <font>
      <b/>
      <sz val="12"/>
      <color indexed="81"/>
      <name val="Tahoma"/>
      <family val="2"/>
    </font>
    <font>
      <strike/>
      <u/>
      <sz val="10"/>
      <color indexed="12"/>
      <name val="Cambria"/>
      <family val="1"/>
    </font>
    <font>
      <strike/>
      <sz val="10"/>
      <name val="Cambria"/>
      <family val="1"/>
    </font>
    <font>
      <b/>
      <strike/>
      <sz val="12"/>
      <name val="Cambria"/>
      <family val="1"/>
    </font>
    <font>
      <b/>
      <strike/>
      <sz val="11"/>
      <name val="Cambria"/>
      <family val="1"/>
    </font>
    <font>
      <b/>
      <strike/>
      <sz val="10"/>
      <name val="Cambria"/>
      <family val="1"/>
    </font>
    <font>
      <sz val="10"/>
      <name val="Cambria"/>
      <family val="1"/>
    </font>
    <font>
      <strike/>
      <sz val="10"/>
      <color rgb="FFFF0000"/>
      <name val="Comic Sans MS"/>
      <family val="4"/>
    </font>
    <font>
      <b/>
      <sz val="15"/>
      <color rgb="FF00B050"/>
      <name val="Arial"/>
      <family val="2"/>
    </font>
    <font>
      <b/>
      <sz val="15"/>
      <color rgb="FF00B0F0"/>
      <name val="Arial"/>
      <family val="2"/>
    </font>
    <font>
      <b/>
      <sz val="10"/>
      <color rgb="FF0070C0"/>
      <name val="Arial"/>
      <family val="2"/>
    </font>
    <font>
      <b/>
      <sz val="8"/>
      <color rgb="FFFF0000"/>
      <name val="Arial"/>
      <family val="2"/>
    </font>
    <font>
      <sz val="10"/>
      <color theme="2" tint="-0.89999084444715716"/>
      <name val="Arial"/>
      <family val="2"/>
    </font>
    <font>
      <b/>
      <sz val="10"/>
      <color theme="2" tint="-0.89999084444715716"/>
      <name val="Arial"/>
      <family val="2"/>
    </font>
    <font>
      <b/>
      <sz val="18"/>
      <name val="Arial"/>
      <family val="2"/>
    </font>
    <font>
      <u/>
      <sz val="11"/>
      <color theme="10"/>
      <name val="Calibri"/>
      <family val="2"/>
      <scheme val="minor"/>
    </font>
    <font>
      <sz val="11"/>
      <name val="Calibri"/>
      <family val="2"/>
    </font>
    <font>
      <b/>
      <sz val="11"/>
      <color theme="1"/>
      <name val="Calibri"/>
      <family val="2"/>
      <scheme val="minor"/>
    </font>
    <font>
      <sz val="20"/>
      <name val="Arial"/>
      <family val="2"/>
    </font>
    <font>
      <u/>
      <sz val="14"/>
      <color indexed="12"/>
      <name val="Arial"/>
      <family val="2"/>
    </font>
    <font>
      <u/>
      <sz val="18"/>
      <color indexed="12"/>
      <name val="Arial"/>
      <family val="2"/>
    </font>
    <font>
      <sz val="11"/>
      <name val="Comic Sans MS"/>
      <family val="4"/>
    </font>
    <font>
      <sz val="11"/>
      <color indexed="8"/>
      <name val="Arial"/>
      <family val="2"/>
    </font>
    <font>
      <b/>
      <sz val="11"/>
      <color rgb="FF00B050"/>
      <name val="Arial"/>
      <family val="2"/>
    </font>
    <font>
      <b/>
      <sz val="11"/>
      <color rgb="FF0070C0"/>
      <name val="Arial"/>
      <family val="2"/>
    </font>
    <font>
      <sz val="11"/>
      <color rgb="FFFF0000"/>
      <name val="Arial"/>
      <family val="2"/>
    </font>
    <font>
      <sz val="11"/>
      <color indexed="8"/>
      <name val="Comic Sans MS"/>
      <family val="4"/>
    </font>
    <font>
      <sz val="11"/>
      <color rgb="FFFF0000"/>
      <name val="Comic Sans MS"/>
      <family val="4"/>
    </font>
    <font>
      <u/>
      <sz val="11"/>
      <color indexed="12"/>
      <name val="Arial"/>
      <family val="2"/>
    </font>
    <font>
      <b/>
      <sz val="8"/>
      <color rgb="FFFF0000"/>
      <name val="Comic Sans MS"/>
      <family val="4"/>
    </font>
    <font>
      <b/>
      <sz val="7"/>
      <color rgb="FFFF0000"/>
      <name val="Comic Sans MS"/>
      <family val="4"/>
    </font>
    <font>
      <sz val="11"/>
      <color indexed="12"/>
      <name val="Arial"/>
      <family val="2"/>
    </font>
    <font>
      <i/>
      <u/>
      <sz val="11"/>
      <name val="Comic Sans MS"/>
      <family val="4"/>
    </font>
    <font>
      <sz val="11"/>
      <color rgb="FF0000FF"/>
      <name val="Arial"/>
      <family val="2"/>
    </font>
    <font>
      <sz val="10"/>
      <color rgb="FF0000FF"/>
      <name val="Comic Sans MS"/>
      <family val="4"/>
    </font>
    <font>
      <b/>
      <sz val="28"/>
      <name val="Arial"/>
      <family val="2"/>
    </font>
  </fonts>
  <fills count="5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3"/>
      </patternFill>
    </fill>
    <fill>
      <patternFill patternType="solid">
        <fgColor indexed="26"/>
      </patternFill>
    </fill>
    <fill>
      <patternFill patternType="lightGray">
        <fgColor indexed="17"/>
        <bgColor indexed="9"/>
      </patternFill>
    </fill>
    <fill>
      <patternFill patternType="solid">
        <fgColor indexed="43"/>
        <bgColor indexed="64"/>
      </patternFill>
    </fill>
    <fill>
      <patternFill patternType="solid">
        <fgColor indexed="42"/>
        <bgColor indexed="64"/>
      </patternFill>
    </fill>
    <fill>
      <patternFill patternType="solid">
        <fgColor indexed="13"/>
        <bgColor indexed="64"/>
      </patternFill>
    </fill>
    <fill>
      <patternFill patternType="solid">
        <fgColor indexed="41"/>
        <bgColor indexed="64"/>
      </patternFill>
    </fill>
    <fill>
      <patternFill patternType="solid">
        <fgColor indexed="27"/>
        <bgColor indexed="64"/>
      </patternFill>
    </fill>
    <fill>
      <patternFill patternType="solid">
        <fgColor indexed="47"/>
        <bgColor indexed="64"/>
      </patternFill>
    </fill>
    <fill>
      <patternFill patternType="solid">
        <fgColor indexed="44"/>
        <bgColor indexed="64"/>
      </patternFill>
    </fill>
    <fill>
      <patternFill patternType="solid">
        <fgColor indexed="51"/>
        <bgColor indexed="64"/>
      </patternFill>
    </fill>
    <fill>
      <patternFill patternType="lightGray">
        <fgColor indexed="17"/>
        <bgColor indexed="45"/>
      </patternFill>
    </fill>
    <fill>
      <patternFill patternType="solid">
        <fgColor rgb="FFFFFF00"/>
        <bgColor indexed="64"/>
      </patternFill>
    </fill>
    <fill>
      <patternFill patternType="solid">
        <fgColor theme="0"/>
        <bgColor indexed="64"/>
      </patternFill>
    </fill>
    <fill>
      <patternFill patternType="solid">
        <fgColor indexed="9"/>
        <bgColor indexed="26"/>
      </patternFill>
    </fill>
    <fill>
      <patternFill patternType="solid">
        <fgColor indexed="41"/>
        <bgColor indexed="26"/>
      </patternFill>
    </fill>
    <fill>
      <patternFill patternType="solid">
        <fgColor indexed="9"/>
        <bgColor indexed="60"/>
      </patternFill>
    </fill>
    <fill>
      <patternFill patternType="solid">
        <fgColor indexed="10"/>
        <bgColor indexed="60"/>
      </patternFill>
    </fill>
    <fill>
      <patternFill patternType="solid">
        <fgColor rgb="FFFFFF99"/>
        <bgColor indexed="64"/>
      </patternFill>
    </fill>
    <fill>
      <patternFill patternType="solid">
        <fgColor rgb="FFFFC000"/>
        <bgColor indexed="64"/>
      </patternFill>
    </fill>
    <fill>
      <patternFill patternType="solid">
        <fgColor rgb="FF66FFFF"/>
        <bgColor indexed="64"/>
      </patternFill>
    </fill>
    <fill>
      <patternFill patternType="solid">
        <fgColor rgb="FFCCFFFF"/>
        <bgColor indexed="64"/>
      </patternFill>
    </fill>
    <fill>
      <patternFill patternType="solid">
        <fgColor theme="7" tint="0.39997558519241921"/>
        <bgColor indexed="64"/>
      </patternFill>
    </fill>
    <fill>
      <patternFill patternType="solid">
        <fgColor rgb="FFCCFFCC"/>
        <bgColor indexed="64"/>
      </patternFill>
    </fill>
    <fill>
      <patternFill patternType="solid">
        <fgColor rgb="FFCCFF33"/>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26"/>
      </patternFill>
    </fill>
    <fill>
      <patternFill patternType="solid">
        <fgColor theme="8" tint="0.79998168889431442"/>
        <bgColor indexed="64"/>
      </patternFill>
    </fill>
    <fill>
      <patternFill patternType="solid">
        <fgColor theme="5" tint="0.39997558519241921"/>
        <bgColor indexed="64"/>
      </patternFill>
    </fill>
    <fill>
      <patternFill patternType="solid">
        <fgColor theme="0" tint="-4.9989318521683403E-2"/>
        <bgColor indexed="64"/>
      </patternFill>
    </fill>
    <fill>
      <patternFill patternType="solid">
        <fgColor theme="3" tint="0.79998168889431442"/>
        <bgColor indexed="64"/>
      </patternFill>
    </fill>
    <fill>
      <patternFill patternType="gray125">
        <bgColor rgb="FFFF66CC"/>
      </patternFill>
    </fill>
    <fill>
      <patternFill patternType="solid">
        <fgColor rgb="FFFF0000"/>
        <bgColor indexed="64"/>
      </patternFill>
    </fill>
    <fill>
      <patternFill patternType="solid">
        <fgColor rgb="FFFFCC00"/>
        <bgColor indexed="64"/>
      </patternFill>
    </fill>
    <fill>
      <patternFill patternType="solid">
        <fgColor theme="7" tint="0.79998168889431442"/>
        <bgColor indexed="64"/>
      </patternFill>
    </fill>
  </fills>
  <borders count="126">
    <border>
      <left/>
      <right/>
      <top/>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right/>
      <top/>
      <bottom style="thin">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double">
        <color indexed="64"/>
      </top>
      <bottom style="medium">
        <color indexed="64"/>
      </bottom>
      <diagonal/>
    </border>
    <border>
      <left/>
      <right style="medium">
        <color indexed="64"/>
      </right>
      <top/>
      <bottom style="double">
        <color indexed="64"/>
      </bottom>
      <diagonal/>
    </border>
    <border>
      <left/>
      <right style="medium">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double">
        <color indexed="64"/>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double">
        <color indexed="64"/>
      </top>
      <bottom style="medium">
        <color indexed="64"/>
      </bottom>
      <diagonal/>
    </border>
    <border>
      <left style="medium">
        <color indexed="64"/>
      </left>
      <right style="medium">
        <color indexed="64"/>
      </right>
      <top/>
      <bottom style="double">
        <color indexed="64"/>
      </bottom>
      <diagonal/>
    </border>
    <border>
      <left/>
      <right style="medium">
        <color indexed="64"/>
      </right>
      <top style="medium">
        <color indexed="64"/>
      </top>
      <bottom style="double">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double">
        <color indexed="64"/>
      </left>
      <right style="double">
        <color indexed="64"/>
      </right>
      <top style="double">
        <color indexed="64"/>
      </top>
      <bottom style="double">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8"/>
      </left>
      <right/>
      <top style="thin">
        <color indexed="8"/>
      </top>
      <bottom style="thin">
        <color indexed="8"/>
      </bottom>
      <diagonal/>
    </border>
    <border>
      <left/>
      <right style="medium">
        <color indexed="64"/>
      </right>
      <top style="medium">
        <color indexed="64"/>
      </top>
      <bottom style="medium">
        <color indexed="64"/>
      </bottom>
      <diagonal/>
    </border>
    <border>
      <left/>
      <right/>
      <top style="thin">
        <color indexed="64"/>
      </top>
      <bottom/>
      <diagonal/>
    </border>
    <border>
      <left style="medium">
        <color indexed="64"/>
      </left>
      <right style="medium">
        <color indexed="64"/>
      </right>
      <top/>
      <bottom style="thin">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style="thin">
        <color indexed="8"/>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8"/>
      </left>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8"/>
      </left>
      <right/>
      <top style="thin">
        <color indexed="64"/>
      </top>
      <bottom style="medium">
        <color indexed="64"/>
      </bottom>
      <diagonal/>
    </border>
    <border>
      <left style="medium">
        <color indexed="64"/>
      </left>
      <right style="medium">
        <color indexed="64"/>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medium">
        <color indexed="64"/>
      </right>
      <top style="thin">
        <color indexed="8"/>
      </top>
      <bottom style="thin">
        <color indexed="8"/>
      </bottom>
      <diagonal/>
    </border>
    <border>
      <left style="medium">
        <color indexed="64"/>
      </left>
      <right style="medium">
        <color indexed="64"/>
      </right>
      <top style="thin">
        <color indexed="8"/>
      </top>
      <bottom style="medium">
        <color indexed="64"/>
      </bottom>
      <diagonal/>
    </border>
    <border>
      <left style="thin">
        <color indexed="8"/>
      </left>
      <right/>
      <top style="thin">
        <color indexed="8"/>
      </top>
      <bottom style="medium">
        <color indexed="64"/>
      </bottom>
      <diagonal/>
    </border>
    <border>
      <left style="medium">
        <color indexed="64"/>
      </left>
      <right/>
      <top style="thin">
        <color indexed="64"/>
      </top>
      <bottom style="thin">
        <color indexed="8"/>
      </bottom>
      <diagonal/>
    </border>
    <border>
      <left style="medium">
        <color indexed="64"/>
      </left>
      <right/>
      <top style="thin">
        <color indexed="8"/>
      </top>
      <bottom style="thin">
        <color indexed="8"/>
      </bottom>
      <diagonal/>
    </border>
    <border>
      <left style="medium">
        <color indexed="8"/>
      </left>
      <right/>
      <top style="thin">
        <color indexed="8"/>
      </top>
      <bottom style="thin">
        <color indexed="8"/>
      </bottom>
      <diagonal/>
    </border>
    <border>
      <left style="medium">
        <color indexed="64"/>
      </left>
      <right/>
      <top style="thin">
        <color indexed="8"/>
      </top>
      <bottom/>
      <diagonal/>
    </border>
    <border>
      <left style="medium">
        <color indexed="8"/>
      </left>
      <right/>
      <top style="thin">
        <color indexed="8"/>
      </top>
      <bottom/>
      <diagonal/>
    </border>
    <border>
      <left style="medium">
        <color indexed="8"/>
      </left>
      <right/>
      <top style="thin">
        <color indexed="64"/>
      </top>
      <bottom style="medium">
        <color indexed="64"/>
      </bottom>
      <diagonal/>
    </border>
    <border>
      <left style="medium">
        <color indexed="64"/>
      </left>
      <right style="medium">
        <color indexed="64"/>
      </right>
      <top style="thin">
        <color indexed="8"/>
      </top>
      <bottom/>
      <diagonal/>
    </border>
    <border>
      <left style="thin">
        <color indexed="8"/>
      </left>
      <right/>
      <top style="thin">
        <color indexed="8"/>
      </top>
      <bottom/>
      <diagonal/>
    </border>
    <border>
      <left style="thin">
        <color indexed="8"/>
      </left>
      <right/>
      <top/>
      <bottom style="thin">
        <color indexed="8"/>
      </bottom>
      <diagonal/>
    </border>
    <border>
      <left/>
      <right style="medium">
        <color indexed="64"/>
      </right>
      <top style="double">
        <color indexed="64"/>
      </top>
      <bottom/>
      <diagonal/>
    </border>
    <border>
      <left style="thin">
        <color indexed="8"/>
      </left>
      <right/>
      <top/>
      <bottom style="medium">
        <color indexed="64"/>
      </bottom>
      <diagonal/>
    </border>
    <border>
      <left style="medium">
        <color indexed="64"/>
      </left>
      <right style="medium">
        <color indexed="64"/>
      </right>
      <top style="thin">
        <color indexed="8"/>
      </top>
      <bottom style="thin">
        <color indexed="64"/>
      </bottom>
      <diagonal/>
    </border>
    <border>
      <left style="thin">
        <color indexed="8"/>
      </left>
      <right/>
      <top style="thin">
        <color indexed="8"/>
      </top>
      <bottom style="thin">
        <color indexed="64"/>
      </bottom>
      <diagonal/>
    </border>
    <border>
      <left/>
      <right style="thin">
        <color indexed="64"/>
      </right>
      <top style="medium">
        <color indexed="64"/>
      </top>
      <bottom style="medium">
        <color indexed="64"/>
      </bottom>
      <diagonal/>
    </border>
    <border>
      <left/>
      <right style="medium">
        <color indexed="64"/>
      </right>
      <top style="thin">
        <color indexed="64"/>
      </top>
      <bottom style="thin">
        <color indexed="64"/>
      </bottom>
      <diagonal/>
    </border>
    <border>
      <left style="thin">
        <color indexed="64"/>
      </left>
      <right style="thin">
        <color indexed="8"/>
      </right>
      <top style="medium">
        <color indexed="64"/>
      </top>
      <bottom style="medium">
        <color indexed="64"/>
      </bottom>
      <diagonal/>
    </border>
    <border>
      <left style="medium">
        <color indexed="64"/>
      </left>
      <right style="medium">
        <color indexed="64"/>
      </right>
      <top style="medium">
        <color indexed="64"/>
      </top>
      <bottom style="thick">
        <color indexed="64"/>
      </bottom>
      <diagonal/>
    </border>
    <border>
      <left style="thin">
        <color indexed="64"/>
      </left>
      <right style="medium">
        <color indexed="8"/>
      </right>
      <top style="medium">
        <color indexed="64"/>
      </top>
      <bottom style="medium">
        <color indexed="64"/>
      </bottom>
      <diagonal/>
    </border>
    <border>
      <left/>
      <right style="thin">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8"/>
      </bottom>
      <diagonal/>
    </border>
    <border>
      <left style="thin">
        <color indexed="8"/>
      </left>
      <right/>
      <top style="thin">
        <color indexed="64"/>
      </top>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diagonal/>
    </border>
    <border>
      <left/>
      <right style="thin">
        <color indexed="64"/>
      </right>
      <top/>
      <bottom style="medium">
        <color indexed="64"/>
      </bottom>
      <diagonal/>
    </border>
  </borders>
  <cellStyleXfs count="49">
    <xf numFmtId="0" fontId="0" fillId="0" borderId="0"/>
    <xf numFmtId="0" fontId="21" fillId="2" borderId="0" applyNumberFormat="0" applyBorder="0" applyAlignment="0" applyProtection="0"/>
    <xf numFmtId="0" fontId="21" fillId="3" borderId="0" applyNumberFormat="0" applyBorder="0" applyAlignment="0" applyProtection="0"/>
    <xf numFmtId="0" fontId="21" fillId="4" borderId="0" applyNumberFormat="0" applyBorder="0" applyAlignment="0" applyProtection="0"/>
    <xf numFmtId="0" fontId="21" fillId="5" borderId="0" applyNumberFormat="0" applyBorder="0" applyAlignment="0" applyProtection="0"/>
    <xf numFmtId="0" fontId="21" fillId="6" borderId="0" applyNumberFormat="0" applyBorder="0" applyAlignment="0" applyProtection="0"/>
    <xf numFmtId="0" fontId="21" fillId="7" borderId="0" applyNumberFormat="0" applyBorder="0" applyAlignment="0" applyProtection="0"/>
    <xf numFmtId="0" fontId="21" fillId="8" borderId="0" applyNumberFormat="0" applyBorder="0" applyAlignment="0" applyProtection="0"/>
    <xf numFmtId="0" fontId="21" fillId="9" borderId="0" applyNumberFormat="0" applyBorder="0" applyAlignment="0" applyProtection="0"/>
    <xf numFmtId="0" fontId="21" fillId="10" borderId="0" applyNumberFormat="0" applyBorder="0" applyAlignment="0" applyProtection="0"/>
    <xf numFmtId="0" fontId="21" fillId="5" borderId="0" applyNumberFormat="0" applyBorder="0" applyAlignment="0" applyProtection="0"/>
    <xf numFmtId="0" fontId="21" fillId="8" borderId="0" applyNumberFormat="0" applyBorder="0" applyAlignment="0" applyProtection="0"/>
    <xf numFmtId="0" fontId="21" fillId="11" borderId="0" applyNumberFormat="0" applyBorder="0" applyAlignment="0" applyProtection="0"/>
    <xf numFmtId="0" fontId="22" fillId="12" borderId="0" applyNumberFormat="0" applyBorder="0" applyAlignment="0" applyProtection="0"/>
    <xf numFmtId="0" fontId="22" fillId="9" borderId="0" applyNumberFormat="0" applyBorder="0" applyAlignment="0" applyProtection="0"/>
    <xf numFmtId="0" fontId="22" fillId="10" borderId="0" applyNumberFormat="0" applyBorder="0" applyAlignment="0" applyProtection="0"/>
    <xf numFmtId="0" fontId="22" fillId="13" borderId="0" applyNumberFormat="0" applyBorder="0" applyAlignment="0" applyProtection="0"/>
    <xf numFmtId="0" fontId="22" fillId="14" borderId="0" applyNumberFormat="0" applyBorder="0" applyAlignment="0" applyProtection="0"/>
    <xf numFmtId="0" fontId="22" fillId="15" borderId="0" applyNumberFormat="0" applyBorder="0" applyAlignment="0" applyProtection="0"/>
    <xf numFmtId="0" fontId="23" fillId="16" borderId="1" applyNumberFormat="0" applyAlignment="0" applyProtection="0"/>
    <xf numFmtId="0" fontId="24" fillId="0" borderId="2" applyNumberFormat="0" applyFill="0" applyAlignment="0" applyProtection="0"/>
    <xf numFmtId="0" fontId="25" fillId="17" borderId="3" applyNumberFormat="0" applyAlignment="0" applyProtection="0"/>
    <xf numFmtId="0" fontId="10" fillId="0" borderId="0" applyNumberFormat="0" applyFill="0" applyBorder="0" applyAlignment="0" applyProtection="0">
      <alignment vertical="top"/>
      <protection locked="0"/>
    </xf>
    <xf numFmtId="0" fontId="22" fillId="18" borderId="0" applyNumberFormat="0" applyBorder="0" applyAlignment="0" applyProtection="0"/>
    <xf numFmtId="0" fontId="22" fillId="19" borderId="0" applyNumberFormat="0" applyBorder="0" applyAlignment="0" applyProtection="0"/>
    <xf numFmtId="0" fontId="22" fillId="20" borderId="0" applyNumberFormat="0" applyBorder="0" applyAlignment="0" applyProtection="0"/>
    <xf numFmtId="0" fontId="22" fillId="13" borderId="0" applyNumberFormat="0" applyBorder="0" applyAlignment="0" applyProtection="0"/>
    <xf numFmtId="0" fontId="22" fillId="14" borderId="0" applyNumberFormat="0" applyBorder="0" applyAlignment="0" applyProtection="0"/>
    <xf numFmtId="0" fontId="22" fillId="21" borderId="0" applyNumberFormat="0" applyBorder="0" applyAlignment="0" applyProtection="0"/>
    <xf numFmtId="164" fontId="3" fillId="0" borderId="0" applyFont="0" applyFill="0" applyBorder="0" applyAlignment="0" applyProtection="0"/>
    <xf numFmtId="0" fontId="26" fillId="7" borderId="1" applyNumberFormat="0" applyAlignment="0" applyProtection="0"/>
    <xf numFmtId="0" fontId="27" fillId="22" borderId="0" applyNumberFormat="0" applyBorder="0" applyAlignment="0" applyProtection="0"/>
    <xf numFmtId="0" fontId="40" fillId="0" borderId="0"/>
    <xf numFmtId="0" fontId="3" fillId="23" borderId="4" applyNumberFormat="0" applyFont="0" applyAlignment="0" applyProtection="0"/>
    <xf numFmtId="0" fontId="28" fillId="16" borderId="5" applyNumberFormat="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2" fillId="0" borderId="6" applyNumberFormat="0" applyFill="0" applyAlignment="0" applyProtection="0"/>
    <xf numFmtId="0" fontId="33" fillId="0" borderId="7" applyNumberFormat="0" applyFill="0" applyAlignment="0" applyProtection="0"/>
    <xf numFmtId="0" fontId="34" fillId="0" borderId="8" applyNumberFormat="0" applyFill="0" applyAlignment="0" applyProtection="0"/>
    <xf numFmtId="0" fontId="34" fillId="0" borderId="0" applyNumberFormat="0" applyFill="0" applyBorder="0" applyAlignment="0" applyProtection="0"/>
    <xf numFmtId="0" fontId="35" fillId="0" borderId="9" applyNumberFormat="0" applyFill="0" applyAlignment="0" applyProtection="0"/>
    <xf numFmtId="0" fontId="36" fillId="3" borderId="0" applyNumberFormat="0" applyBorder="0" applyAlignment="0" applyProtection="0"/>
    <xf numFmtId="0" fontId="37" fillId="4" borderId="0" applyNumberFormat="0" applyBorder="0" applyAlignment="0" applyProtection="0"/>
    <xf numFmtId="0" fontId="3" fillId="0" borderId="0"/>
    <xf numFmtId="0" fontId="2" fillId="0" borderId="0"/>
    <xf numFmtId="0" fontId="103" fillId="0" borderId="0" applyNumberFormat="0" applyFill="0" applyBorder="0" applyAlignment="0" applyProtection="0"/>
    <xf numFmtId="0" fontId="1" fillId="0" borderId="0"/>
  </cellStyleXfs>
  <cellXfs count="1355">
    <xf numFmtId="0" fontId="0" fillId="0" borderId="0" xfId="0"/>
    <xf numFmtId="0" fontId="4" fillId="0" borderId="0" xfId="0" applyFont="1"/>
    <xf numFmtId="0" fontId="6" fillId="0" borderId="0" xfId="0" applyFont="1"/>
    <xf numFmtId="0" fontId="7" fillId="0" borderId="0" xfId="0" applyFont="1" applyAlignment="1">
      <alignment horizontal="left"/>
    </xf>
    <xf numFmtId="0" fontId="4" fillId="0" borderId="0" xfId="0" applyFont="1" applyAlignment="1">
      <alignment horizontal="center"/>
    </xf>
    <xf numFmtId="0" fontId="0" fillId="0" borderId="0" xfId="0" applyAlignment="1">
      <alignment horizontal="center" vertical="center"/>
    </xf>
    <xf numFmtId="0" fontId="12" fillId="0" borderId="0" xfId="0" applyFont="1"/>
    <xf numFmtId="0" fontId="4" fillId="0" borderId="14" xfId="0" applyFont="1" applyBorder="1" applyAlignment="1">
      <alignment horizontal="center" vertical="center"/>
    </xf>
    <xf numFmtId="0" fontId="5" fillId="0" borderId="14" xfId="0" applyFont="1" applyBorder="1" applyAlignment="1">
      <alignment horizontal="center" vertical="center" wrapText="1"/>
    </xf>
    <xf numFmtId="0" fontId="4" fillId="0" borderId="14" xfId="0" applyFont="1" applyBorder="1" applyAlignment="1">
      <alignment horizontal="center"/>
    </xf>
    <xf numFmtId="0" fontId="0" fillId="0" borderId="0" xfId="0" applyAlignment="1">
      <alignment horizontal="center"/>
    </xf>
    <xf numFmtId="0" fontId="4" fillId="0" borderId="15" xfId="0" applyFont="1" applyBorder="1" applyAlignment="1">
      <alignment horizontal="center" vertical="center"/>
    </xf>
    <xf numFmtId="0" fontId="0" fillId="0" borderId="0" xfId="0" applyAlignment="1">
      <alignment vertical="center"/>
    </xf>
    <xf numFmtId="0" fontId="14" fillId="0" borderId="0" xfId="0" applyFont="1"/>
    <xf numFmtId="0" fontId="4" fillId="0" borderId="0" xfId="0" applyFont="1" applyAlignment="1">
      <alignment vertical="center"/>
    </xf>
    <xf numFmtId="14" fontId="4" fillId="0" borderId="14" xfId="0" applyNumberFormat="1" applyFont="1" applyBorder="1" applyAlignment="1">
      <alignment horizontal="center" vertical="center"/>
    </xf>
    <xf numFmtId="0" fontId="7" fillId="0" borderId="14" xfId="0" applyFont="1" applyBorder="1" applyAlignment="1">
      <alignment horizontal="left" wrapText="1"/>
    </xf>
    <xf numFmtId="0" fontId="7" fillId="0" borderId="14" xfId="0" applyFont="1" applyBorder="1" applyAlignment="1">
      <alignment horizontal="center"/>
    </xf>
    <xf numFmtId="0" fontId="4" fillId="0" borderId="14" xfId="0" applyFont="1" applyBorder="1" applyAlignment="1">
      <alignment vertical="center"/>
    </xf>
    <xf numFmtId="0" fontId="4" fillId="0" borderId="14" xfId="0" applyFont="1" applyBorder="1" applyAlignment="1">
      <alignment vertical="center" wrapText="1"/>
    </xf>
    <xf numFmtId="14" fontId="4" fillId="0" borderId="14" xfId="0" applyNumberFormat="1" applyFont="1" applyBorder="1" applyAlignment="1">
      <alignment horizontal="center"/>
    </xf>
    <xf numFmtId="0" fontId="15" fillId="0" borderId="0" xfId="0" applyFont="1"/>
    <xf numFmtId="0" fontId="11" fillId="0" borderId="0" xfId="0" applyFont="1"/>
    <xf numFmtId="0" fontId="4" fillId="0" borderId="14" xfId="0" quotePrefix="1" applyFont="1" applyBorder="1" applyAlignment="1">
      <alignment horizontal="center"/>
    </xf>
    <xf numFmtId="0" fontId="4" fillId="0" borderId="14" xfId="0" applyFont="1" applyBorder="1" applyAlignment="1">
      <alignment horizontal="left"/>
    </xf>
    <xf numFmtId="49" fontId="4" fillId="0" borderId="14" xfId="0" applyNumberFormat="1" applyFont="1" applyBorder="1" applyAlignment="1">
      <alignment horizontal="center"/>
    </xf>
    <xf numFmtId="16" fontId="4" fillId="0" borderId="14" xfId="0" quotePrefix="1" applyNumberFormat="1" applyFont="1" applyBorder="1" applyAlignment="1">
      <alignment horizontal="center"/>
    </xf>
    <xf numFmtId="0" fontId="0" fillId="0" borderId="14" xfId="0" applyBorder="1"/>
    <xf numFmtId="14" fontId="4" fillId="0" borderId="19" xfId="0" applyNumberFormat="1" applyFont="1" applyBorder="1" applyAlignment="1">
      <alignment horizontal="center"/>
    </xf>
    <xf numFmtId="14" fontId="4" fillId="0" borderId="19" xfId="0" applyNumberFormat="1" applyFont="1" applyBorder="1" applyAlignment="1">
      <alignment horizontal="center" vertical="center"/>
    </xf>
    <xf numFmtId="0" fontId="4" fillId="0" borderId="18" xfId="0" applyFont="1" applyBorder="1" applyAlignment="1">
      <alignment horizontal="center"/>
    </xf>
    <xf numFmtId="0" fontId="4" fillId="0" borderId="20" xfId="0" applyFont="1" applyBorder="1" applyAlignment="1">
      <alignment horizontal="center" wrapText="1"/>
    </xf>
    <xf numFmtId="0" fontId="4" fillId="0" borderId="21" xfId="0" applyFont="1" applyBorder="1" applyAlignment="1">
      <alignment horizontal="center" vertical="center"/>
    </xf>
    <xf numFmtId="2" fontId="4" fillId="0" borderId="14" xfId="0" applyNumberFormat="1" applyFont="1" applyBorder="1" applyAlignment="1">
      <alignment horizontal="center"/>
    </xf>
    <xf numFmtId="0" fontId="4" fillId="0" borderId="16" xfId="0" applyFont="1" applyBorder="1" applyAlignment="1">
      <alignment horizontal="center"/>
    </xf>
    <xf numFmtId="2" fontId="4" fillId="0" borderId="16" xfId="0" applyNumberFormat="1" applyFont="1" applyBorder="1" applyAlignment="1">
      <alignment horizontal="center"/>
    </xf>
    <xf numFmtId="0" fontId="4" fillId="0" borderId="22" xfId="0" applyFont="1" applyBorder="1" applyAlignment="1">
      <alignment horizontal="center"/>
    </xf>
    <xf numFmtId="2" fontId="4" fillId="0" borderId="23" xfId="0" applyNumberFormat="1" applyFont="1" applyBorder="1" applyAlignment="1">
      <alignment horizontal="center"/>
    </xf>
    <xf numFmtId="2" fontId="4" fillId="0" borderId="17" xfId="0" applyNumberFormat="1" applyFont="1" applyBorder="1" applyAlignment="1">
      <alignment horizontal="center"/>
    </xf>
    <xf numFmtId="2" fontId="4" fillId="0" borderId="22" xfId="0" applyNumberFormat="1" applyFont="1" applyBorder="1" applyAlignment="1">
      <alignment horizontal="center"/>
    </xf>
    <xf numFmtId="0" fontId="4" fillId="0" borderId="17" xfId="0" applyFont="1" applyBorder="1" applyAlignment="1">
      <alignment horizontal="center"/>
    </xf>
    <xf numFmtId="14" fontId="4" fillId="0" borderId="17" xfId="0" applyNumberFormat="1" applyFont="1" applyBorder="1" applyAlignment="1">
      <alignment horizontal="center"/>
    </xf>
    <xf numFmtId="0" fontId="0" fillId="0" borderId="16" xfId="0" applyBorder="1" applyAlignment="1">
      <alignment horizontal="center" vertical="center"/>
    </xf>
    <xf numFmtId="2" fontId="4" fillId="0" borderId="24" xfId="0" applyNumberFormat="1" applyFont="1" applyBorder="1" applyAlignment="1">
      <alignment horizontal="center"/>
    </xf>
    <xf numFmtId="0" fontId="4" fillId="0" borderId="24" xfId="0" applyFont="1" applyBorder="1" applyAlignment="1">
      <alignment horizontal="center"/>
    </xf>
    <xf numFmtId="49" fontId="4" fillId="0" borderId="16" xfId="0" applyNumberFormat="1" applyFont="1" applyBorder="1" applyAlignment="1">
      <alignment horizontal="center"/>
    </xf>
    <xf numFmtId="0" fontId="4" fillId="0" borderId="0" xfId="0" applyFont="1" applyAlignment="1">
      <alignment horizontal="center" vertical="center"/>
    </xf>
    <xf numFmtId="0" fontId="4" fillId="0" borderId="14" xfId="0" applyFont="1" applyBorder="1"/>
    <xf numFmtId="14" fontId="4" fillId="0" borderId="16" xfId="0" applyNumberFormat="1" applyFont="1" applyBorder="1" applyAlignment="1">
      <alignment horizontal="center"/>
    </xf>
    <xf numFmtId="14" fontId="4" fillId="0" borderId="22" xfId="0" applyNumberFormat="1" applyFont="1" applyBorder="1" applyAlignment="1">
      <alignment horizontal="center"/>
    </xf>
    <xf numFmtId="0" fontId="9" fillId="25" borderId="30" xfId="0" applyFont="1" applyFill="1" applyBorder="1" applyAlignment="1">
      <alignment horizontal="center" vertical="center" wrapText="1"/>
    </xf>
    <xf numFmtId="0" fontId="9" fillId="25" borderId="31" xfId="0" applyFont="1" applyFill="1" applyBorder="1" applyAlignment="1">
      <alignment horizontal="center" vertical="center" wrapText="1"/>
    </xf>
    <xf numFmtId="0" fontId="9" fillId="28" borderId="30" xfId="0" applyFont="1" applyFill="1" applyBorder="1" applyAlignment="1">
      <alignment horizontal="center" vertical="center" wrapText="1"/>
    </xf>
    <xf numFmtId="3" fontId="9" fillId="28" borderId="30" xfId="0" applyNumberFormat="1" applyFont="1" applyFill="1" applyBorder="1" applyAlignment="1">
      <alignment horizontal="center" vertical="center" wrapText="1"/>
    </xf>
    <xf numFmtId="0" fontId="9" fillId="28" borderId="32" xfId="0" applyFont="1" applyFill="1" applyBorder="1" applyAlignment="1">
      <alignment horizontal="center" vertical="center" wrapText="1"/>
    </xf>
    <xf numFmtId="14" fontId="4" fillId="0" borderId="15" xfId="0" applyNumberFormat="1" applyFont="1" applyBorder="1" applyAlignment="1">
      <alignment horizontal="center" vertical="center"/>
    </xf>
    <xf numFmtId="14" fontId="4" fillId="0" borderId="14" xfId="0" quotePrefix="1" applyNumberFormat="1" applyFont="1" applyBorder="1" applyAlignment="1">
      <alignment horizontal="center"/>
    </xf>
    <xf numFmtId="0" fontId="0" fillId="0" borderId="14" xfId="0" applyBorder="1" applyAlignment="1">
      <alignment horizontal="center" vertical="center"/>
    </xf>
    <xf numFmtId="0" fontId="20" fillId="0" borderId="14" xfId="0" applyFont="1" applyBorder="1" applyAlignment="1">
      <alignment horizontal="left"/>
    </xf>
    <xf numFmtId="0" fontId="20" fillId="0" borderId="14" xfId="0" quotePrefix="1" applyFont="1" applyBorder="1" applyAlignment="1">
      <alignment horizontal="center"/>
    </xf>
    <xf numFmtId="0" fontId="20" fillId="0" borderId="14" xfId="0" applyFont="1" applyBorder="1" applyAlignment="1">
      <alignment horizontal="center"/>
    </xf>
    <xf numFmtId="49" fontId="20" fillId="0" borderId="14" xfId="0" applyNumberFormat="1" applyFont="1" applyBorder="1" applyAlignment="1">
      <alignment horizontal="center"/>
    </xf>
    <xf numFmtId="2" fontId="20" fillId="0" borderId="14" xfId="0" applyNumberFormat="1" applyFont="1" applyBorder="1" applyAlignment="1">
      <alignment horizontal="center"/>
    </xf>
    <xf numFmtId="2" fontId="4" fillId="0" borderId="14" xfId="0" quotePrefix="1" applyNumberFormat="1" applyFont="1" applyBorder="1" applyAlignment="1">
      <alignment horizontal="center"/>
    </xf>
    <xf numFmtId="0" fontId="4" fillId="0" borderId="14" xfId="0" applyFont="1" applyBorder="1" applyAlignment="1">
      <alignment horizontal="left" vertical="center"/>
    </xf>
    <xf numFmtId="16" fontId="4" fillId="0" borderId="14" xfId="0" quotePrefix="1" applyNumberFormat="1" applyFont="1" applyBorder="1" applyAlignment="1">
      <alignment horizontal="center" vertical="center"/>
    </xf>
    <xf numFmtId="0" fontId="4" fillId="0" borderId="14" xfId="0" quotePrefix="1" applyFont="1" applyBorder="1" applyAlignment="1">
      <alignment horizontal="center" vertical="center"/>
    </xf>
    <xf numFmtId="14" fontId="20" fillId="0" borderId="14" xfId="0" applyNumberFormat="1" applyFont="1" applyBorder="1" applyAlignment="1">
      <alignment horizontal="center"/>
    </xf>
    <xf numFmtId="14" fontId="8" fillId="0" borderId="14" xfId="0" applyNumberFormat="1" applyFont="1" applyBorder="1" applyAlignment="1">
      <alignment horizontal="center"/>
    </xf>
    <xf numFmtId="0" fontId="6" fillId="0" borderId="14" xfId="0" applyFont="1" applyBorder="1" applyAlignment="1">
      <alignment horizontal="center" vertical="center" wrapText="1"/>
    </xf>
    <xf numFmtId="3" fontId="9" fillId="28" borderId="38" xfId="0" applyNumberFormat="1" applyFont="1" applyFill="1" applyBorder="1" applyAlignment="1">
      <alignment horizontal="center" vertical="center" wrapText="1"/>
    </xf>
    <xf numFmtId="3" fontId="9" fillId="25" borderId="39" xfId="0" applyNumberFormat="1" applyFont="1" applyFill="1" applyBorder="1" applyAlignment="1">
      <alignment horizontal="center" vertical="center" wrapText="1"/>
    </xf>
    <xf numFmtId="3" fontId="9" fillId="28" borderId="39" xfId="0" applyNumberFormat="1" applyFont="1" applyFill="1" applyBorder="1" applyAlignment="1">
      <alignment horizontal="center" vertical="center" wrapText="1"/>
    </xf>
    <xf numFmtId="0" fontId="4" fillId="25" borderId="0" xfId="0" applyFont="1" applyFill="1"/>
    <xf numFmtId="0" fontId="9" fillId="25" borderId="23" xfId="0" applyFont="1" applyFill="1" applyBorder="1"/>
    <xf numFmtId="0" fontId="4" fillId="25" borderId="40" xfId="0" applyFont="1" applyFill="1" applyBorder="1"/>
    <xf numFmtId="0" fontId="9" fillId="25" borderId="41" xfId="0" applyFont="1" applyFill="1" applyBorder="1"/>
    <xf numFmtId="0" fontId="4" fillId="25" borderId="42" xfId="0" applyFont="1" applyFill="1" applyBorder="1"/>
    <xf numFmtId="0" fontId="4" fillId="25" borderId="43" xfId="0" applyFont="1" applyFill="1" applyBorder="1"/>
    <xf numFmtId="0" fontId="9" fillId="25" borderId="41" xfId="0" applyFont="1" applyFill="1" applyBorder="1" applyAlignment="1">
      <alignment vertical="center"/>
    </xf>
    <xf numFmtId="0" fontId="4" fillId="25" borderId="42" xfId="0" applyFont="1" applyFill="1" applyBorder="1" applyAlignment="1">
      <alignment vertical="center"/>
    </xf>
    <xf numFmtId="0" fontId="4" fillId="25" borderId="43" xfId="0" applyFont="1" applyFill="1" applyBorder="1" applyAlignment="1">
      <alignment vertical="center"/>
    </xf>
    <xf numFmtId="0" fontId="4" fillId="0" borderId="42" xfId="0" applyFont="1" applyBorder="1" applyAlignment="1">
      <alignment vertical="center"/>
    </xf>
    <xf numFmtId="0" fontId="4" fillId="0" borderId="43" xfId="0" applyFont="1" applyBorder="1" applyAlignment="1">
      <alignment vertical="center"/>
    </xf>
    <xf numFmtId="14" fontId="4" fillId="0" borderId="16" xfId="0" applyNumberFormat="1" applyFont="1" applyBorder="1" applyAlignment="1">
      <alignment horizontal="center" vertical="center"/>
    </xf>
    <xf numFmtId="0" fontId="4" fillId="0" borderId="22" xfId="0" applyFont="1" applyBorder="1" applyAlignment="1">
      <alignment horizontal="center" vertical="center"/>
    </xf>
    <xf numFmtId="0" fontId="20" fillId="0" borderId="17" xfId="0" applyFont="1" applyBorder="1" applyAlignment="1">
      <alignment horizontal="center"/>
    </xf>
    <xf numFmtId="0" fontId="20" fillId="0" borderId="16" xfId="0" applyFont="1" applyBorder="1" applyAlignment="1">
      <alignment horizontal="center"/>
    </xf>
    <xf numFmtId="2" fontId="20" fillId="0" borderId="16" xfId="0" applyNumberFormat="1" applyFont="1" applyBorder="1" applyAlignment="1">
      <alignment horizontal="center"/>
    </xf>
    <xf numFmtId="14" fontId="4" fillId="0" borderId="27" xfId="0" applyNumberFormat="1" applyFont="1" applyBorder="1" applyAlignment="1">
      <alignment horizontal="center" vertical="center"/>
    </xf>
    <xf numFmtId="3" fontId="9" fillId="25" borderId="13" xfId="0" applyNumberFormat="1" applyFont="1" applyFill="1" applyBorder="1" applyAlignment="1">
      <alignment horizontal="center" vertical="center" wrapText="1"/>
    </xf>
    <xf numFmtId="3" fontId="9" fillId="28" borderId="31" xfId="0" applyNumberFormat="1" applyFont="1" applyFill="1" applyBorder="1" applyAlignment="1">
      <alignment horizontal="center" vertical="center" wrapText="1"/>
    </xf>
    <xf numFmtId="0" fontId="4" fillId="0" borderId="20" xfId="0" applyFont="1" applyBorder="1" applyAlignment="1">
      <alignment horizontal="center" vertical="center"/>
    </xf>
    <xf numFmtId="3" fontId="9" fillId="28" borderId="53" xfId="0" applyNumberFormat="1" applyFont="1" applyFill="1" applyBorder="1" applyAlignment="1">
      <alignment horizontal="center" vertical="center" wrapText="1"/>
    </xf>
    <xf numFmtId="3" fontId="9" fillId="25" borderId="54" xfId="0" applyNumberFormat="1" applyFont="1" applyFill="1" applyBorder="1" applyAlignment="1">
      <alignment horizontal="center" vertical="center" wrapText="1"/>
    </xf>
    <xf numFmtId="3" fontId="9" fillId="28" borderId="55" xfId="0" applyNumberFormat="1" applyFont="1" applyFill="1" applyBorder="1" applyAlignment="1">
      <alignment horizontal="center" vertical="center" wrapText="1"/>
    </xf>
    <xf numFmtId="3" fontId="9" fillId="25" borderId="53" xfId="0" applyNumberFormat="1" applyFont="1" applyFill="1" applyBorder="1" applyAlignment="1">
      <alignment horizontal="center" vertical="center" wrapText="1"/>
    </xf>
    <xf numFmtId="0" fontId="0" fillId="0" borderId="14" xfId="0" applyBorder="1" applyAlignment="1">
      <alignment horizontal="center"/>
    </xf>
    <xf numFmtId="0" fontId="10" fillId="0" borderId="14" xfId="22" applyFill="1" applyBorder="1" applyAlignment="1" applyProtection="1">
      <alignment horizontal="center" vertical="center"/>
    </xf>
    <xf numFmtId="14" fontId="10" fillId="0" borderId="14" xfId="22" applyNumberFormat="1" applyBorder="1" applyAlignment="1" applyProtection="1">
      <alignment horizontal="center"/>
    </xf>
    <xf numFmtId="0" fontId="10" fillId="0" borderId="14" xfId="22" applyBorder="1" applyAlignment="1" applyProtection="1">
      <alignment horizontal="center"/>
    </xf>
    <xf numFmtId="0" fontId="10" fillId="0" borderId="14" xfId="22" applyBorder="1" applyAlignment="1" applyProtection="1">
      <alignment horizontal="center" vertical="center"/>
    </xf>
    <xf numFmtId="0" fontId="0" fillId="0" borderId="12" xfId="0" applyBorder="1"/>
    <xf numFmtId="0" fontId="0" fillId="0" borderId="56" xfId="0" applyBorder="1"/>
    <xf numFmtId="0" fontId="0" fillId="0" borderId="57" xfId="0" applyBorder="1"/>
    <xf numFmtId="0" fontId="0" fillId="0" borderId="11" xfId="0" applyBorder="1"/>
    <xf numFmtId="0" fontId="0" fillId="0" borderId="58" xfId="0" applyBorder="1"/>
    <xf numFmtId="0" fontId="0" fillId="0" borderId="59" xfId="0" applyBorder="1"/>
    <xf numFmtId="0" fontId="0" fillId="0" borderId="60" xfId="0" applyBorder="1"/>
    <xf numFmtId="0" fontId="0" fillId="0" borderId="13" xfId="0" applyBorder="1"/>
    <xf numFmtId="0" fontId="4" fillId="0" borderId="62" xfId="0" applyFont="1" applyBorder="1" applyAlignment="1">
      <alignment horizontal="center" vertical="center"/>
    </xf>
    <xf numFmtId="0" fontId="0" fillId="0" borderId="37" xfId="0" applyBorder="1" applyAlignment="1">
      <alignment horizontal="center" vertical="center"/>
    </xf>
    <xf numFmtId="0" fontId="0" fillId="0" borderId="51" xfId="0" applyBorder="1" applyAlignment="1">
      <alignment horizontal="center" vertical="center"/>
    </xf>
    <xf numFmtId="0" fontId="0" fillId="0" borderId="49" xfId="0" applyBorder="1" applyAlignment="1">
      <alignment horizontal="center" vertical="center"/>
    </xf>
    <xf numFmtId="0" fontId="4" fillId="0" borderId="47" xfId="0" applyFont="1" applyBorder="1" applyAlignment="1">
      <alignment horizontal="center" vertical="center"/>
    </xf>
    <xf numFmtId="0" fontId="4" fillId="0" borderId="46" xfId="0" applyFont="1" applyBorder="1" applyAlignment="1">
      <alignment horizontal="center" vertical="center"/>
    </xf>
    <xf numFmtId="0" fontId="4" fillId="0" borderId="34" xfId="0" applyFont="1" applyBorder="1" applyAlignment="1">
      <alignment horizontal="center" vertical="center"/>
    </xf>
    <xf numFmtId="0" fontId="4" fillId="0" borderId="46" xfId="0" quotePrefix="1" applyFont="1" applyBorder="1" applyAlignment="1">
      <alignment horizontal="center" vertical="center"/>
    </xf>
    <xf numFmtId="0" fontId="4" fillId="0" borderId="34" xfId="0" quotePrefix="1" applyFont="1" applyBorder="1" applyAlignment="1">
      <alignment horizontal="center" vertical="center"/>
    </xf>
    <xf numFmtId="0" fontId="4" fillId="0" borderId="47" xfId="0" quotePrefix="1" applyFont="1" applyBorder="1" applyAlignment="1">
      <alignment horizontal="center" vertical="center"/>
    </xf>
    <xf numFmtId="0" fontId="4" fillId="0" borderId="25" xfId="0" applyFont="1" applyBorder="1" applyAlignment="1">
      <alignment horizontal="center" vertical="center"/>
    </xf>
    <xf numFmtId="0" fontId="4" fillId="0" borderId="20" xfId="0" quotePrefix="1" applyFont="1" applyBorder="1" applyAlignment="1">
      <alignment horizontal="center" vertical="center"/>
    </xf>
    <xf numFmtId="0" fontId="4" fillId="0" borderId="25" xfId="0" quotePrefix="1" applyFont="1" applyBorder="1" applyAlignment="1">
      <alignment horizontal="center" vertical="center"/>
    </xf>
    <xf numFmtId="0" fontId="4" fillId="0" borderId="21" xfId="0" quotePrefix="1" applyFont="1" applyBorder="1" applyAlignment="1">
      <alignment horizontal="center" vertical="center"/>
    </xf>
    <xf numFmtId="0" fontId="4" fillId="0" borderId="48" xfId="0" applyFont="1" applyBorder="1" applyAlignment="1">
      <alignment horizontal="center" vertical="center" wrapText="1"/>
    </xf>
    <xf numFmtId="0" fontId="4" fillId="0" borderId="63" xfId="0" applyFont="1" applyBorder="1" applyAlignment="1">
      <alignment horizontal="center" vertical="center"/>
    </xf>
    <xf numFmtId="0" fontId="4" fillId="0" borderId="64" xfId="0" applyFont="1" applyBorder="1" applyAlignment="1">
      <alignment horizontal="center" vertical="center"/>
    </xf>
    <xf numFmtId="0" fontId="4" fillId="0" borderId="28" xfId="0" applyFont="1" applyBorder="1" applyAlignment="1">
      <alignment horizontal="center" vertical="center"/>
    </xf>
    <xf numFmtId="0" fontId="4" fillId="0" borderId="63" xfId="0" quotePrefix="1" applyFont="1" applyBorder="1" applyAlignment="1">
      <alignment horizontal="center" vertical="center"/>
    </xf>
    <xf numFmtId="0" fontId="4" fillId="0" borderId="28" xfId="0" quotePrefix="1" applyFont="1" applyBorder="1" applyAlignment="1">
      <alignment horizontal="center" vertical="center"/>
    </xf>
    <xf numFmtId="0" fontId="4" fillId="0" borderId="64" xfId="0" quotePrefix="1" applyFont="1" applyBorder="1" applyAlignment="1">
      <alignment horizontal="center" vertical="center"/>
    </xf>
    <xf numFmtId="0" fontId="4" fillId="0" borderId="19" xfId="0" applyFont="1" applyBorder="1" applyAlignment="1">
      <alignment horizontal="center" vertical="center"/>
    </xf>
    <xf numFmtId="0" fontId="10" fillId="0" borderId="0" xfId="22" applyAlignment="1" applyProtection="1"/>
    <xf numFmtId="0" fontId="38" fillId="25" borderId="14" xfId="0" applyFont="1" applyFill="1" applyBorder="1" applyAlignment="1">
      <alignment horizontal="center" vertical="center"/>
    </xf>
    <xf numFmtId="14" fontId="0" fillId="0" borderId="14" xfId="0" applyNumberFormat="1" applyBorder="1" applyAlignment="1">
      <alignment horizontal="center"/>
    </xf>
    <xf numFmtId="0" fontId="7" fillId="0" borderId="14" xfId="0" applyFont="1" applyBorder="1" applyAlignment="1">
      <alignment horizontal="left"/>
    </xf>
    <xf numFmtId="0" fontId="9" fillId="0" borderId="14" xfId="0" applyFont="1" applyBorder="1" applyAlignment="1">
      <alignment vertical="center" wrapText="1"/>
    </xf>
    <xf numFmtId="14" fontId="4" fillId="0" borderId="17" xfId="0" applyNumberFormat="1" applyFont="1" applyBorder="1" applyAlignment="1">
      <alignment horizontal="center" vertical="center"/>
    </xf>
    <xf numFmtId="3" fontId="9" fillId="28" borderId="54" xfId="0" applyNumberFormat="1" applyFont="1" applyFill="1" applyBorder="1" applyAlignment="1">
      <alignment horizontal="center" vertical="center" wrapText="1"/>
    </xf>
    <xf numFmtId="0" fontId="5" fillId="28" borderId="14" xfId="0" applyFont="1" applyFill="1" applyBorder="1" applyAlignment="1">
      <alignment horizontal="center" vertical="center" wrapText="1"/>
    </xf>
    <xf numFmtId="0" fontId="5" fillId="29" borderId="14" xfId="0" applyFont="1" applyFill="1" applyBorder="1" applyAlignment="1">
      <alignment horizontal="center" vertical="center" wrapText="1"/>
    </xf>
    <xf numFmtId="0" fontId="4" fillId="0" borderId="0" xfId="0" applyFont="1" applyAlignment="1">
      <alignment vertical="center" wrapText="1"/>
    </xf>
    <xf numFmtId="0" fontId="4" fillId="0" borderId="0" xfId="0" applyFont="1" applyAlignment="1">
      <alignment horizontal="left" vertical="center"/>
    </xf>
    <xf numFmtId="16" fontId="4" fillId="0" borderId="0" xfId="0" applyNumberFormat="1" applyFont="1" applyAlignment="1">
      <alignment horizontal="center" vertical="center"/>
    </xf>
    <xf numFmtId="0" fontId="4" fillId="0" borderId="0" xfId="0" quotePrefix="1" applyFont="1" applyAlignment="1">
      <alignment horizontal="center" vertical="center"/>
    </xf>
    <xf numFmtId="0" fontId="6" fillId="0" borderId="0" xfId="0" applyFont="1" applyAlignment="1">
      <alignment horizontal="center" vertical="center" wrapText="1"/>
    </xf>
    <xf numFmtId="14" fontId="4" fillId="0" borderId="0" xfId="0" applyNumberFormat="1" applyFont="1" applyAlignment="1">
      <alignment horizontal="center" vertical="center"/>
    </xf>
    <xf numFmtId="0" fontId="20" fillId="0" borderId="17" xfId="0" quotePrefix="1" applyFont="1" applyBorder="1" applyAlignment="1">
      <alignment horizontal="center"/>
    </xf>
    <xf numFmtId="49" fontId="20" fillId="0" borderId="17" xfId="0" applyNumberFormat="1" applyFont="1" applyBorder="1" applyAlignment="1">
      <alignment horizontal="center"/>
    </xf>
    <xf numFmtId="2" fontId="20" fillId="0" borderId="17" xfId="0" applyNumberFormat="1" applyFont="1" applyBorder="1" applyAlignment="1">
      <alignment horizontal="center"/>
    </xf>
    <xf numFmtId="14" fontId="20" fillId="0" borderId="17" xfId="0" applyNumberFormat="1" applyFont="1" applyBorder="1" applyAlignment="1">
      <alignment horizontal="center"/>
    </xf>
    <xf numFmtId="0" fontId="38" fillId="0" borderId="14" xfId="0" applyFont="1" applyBorder="1" applyAlignment="1">
      <alignment horizontal="center" vertical="center" wrapText="1"/>
    </xf>
    <xf numFmtId="0" fontId="0" fillId="26" borderId="24" xfId="0" applyFill="1" applyBorder="1"/>
    <xf numFmtId="0" fontId="4" fillId="26" borderId="24" xfId="0" applyFont="1" applyFill="1" applyBorder="1" applyAlignment="1">
      <alignment horizontal="center"/>
    </xf>
    <xf numFmtId="0" fontId="0" fillId="26" borderId="24" xfId="0" applyFill="1" applyBorder="1" applyAlignment="1">
      <alignment horizontal="center"/>
    </xf>
    <xf numFmtId="0" fontId="0" fillId="26" borderId="16" xfId="0" applyFill="1" applyBorder="1" applyAlignment="1">
      <alignment horizontal="center"/>
    </xf>
    <xf numFmtId="0" fontId="5" fillId="26" borderId="15" xfId="0" applyFont="1" applyFill="1" applyBorder="1" applyAlignment="1">
      <alignment horizontal="center"/>
    </xf>
    <xf numFmtId="0" fontId="4" fillId="30" borderId="14" xfId="0" applyFont="1" applyFill="1" applyBorder="1" applyAlignment="1">
      <alignment horizontal="center"/>
    </xf>
    <xf numFmtId="0" fontId="5" fillId="30" borderId="14" xfId="0" applyFont="1" applyFill="1" applyBorder="1" applyAlignment="1">
      <alignment horizontal="center"/>
    </xf>
    <xf numFmtId="0" fontId="39" fillId="26" borderId="24" xfId="0" applyFont="1" applyFill="1" applyBorder="1" applyAlignment="1">
      <alignment horizontal="center"/>
    </xf>
    <xf numFmtId="0" fontId="9" fillId="25" borderId="22" xfId="0" applyFont="1" applyFill="1" applyBorder="1"/>
    <xf numFmtId="0" fontId="4" fillId="25" borderId="10" xfId="0" applyFont="1" applyFill="1" applyBorder="1"/>
    <xf numFmtId="0" fontId="4" fillId="25" borderId="45" xfId="0" applyFont="1" applyFill="1" applyBorder="1"/>
    <xf numFmtId="0" fontId="9" fillId="30" borderId="23" xfId="0" applyFont="1" applyFill="1" applyBorder="1"/>
    <xf numFmtId="0" fontId="4" fillId="30" borderId="0" xfId="0" applyFont="1" applyFill="1"/>
    <xf numFmtId="0" fontId="4" fillId="30" borderId="40" xfId="0" applyFont="1" applyFill="1" applyBorder="1"/>
    <xf numFmtId="0" fontId="9" fillId="30" borderId="41" xfId="0" applyFont="1" applyFill="1" applyBorder="1"/>
    <xf numFmtId="0" fontId="4" fillId="30" borderId="42" xfId="0" applyFont="1" applyFill="1" applyBorder="1"/>
    <xf numFmtId="0" fontId="4" fillId="30" borderId="43" xfId="0" applyFont="1" applyFill="1" applyBorder="1"/>
    <xf numFmtId="14" fontId="40" fillId="0" borderId="14" xfId="22" applyNumberFormat="1" applyFont="1" applyBorder="1" applyAlignment="1" applyProtection="1">
      <alignment horizontal="center"/>
    </xf>
    <xf numFmtId="0" fontId="0" fillId="25" borderId="14" xfId="0" applyFill="1" applyBorder="1" applyAlignment="1">
      <alignment horizontal="center"/>
    </xf>
    <xf numFmtId="0" fontId="0" fillId="27" borderId="14" xfId="0" applyFill="1" applyBorder="1" applyAlignment="1">
      <alignment horizontal="center"/>
    </xf>
    <xf numFmtId="0" fontId="4" fillId="0" borderId="17" xfId="0" applyFont="1" applyBorder="1" applyAlignment="1">
      <alignment horizontal="center" vertical="center"/>
    </xf>
    <xf numFmtId="0" fontId="0" fillId="0" borderId="0" xfId="0" applyAlignment="1">
      <alignment horizontal="center" vertical="center" wrapText="1"/>
    </xf>
    <xf numFmtId="0" fontId="0" fillId="25" borderId="14" xfId="0" applyFill="1" applyBorder="1" applyAlignment="1">
      <alignment horizontal="center" vertical="center" wrapText="1"/>
    </xf>
    <xf numFmtId="0" fontId="4" fillId="26" borderId="19" xfId="0" applyFont="1" applyFill="1" applyBorder="1" applyAlignment="1">
      <alignment horizontal="center"/>
    </xf>
    <xf numFmtId="0" fontId="40" fillId="0" borderId="0" xfId="32"/>
    <xf numFmtId="0" fontId="40" fillId="0" borderId="0" xfId="32" applyAlignment="1">
      <alignment horizontal="right"/>
    </xf>
    <xf numFmtId="14" fontId="40" fillId="31" borderId="14" xfId="32" applyNumberFormat="1" applyFill="1" applyBorder="1"/>
    <xf numFmtId="14" fontId="40" fillId="0" borderId="0" xfId="32" applyNumberFormat="1"/>
    <xf numFmtId="0" fontId="40" fillId="0" borderId="14" xfId="32" applyBorder="1"/>
    <xf numFmtId="0" fontId="40" fillId="0" borderId="14" xfId="32" applyBorder="1" applyAlignment="1">
      <alignment horizontal="center"/>
    </xf>
    <xf numFmtId="0" fontId="20" fillId="0" borderId="14" xfId="0" applyFont="1" applyBorder="1" applyAlignment="1">
      <alignment vertical="center"/>
    </xf>
    <xf numFmtId="0" fontId="20" fillId="0" borderId="14" xfId="0" applyFont="1" applyBorder="1" applyAlignment="1">
      <alignment horizontal="center" vertical="center"/>
    </xf>
    <xf numFmtId="14" fontId="20" fillId="0" borderId="14" xfId="0" applyNumberFormat="1" applyFont="1" applyBorder="1" applyAlignment="1">
      <alignment horizontal="center" vertical="center"/>
    </xf>
    <xf numFmtId="0" fontId="42" fillId="0" borderId="14" xfId="22" applyFont="1" applyBorder="1" applyAlignment="1" applyProtection="1">
      <alignment horizontal="center" vertical="center"/>
    </xf>
    <xf numFmtId="0" fontId="20" fillId="0" borderId="14" xfId="0" applyFont="1" applyBorder="1"/>
    <xf numFmtId="0" fontId="42" fillId="0" borderId="14" xfId="22" applyFont="1" applyBorder="1" applyAlignment="1" applyProtection="1">
      <alignment horizontal="center"/>
    </xf>
    <xf numFmtId="14" fontId="42" fillId="0" borderId="14" xfId="22" applyNumberFormat="1" applyFont="1" applyBorder="1" applyAlignment="1" applyProtection="1">
      <alignment horizontal="center"/>
    </xf>
    <xf numFmtId="0" fontId="20" fillId="0" borderId="14" xfId="0" applyFont="1" applyBorder="1" applyAlignment="1">
      <alignment vertical="center" wrapText="1"/>
    </xf>
    <xf numFmtId="0" fontId="20" fillId="0" borderId="14" xfId="0" applyFont="1" applyBorder="1" applyAlignment="1">
      <alignment horizontal="center" wrapText="1"/>
    </xf>
    <xf numFmtId="0" fontId="43" fillId="25" borderId="14" xfId="0" applyFont="1" applyFill="1" applyBorder="1" applyAlignment="1">
      <alignment horizontal="center" vertical="center"/>
    </xf>
    <xf numFmtId="0" fontId="38" fillId="25" borderId="14" xfId="0" applyFont="1" applyFill="1" applyBorder="1" applyAlignment="1">
      <alignment horizontal="center" vertical="center" wrapText="1"/>
    </xf>
    <xf numFmtId="0" fontId="46" fillId="0" borderId="14" xfId="0" applyFont="1" applyBorder="1" applyAlignment="1">
      <alignment wrapText="1"/>
    </xf>
    <xf numFmtId="14" fontId="38" fillId="25" borderId="14" xfId="0" applyNumberFormat="1" applyFont="1" applyFill="1" applyBorder="1" applyAlignment="1">
      <alignment horizontal="center" vertical="center"/>
    </xf>
    <xf numFmtId="0" fontId="0" fillId="0" borderId="14" xfId="0" quotePrefix="1" applyBorder="1" applyAlignment="1">
      <alignment horizontal="center"/>
    </xf>
    <xf numFmtId="0" fontId="10" fillId="25" borderId="14" xfId="22" applyFill="1" applyBorder="1" applyAlignment="1" applyProtection="1">
      <alignment horizontal="center" vertical="center" wrapText="1"/>
    </xf>
    <xf numFmtId="0" fontId="0" fillId="0" borderId="17" xfId="0" applyBorder="1"/>
    <xf numFmtId="14" fontId="10" fillId="0" borderId="14" xfId="22" applyNumberFormat="1" applyFill="1" applyBorder="1" applyAlignment="1" applyProtection="1">
      <alignment horizontal="center"/>
    </xf>
    <xf numFmtId="0" fontId="8" fillId="33" borderId="31" xfId="0" applyFont="1" applyFill="1" applyBorder="1" applyAlignment="1">
      <alignment horizontal="center" vertical="center" wrapText="1"/>
    </xf>
    <xf numFmtId="14" fontId="10" fillId="0" borderId="14" xfId="22" applyNumberFormat="1" applyBorder="1" applyAlignment="1" applyProtection="1">
      <alignment horizontal="center" vertical="center"/>
    </xf>
    <xf numFmtId="14" fontId="0" fillId="0" borderId="14" xfId="0" applyNumberFormat="1" applyBorder="1" applyAlignment="1">
      <alignment horizontal="center" vertical="center"/>
    </xf>
    <xf numFmtId="0" fontId="10" fillId="0" borderId="14" xfId="22" applyBorder="1" applyAlignment="1" applyProtection="1"/>
    <xf numFmtId="3" fontId="9" fillId="28" borderId="70" xfId="0" applyNumberFormat="1" applyFont="1" applyFill="1" applyBorder="1" applyAlignment="1">
      <alignment horizontal="center" vertical="center" wrapText="1"/>
    </xf>
    <xf numFmtId="0" fontId="9" fillId="25" borderId="58" xfId="0" applyFont="1" applyFill="1" applyBorder="1" applyAlignment="1">
      <alignment horizontal="center" vertical="center" wrapText="1"/>
    </xf>
    <xf numFmtId="3" fontId="9" fillId="25" borderId="58" xfId="0" applyNumberFormat="1" applyFont="1" applyFill="1" applyBorder="1" applyAlignment="1">
      <alignment horizontal="center" vertical="center" wrapText="1"/>
    </xf>
    <xf numFmtId="0" fontId="8" fillId="25" borderId="14" xfId="0" applyFont="1" applyFill="1" applyBorder="1" applyAlignment="1">
      <alignment horizontal="center" vertical="center"/>
    </xf>
    <xf numFmtId="3" fontId="8" fillId="25" borderId="14" xfId="0" applyNumberFormat="1" applyFont="1" applyFill="1" applyBorder="1" applyAlignment="1">
      <alignment horizontal="center" vertical="center" wrapText="1"/>
    </xf>
    <xf numFmtId="0" fontId="9" fillId="0" borderId="0" xfId="0" applyFont="1" applyAlignment="1">
      <alignment horizontal="center" vertical="center" wrapText="1"/>
    </xf>
    <xf numFmtId="3" fontId="9" fillId="0" borderId="0" xfId="0" applyNumberFormat="1" applyFont="1" applyAlignment="1">
      <alignment horizontal="center" vertical="center" wrapText="1"/>
    </xf>
    <xf numFmtId="0" fontId="0" fillId="27" borderId="69" xfId="0" applyFill="1" applyBorder="1"/>
    <xf numFmtId="3" fontId="9" fillId="27" borderId="39" xfId="0" applyNumberFormat="1" applyFont="1" applyFill="1" applyBorder="1" applyAlignment="1">
      <alignment horizontal="center" vertical="center" wrapText="1"/>
    </xf>
    <xf numFmtId="3" fontId="9" fillId="27" borderId="38" xfId="0" applyNumberFormat="1" applyFont="1" applyFill="1" applyBorder="1" applyAlignment="1">
      <alignment horizontal="center" vertical="center" wrapText="1"/>
    </xf>
    <xf numFmtId="3" fontId="9" fillId="27" borderId="30" xfId="0" applyNumberFormat="1" applyFont="1" applyFill="1" applyBorder="1" applyAlignment="1">
      <alignment horizontal="center" vertical="center" wrapText="1"/>
    </xf>
    <xf numFmtId="3" fontId="9" fillId="27" borderId="70" xfId="0" applyNumberFormat="1" applyFont="1" applyFill="1" applyBorder="1" applyAlignment="1">
      <alignment horizontal="center" vertical="center" wrapText="1"/>
    </xf>
    <xf numFmtId="3" fontId="9" fillId="27" borderId="13" xfId="0" applyNumberFormat="1" applyFont="1" applyFill="1" applyBorder="1" applyAlignment="1">
      <alignment horizontal="center" vertical="center" wrapText="1"/>
    </xf>
    <xf numFmtId="3" fontId="9" fillId="27" borderId="73" xfId="0" applyNumberFormat="1" applyFont="1" applyFill="1" applyBorder="1" applyAlignment="1">
      <alignment horizontal="center" vertical="center" wrapText="1"/>
    </xf>
    <xf numFmtId="0" fontId="10" fillId="28" borderId="69" xfId="22" applyFill="1" applyBorder="1" applyAlignment="1" applyProtection="1">
      <alignment horizontal="center" vertical="center" wrapText="1"/>
    </xf>
    <xf numFmtId="3" fontId="9" fillId="25" borderId="70" xfId="0" applyNumberFormat="1" applyFont="1" applyFill="1" applyBorder="1" applyAlignment="1">
      <alignment horizontal="center" vertical="center" wrapText="1"/>
    </xf>
    <xf numFmtId="3" fontId="0" fillId="28" borderId="54" xfId="0" applyNumberFormat="1" applyFill="1" applyBorder="1" applyAlignment="1">
      <alignment horizontal="center" vertical="center" wrapText="1"/>
    </xf>
    <xf numFmtId="3" fontId="53" fillId="25" borderId="54" xfId="0" applyNumberFormat="1" applyFont="1" applyFill="1" applyBorder="1" applyAlignment="1">
      <alignment horizontal="center" vertical="center" wrapText="1"/>
    </xf>
    <xf numFmtId="3" fontId="0" fillId="25" borderId="54" xfId="0" applyNumberFormat="1" applyFill="1" applyBorder="1" applyAlignment="1">
      <alignment horizontal="center" vertical="center" wrapText="1"/>
    </xf>
    <xf numFmtId="0" fontId="10" fillId="26" borderId="74" xfId="22" applyFill="1" applyBorder="1" applyAlignment="1" applyProtection="1">
      <alignment horizontal="center" vertical="center"/>
    </xf>
    <xf numFmtId="0" fontId="4" fillId="0" borderId="14" xfId="0" applyFont="1" applyBorder="1" applyAlignment="1">
      <alignment wrapText="1"/>
    </xf>
    <xf numFmtId="0" fontId="40" fillId="0" borderId="14" xfId="32" applyBorder="1" applyAlignment="1">
      <alignment horizontal="right"/>
    </xf>
    <xf numFmtId="0" fontId="4" fillId="0" borderId="23" xfId="0" applyFont="1" applyBorder="1" applyAlignment="1">
      <alignment horizontal="center" vertical="center"/>
    </xf>
    <xf numFmtId="0" fontId="5" fillId="25" borderId="14" xfId="0" applyFont="1" applyFill="1" applyBorder="1" applyAlignment="1">
      <alignment horizontal="center" vertical="center" wrapText="1"/>
    </xf>
    <xf numFmtId="0" fontId="4" fillId="25" borderId="14" xfId="0" applyFont="1" applyFill="1" applyBorder="1" applyAlignment="1">
      <alignment horizontal="center"/>
    </xf>
    <xf numFmtId="0" fontId="4" fillId="25" borderId="14" xfId="0" applyFont="1" applyFill="1" applyBorder="1" applyAlignment="1">
      <alignment horizontal="center" wrapText="1"/>
    </xf>
    <xf numFmtId="0" fontId="0" fillId="25" borderId="14" xfId="0" applyFill="1" applyBorder="1" applyAlignment="1">
      <alignment horizontal="center" wrapText="1"/>
    </xf>
    <xf numFmtId="0" fontId="4" fillId="28" borderId="14" xfId="0" quotePrefix="1" applyFont="1" applyFill="1" applyBorder="1" applyAlignment="1">
      <alignment horizontal="center"/>
    </xf>
    <xf numFmtId="14" fontId="4" fillId="28" borderId="14" xfId="0" quotePrefix="1" applyNumberFormat="1" applyFont="1" applyFill="1" applyBorder="1" applyAlignment="1">
      <alignment horizontal="center"/>
    </xf>
    <xf numFmtId="0" fontId="20" fillId="0" borderId="22" xfId="0" applyFont="1" applyBorder="1" applyAlignment="1">
      <alignment horizontal="center"/>
    </xf>
    <xf numFmtId="0" fontId="0" fillId="0" borderId="14" xfId="0" applyBorder="1" applyAlignment="1">
      <alignment horizontal="left"/>
    </xf>
    <xf numFmtId="0" fontId="14" fillId="25" borderId="14" xfId="0" applyFont="1" applyFill="1" applyBorder="1"/>
    <xf numFmtId="0" fontId="0" fillId="25" borderId="14" xfId="0" applyFill="1" applyBorder="1"/>
    <xf numFmtId="0" fontId="38" fillId="25" borderId="14" xfId="0" applyFont="1" applyFill="1" applyBorder="1" applyAlignment="1">
      <alignment horizontal="left"/>
    </xf>
    <xf numFmtId="0" fontId="38" fillId="25" borderId="14" xfId="0" applyFont="1" applyFill="1" applyBorder="1" applyAlignment="1">
      <alignment horizontal="center"/>
    </xf>
    <xf numFmtId="0" fontId="11" fillId="0" borderId="14" xfId="0" applyFont="1" applyBorder="1" applyAlignment="1">
      <alignment horizontal="center"/>
    </xf>
    <xf numFmtId="0" fontId="56" fillId="0" borderId="14" xfId="0" applyFont="1" applyBorder="1" applyAlignment="1">
      <alignment horizontal="center"/>
    </xf>
    <xf numFmtId="0" fontId="4" fillId="0" borderId="68" xfId="0" applyFont="1" applyBorder="1" applyAlignment="1">
      <alignment horizontal="center" vertical="center"/>
    </xf>
    <xf numFmtId="0" fontId="0" fillId="0" borderId="60" xfId="0" applyBorder="1" applyAlignment="1">
      <alignment horizontal="center" vertical="center"/>
    </xf>
    <xf numFmtId="2" fontId="11" fillId="0" borderId="24" xfId="0" applyNumberFormat="1" applyFont="1" applyBorder="1" applyAlignment="1">
      <alignment horizontal="center"/>
    </xf>
    <xf numFmtId="2" fontId="11" fillId="0" borderId="16" xfId="0" applyNumberFormat="1" applyFont="1" applyBorder="1" applyAlignment="1">
      <alignment horizontal="center"/>
    </xf>
    <xf numFmtId="14" fontId="11" fillId="0" borderId="14" xfId="0" applyNumberFormat="1" applyFont="1" applyBorder="1" applyAlignment="1">
      <alignment horizontal="center"/>
    </xf>
    <xf numFmtId="0" fontId="5" fillId="0" borderId="44" xfId="0" applyFont="1" applyBorder="1" applyAlignment="1">
      <alignment horizontal="center" vertical="center" wrapText="1"/>
    </xf>
    <xf numFmtId="0" fontId="5" fillId="0" borderId="75" xfId="0" applyFont="1" applyBorder="1" applyAlignment="1">
      <alignment horizontal="center" vertical="center" wrapText="1"/>
    </xf>
    <xf numFmtId="0" fontId="4" fillId="0" borderId="76" xfId="0" applyFont="1" applyBorder="1" applyAlignment="1">
      <alignment horizontal="center"/>
    </xf>
    <xf numFmtId="0" fontId="4" fillId="0" borderId="77" xfId="0" applyFont="1" applyBorder="1" applyAlignment="1">
      <alignment horizontal="center" wrapText="1"/>
    </xf>
    <xf numFmtId="0" fontId="11" fillId="0" borderId="66" xfId="0" applyFont="1" applyBorder="1" applyAlignment="1">
      <alignment horizontal="center" vertical="center"/>
    </xf>
    <xf numFmtId="14" fontId="10" fillId="0" borderId="14" xfId="22" applyNumberFormat="1" applyBorder="1" applyAlignment="1" applyProtection="1">
      <alignment horizontal="center" wrapText="1"/>
    </xf>
    <xf numFmtId="3" fontId="9" fillId="27" borderId="54" xfId="0" applyNumberFormat="1" applyFont="1" applyFill="1" applyBorder="1" applyAlignment="1">
      <alignment horizontal="center" vertical="center" wrapText="1"/>
    </xf>
    <xf numFmtId="3" fontId="9" fillId="27" borderId="53" xfId="0" applyNumberFormat="1" applyFont="1" applyFill="1" applyBorder="1" applyAlignment="1">
      <alignment horizontal="center" vertical="center" wrapText="1"/>
    </xf>
    <xf numFmtId="14" fontId="57" fillId="0" borderId="14" xfId="22" applyNumberFormat="1" applyFont="1" applyBorder="1" applyAlignment="1" applyProtection="1">
      <alignment horizontal="center"/>
    </xf>
    <xf numFmtId="3" fontId="9" fillId="28" borderId="13" xfId="0" applyNumberFormat="1" applyFont="1" applyFill="1" applyBorder="1" applyAlignment="1">
      <alignment horizontal="center" vertical="center" wrapText="1"/>
    </xf>
    <xf numFmtId="0" fontId="10" fillId="0" borderId="64" xfId="22" applyBorder="1" applyAlignment="1" applyProtection="1">
      <alignment horizontal="center" vertical="center"/>
    </xf>
    <xf numFmtId="0" fontId="10" fillId="0" borderId="51" xfId="22" applyBorder="1" applyAlignment="1" applyProtection="1">
      <alignment horizontal="center" vertical="center"/>
    </xf>
    <xf numFmtId="0" fontId="10" fillId="0" borderId="47" xfId="22" applyBorder="1" applyAlignment="1" applyProtection="1">
      <alignment horizontal="center" vertical="center"/>
    </xf>
    <xf numFmtId="0" fontId="38" fillId="28" borderId="14" xfId="0" applyFont="1" applyFill="1" applyBorder="1" applyAlignment="1">
      <alignment horizontal="center" wrapText="1"/>
    </xf>
    <xf numFmtId="0" fontId="38" fillId="28" borderId="14" xfId="0" applyFont="1" applyFill="1" applyBorder="1" applyAlignment="1">
      <alignment horizontal="center" vertical="center"/>
    </xf>
    <xf numFmtId="0" fontId="38" fillId="0" borderId="14" xfId="0" applyFont="1" applyBorder="1" applyAlignment="1">
      <alignment horizontal="center" vertical="center"/>
    </xf>
    <xf numFmtId="0" fontId="40" fillId="0" borderId="14" xfId="0" applyFont="1" applyBorder="1" applyAlignment="1">
      <alignment horizontal="center" vertical="center"/>
    </xf>
    <xf numFmtId="0" fontId="38" fillId="0" borderId="14" xfId="0" applyFont="1" applyBorder="1" applyAlignment="1">
      <alignment horizontal="center"/>
    </xf>
    <xf numFmtId="0" fontId="38" fillId="0" borderId="16" xfId="0" applyFont="1" applyBorder="1" applyAlignment="1">
      <alignment horizontal="center" vertical="center"/>
    </xf>
    <xf numFmtId="0" fontId="58" fillId="0" borderId="14" xfId="0" applyFont="1" applyBorder="1" applyAlignment="1">
      <alignment horizontal="center"/>
    </xf>
    <xf numFmtId="0" fontId="9" fillId="28" borderId="13" xfId="0" applyFont="1" applyFill="1" applyBorder="1" applyAlignment="1">
      <alignment horizontal="center" vertical="center" wrapText="1"/>
    </xf>
    <xf numFmtId="0" fontId="4" fillId="0" borderId="27" xfId="0" applyFont="1" applyBorder="1" applyAlignment="1">
      <alignment horizontal="center" vertical="center" wrapText="1"/>
    </xf>
    <xf numFmtId="0" fontId="4" fillId="25" borderId="18" xfId="0" applyFont="1" applyFill="1" applyBorder="1" applyAlignment="1">
      <alignment horizontal="center" vertical="center"/>
    </xf>
    <xf numFmtId="0" fontId="4" fillId="25" borderId="17" xfId="0" applyFont="1" applyFill="1" applyBorder="1" applyAlignment="1">
      <alignment horizontal="center" vertical="center" wrapText="1"/>
    </xf>
    <xf numFmtId="0" fontId="4" fillId="0" borderId="61" xfId="0" applyFont="1" applyBorder="1" applyAlignment="1">
      <alignment horizontal="center" vertical="center"/>
    </xf>
    <xf numFmtId="0" fontId="4" fillId="0" borderId="26" xfId="0" applyFont="1" applyBorder="1" applyAlignment="1">
      <alignment horizontal="center" vertical="center"/>
    </xf>
    <xf numFmtId="0" fontId="4" fillId="0" borderId="29" xfId="0" applyFont="1" applyBorder="1" applyAlignment="1">
      <alignment horizontal="center" vertical="center"/>
    </xf>
    <xf numFmtId="0" fontId="4" fillId="0" borderId="51" xfId="0" applyFont="1" applyBorder="1" applyAlignment="1">
      <alignment horizontal="center" vertical="center"/>
    </xf>
    <xf numFmtId="0" fontId="0" fillId="0" borderId="50" xfId="0" applyBorder="1" applyAlignment="1">
      <alignment horizontal="center" vertical="center"/>
    </xf>
    <xf numFmtId="14" fontId="4" fillId="0" borderId="18" xfId="0" applyNumberFormat="1" applyFont="1" applyBorder="1" applyAlignment="1">
      <alignment horizontal="center"/>
    </xf>
    <xf numFmtId="0" fontId="40" fillId="0" borderId="51" xfId="0" applyFont="1" applyBorder="1" applyAlignment="1">
      <alignment horizontal="center" vertical="center"/>
    </xf>
    <xf numFmtId="0" fontId="40" fillId="0" borderId="14" xfId="0" applyFont="1" applyBorder="1" applyAlignment="1">
      <alignment horizontal="center"/>
    </xf>
    <xf numFmtId="14" fontId="10" fillId="35" borderId="14" xfId="22" applyNumberFormat="1" applyFill="1" applyBorder="1" applyAlignment="1" applyProtection="1">
      <alignment horizontal="center"/>
    </xf>
    <xf numFmtId="14" fontId="4" fillId="0" borderId="18" xfId="0" applyNumberFormat="1" applyFont="1" applyBorder="1" applyAlignment="1">
      <alignment horizontal="center" vertical="center" wrapText="1"/>
    </xf>
    <xf numFmtId="0" fontId="63" fillId="0" borderId="0" xfId="45" applyFont="1"/>
    <xf numFmtId="0" fontId="64" fillId="0" borderId="0" xfId="45" applyFont="1" applyAlignment="1">
      <alignment horizontal="justify"/>
    </xf>
    <xf numFmtId="0" fontId="65" fillId="0" borderId="0" xfId="45" applyFont="1" applyAlignment="1">
      <alignment horizontal="justify"/>
    </xf>
    <xf numFmtId="0" fontId="65" fillId="0" borderId="0" xfId="45" applyFont="1"/>
    <xf numFmtId="0" fontId="67" fillId="28" borderId="87" xfId="45" applyFont="1" applyFill="1" applyBorder="1" applyAlignment="1">
      <alignment horizontal="center" vertical="center" wrapText="1"/>
    </xf>
    <xf numFmtId="0" fontId="67" fillId="28" borderId="88" xfId="45" applyFont="1" applyFill="1" applyBorder="1" applyAlignment="1">
      <alignment horizontal="center" vertical="center" wrapText="1"/>
    </xf>
    <xf numFmtId="0" fontId="64" fillId="28" borderId="89" xfId="45" applyFont="1" applyFill="1" applyBorder="1" applyAlignment="1">
      <alignment horizontal="center" vertical="center" wrapText="1"/>
    </xf>
    <xf numFmtId="0" fontId="64" fillId="26" borderId="89" xfId="45" applyFont="1" applyFill="1" applyBorder="1" applyAlignment="1">
      <alignment horizontal="center" vertical="center" wrapText="1"/>
    </xf>
    <xf numFmtId="0" fontId="64" fillId="28" borderId="90" xfId="45" applyFont="1" applyFill="1" applyBorder="1" applyAlignment="1">
      <alignment horizontal="center" vertical="center" wrapText="1"/>
    </xf>
    <xf numFmtId="0" fontId="64" fillId="28" borderId="65" xfId="45" applyFont="1" applyFill="1" applyBorder="1" applyAlignment="1">
      <alignment horizontal="center" vertical="center" wrapText="1"/>
    </xf>
    <xf numFmtId="0" fontId="63" fillId="26" borderId="0" xfId="45" applyFont="1" applyFill="1"/>
    <xf numFmtId="0" fontId="63" fillId="37" borderId="91" xfId="45" applyFont="1" applyFill="1" applyBorder="1" applyAlignment="1">
      <alignment horizontal="center" vertical="center" wrapText="1"/>
    </xf>
    <xf numFmtId="0" fontId="63" fillId="37" borderId="92" xfId="45" applyFont="1" applyFill="1" applyBorder="1" applyAlignment="1">
      <alignment horizontal="center" vertical="center" wrapText="1"/>
    </xf>
    <xf numFmtId="0" fontId="63" fillId="0" borderId="34" xfId="45" applyFont="1" applyBorder="1" applyAlignment="1">
      <alignment horizontal="center"/>
    </xf>
    <xf numFmtId="0" fontId="63" fillId="26" borderId="34" xfId="45" applyFont="1" applyFill="1" applyBorder="1" applyAlignment="1">
      <alignment horizontal="center"/>
    </xf>
    <xf numFmtId="0" fontId="63" fillId="0" borderId="61" xfId="45" applyFont="1" applyBorder="1" applyAlignment="1">
      <alignment horizontal="center"/>
    </xf>
    <xf numFmtId="0" fontId="63" fillId="37" borderId="94" xfId="45" applyFont="1" applyFill="1" applyBorder="1" applyAlignment="1">
      <alignment horizontal="center" vertical="center" wrapText="1"/>
    </xf>
    <xf numFmtId="0" fontId="63" fillId="37" borderId="95" xfId="45" applyFont="1" applyFill="1" applyBorder="1" applyAlignment="1">
      <alignment horizontal="center" vertical="center" wrapText="1"/>
    </xf>
    <xf numFmtId="0" fontId="63" fillId="37" borderId="96" xfId="45" applyFont="1" applyFill="1" applyBorder="1" applyAlignment="1">
      <alignment horizontal="center" vertical="center" wrapText="1"/>
    </xf>
    <xf numFmtId="0" fontId="70" fillId="0" borderId="34" xfId="45" applyFont="1" applyBorder="1" applyAlignment="1">
      <alignment horizontal="center" vertical="center"/>
    </xf>
    <xf numFmtId="0" fontId="70" fillId="26" borderId="34" xfId="45" applyFont="1" applyFill="1" applyBorder="1" applyAlignment="1">
      <alignment horizontal="center" vertical="center"/>
    </xf>
    <xf numFmtId="2" fontId="70" fillId="0" borderId="34" xfId="45" applyNumberFormat="1" applyFont="1" applyBorder="1" applyAlignment="1">
      <alignment horizontal="center" vertical="center"/>
    </xf>
    <xf numFmtId="2" fontId="70" fillId="0" borderId="61" xfId="45" applyNumberFormat="1" applyFont="1" applyBorder="1" applyAlignment="1">
      <alignment horizontal="center" vertical="center"/>
    </xf>
    <xf numFmtId="2" fontId="70" fillId="0" borderId="66" xfId="45" applyNumberFormat="1" applyFont="1" applyBorder="1" applyAlignment="1">
      <alignment horizontal="center" vertical="center"/>
    </xf>
    <xf numFmtId="0" fontId="63" fillId="37" borderId="97" xfId="45" applyFont="1" applyFill="1" applyBorder="1" applyAlignment="1">
      <alignment horizontal="center" vertical="center" wrapText="1"/>
    </xf>
    <xf numFmtId="0" fontId="63" fillId="37" borderId="78" xfId="45" applyFont="1" applyFill="1" applyBorder="1" applyAlignment="1">
      <alignment horizontal="center" vertical="center" wrapText="1"/>
    </xf>
    <xf numFmtId="0" fontId="70" fillId="0" borderId="14" xfId="45" applyFont="1" applyBorder="1" applyAlignment="1">
      <alignment horizontal="center" vertical="center"/>
    </xf>
    <xf numFmtId="0" fontId="70" fillId="26" borderId="14" xfId="45" applyFont="1" applyFill="1" applyBorder="1" applyAlignment="1">
      <alignment horizontal="center" vertical="center"/>
    </xf>
    <xf numFmtId="0" fontId="70" fillId="0" borderId="17" xfId="45" applyFont="1" applyBorder="1" applyAlignment="1">
      <alignment horizontal="center" vertical="center"/>
    </xf>
    <xf numFmtId="0" fontId="70" fillId="0" borderId="67" xfId="45" applyFont="1" applyBorder="1" applyAlignment="1">
      <alignment horizontal="center" vertical="center"/>
    </xf>
    <xf numFmtId="0" fontId="63" fillId="37" borderId="98" xfId="45" applyFont="1" applyFill="1" applyBorder="1" applyAlignment="1">
      <alignment horizontal="center" vertical="center" wrapText="1"/>
    </xf>
    <xf numFmtId="0" fontId="63" fillId="37" borderId="99" xfId="45" applyFont="1" applyFill="1" applyBorder="1" applyAlignment="1">
      <alignment horizontal="center" vertical="center" wrapText="1"/>
    </xf>
    <xf numFmtId="0" fontId="70" fillId="0" borderId="25" xfId="45" applyFont="1" applyBorder="1" applyAlignment="1">
      <alignment horizontal="center" vertical="center"/>
    </xf>
    <xf numFmtId="0" fontId="70" fillId="26" borderId="25" xfId="45" applyFont="1" applyFill="1" applyBorder="1" applyAlignment="1">
      <alignment horizontal="center" vertical="center"/>
    </xf>
    <xf numFmtId="0" fontId="70" fillId="0" borderId="26" xfId="45" applyFont="1" applyBorder="1" applyAlignment="1">
      <alignment horizontal="center" vertical="center"/>
    </xf>
    <xf numFmtId="0" fontId="70" fillId="0" borderId="68" xfId="45" applyFont="1" applyBorder="1" applyAlignment="1">
      <alignment horizontal="center" vertical="center"/>
    </xf>
    <xf numFmtId="0" fontId="67" fillId="36" borderId="0" xfId="45" applyFont="1" applyFill="1" applyAlignment="1">
      <alignment horizontal="left" vertical="center" wrapText="1"/>
    </xf>
    <xf numFmtId="0" fontId="63" fillId="0" borderId="0" xfId="45" applyFont="1" applyAlignment="1">
      <alignment horizontal="center" vertical="center"/>
    </xf>
    <xf numFmtId="0" fontId="63" fillId="26" borderId="0" xfId="45" applyFont="1" applyFill="1" applyAlignment="1">
      <alignment horizontal="center" vertical="center"/>
    </xf>
    <xf numFmtId="0" fontId="70" fillId="0" borderId="0" xfId="45" applyFont="1" applyAlignment="1">
      <alignment horizontal="center" vertical="center"/>
    </xf>
    <xf numFmtId="0" fontId="63" fillId="37" borderId="84" xfId="45" applyFont="1" applyFill="1" applyBorder="1" applyAlignment="1">
      <alignment horizontal="center" vertical="center" wrapText="1"/>
    </xf>
    <xf numFmtId="0" fontId="70" fillId="0" borderId="61" xfId="45" applyFont="1" applyBorder="1" applyAlignment="1">
      <alignment horizontal="center" vertical="center"/>
    </xf>
    <xf numFmtId="0" fontId="70" fillId="0" borderId="66" xfId="45" applyFont="1" applyBorder="1" applyAlignment="1">
      <alignment horizontal="center" vertical="center"/>
    </xf>
    <xf numFmtId="0" fontId="63" fillId="37" borderId="59" xfId="45" applyFont="1" applyFill="1" applyBorder="1" applyAlignment="1">
      <alignment horizontal="center" vertical="center" wrapText="1"/>
    </xf>
    <xf numFmtId="0" fontId="67" fillId="36" borderId="23" xfId="45" applyFont="1" applyFill="1" applyBorder="1" applyAlignment="1">
      <alignment horizontal="left" vertical="center" wrapText="1"/>
    </xf>
    <xf numFmtId="0" fontId="67" fillId="36" borderId="65" xfId="45" applyFont="1" applyFill="1" applyBorder="1" applyAlignment="1">
      <alignment horizontal="left" vertical="center" wrapText="1"/>
    </xf>
    <xf numFmtId="0" fontId="70" fillId="26" borderId="0" xfId="45" applyFont="1" applyFill="1" applyAlignment="1">
      <alignment horizontal="center" vertical="center"/>
    </xf>
    <xf numFmtId="0" fontId="70" fillId="0" borderId="0" xfId="45" applyFont="1"/>
    <xf numFmtId="0" fontId="63" fillId="37" borderId="76" xfId="45" applyFont="1" applyFill="1" applyBorder="1" applyAlignment="1">
      <alignment horizontal="center" vertical="center" wrapText="1"/>
    </xf>
    <xf numFmtId="0" fontId="63" fillId="37" borderId="100" xfId="45" applyFont="1" applyFill="1" applyBorder="1" applyAlignment="1">
      <alignment horizontal="center" vertical="center" wrapText="1"/>
    </xf>
    <xf numFmtId="0" fontId="63" fillId="37" borderId="101" xfId="45" applyFont="1" applyFill="1" applyBorder="1" applyAlignment="1">
      <alignment horizontal="center" vertical="center" wrapText="1"/>
    </xf>
    <xf numFmtId="0" fontId="63" fillId="37" borderId="102" xfId="45" applyFont="1" applyFill="1" applyBorder="1" applyAlignment="1">
      <alignment horizontal="center" vertical="center" wrapText="1"/>
    </xf>
    <xf numFmtId="0" fontId="63" fillId="0" borderId="17" xfId="45" applyFont="1" applyBorder="1" applyAlignment="1">
      <alignment horizontal="center" vertical="center"/>
    </xf>
    <xf numFmtId="0" fontId="63" fillId="0" borderId="14" xfId="45" applyFont="1" applyBorder="1" applyAlignment="1">
      <alignment horizontal="center" vertical="center"/>
    </xf>
    <xf numFmtId="0" fontId="63" fillId="37" borderId="103" xfId="45" applyFont="1" applyFill="1" applyBorder="1" applyAlignment="1">
      <alignment horizontal="center" vertical="center" wrapText="1"/>
    </xf>
    <xf numFmtId="0" fontId="63" fillId="37" borderId="104" xfId="45" applyFont="1" applyFill="1" applyBorder="1" applyAlignment="1">
      <alignment horizontal="center" vertical="center" wrapText="1"/>
    </xf>
    <xf numFmtId="0" fontId="63" fillId="0" borderId="67" xfId="45" applyFont="1" applyBorder="1" applyAlignment="1">
      <alignment horizontal="center" vertical="center"/>
    </xf>
    <xf numFmtId="0" fontId="63" fillId="37" borderId="77" xfId="45" applyFont="1" applyFill="1" applyBorder="1" applyAlignment="1">
      <alignment horizontal="center" vertical="center" wrapText="1"/>
    </xf>
    <xf numFmtId="0" fontId="63" fillId="37" borderId="105" xfId="45" applyFont="1" applyFill="1" applyBorder="1" applyAlignment="1">
      <alignment horizontal="center" vertical="center" wrapText="1"/>
    </xf>
    <xf numFmtId="0" fontId="63" fillId="0" borderId="26" xfId="45" applyFont="1" applyBorder="1" applyAlignment="1">
      <alignment horizontal="center" vertical="center"/>
    </xf>
    <xf numFmtId="0" fontId="63" fillId="0" borderId="25" xfId="45" applyFont="1" applyBorder="1" applyAlignment="1">
      <alignment horizontal="center" vertical="center"/>
    </xf>
    <xf numFmtId="0" fontId="63" fillId="0" borderId="68" xfId="45" applyFont="1" applyBorder="1" applyAlignment="1">
      <alignment horizontal="center" vertical="center"/>
    </xf>
    <xf numFmtId="0" fontId="67" fillId="0" borderId="0" xfId="45" applyFont="1" applyAlignment="1">
      <alignment horizontal="left" vertical="center" wrapText="1"/>
    </xf>
    <xf numFmtId="0" fontId="63" fillId="37" borderId="106" xfId="45" applyFont="1" applyFill="1" applyBorder="1" applyAlignment="1">
      <alignment horizontal="center" vertical="center" wrapText="1"/>
    </xf>
    <xf numFmtId="0" fontId="63" fillId="37" borderId="107" xfId="45" applyFont="1" applyFill="1" applyBorder="1" applyAlignment="1">
      <alignment horizontal="center" vertical="center" wrapText="1"/>
    </xf>
    <xf numFmtId="0" fontId="67" fillId="0" borderId="0" xfId="45" applyFont="1"/>
    <xf numFmtId="0" fontId="63" fillId="28" borderId="93" xfId="45" applyFont="1" applyFill="1" applyBorder="1" applyAlignment="1">
      <alignment horizontal="center" vertical="center" wrapText="1"/>
    </xf>
    <xf numFmtId="0" fontId="63" fillId="38" borderId="0" xfId="45" applyFont="1" applyFill="1"/>
    <xf numFmtId="0" fontId="63" fillId="39" borderId="0" xfId="45" applyFont="1" applyFill="1"/>
    <xf numFmtId="0" fontId="0" fillId="35" borderId="14" xfId="0" applyFill="1" applyBorder="1" applyAlignment="1">
      <alignment horizontal="center"/>
    </xf>
    <xf numFmtId="3" fontId="9" fillId="40" borderId="71" xfId="0" applyNumberFormat="1" applyFont="1" applyFill="1" applyBorder="1" applyAlignment="1">
      <alignment horizontal="center" vertical="center" wrapText="1"/>
    </xf>
    <xf numFmtId="3" fontId="9" fillId="40" borderId="70" xfId="0" applyNumberFormat="1" applyFont="1" applyFill="1" applyBorder="1" applyAlignment="1">
      <alignment horizontal="center" vertical="center" wrapText="1"/>
    </xf>
    <xf numFmtId="0" fontId="9" fillId="40" borderId="30" xfId="0" applyFont="1" applyFill="1" applyBorder="1" applyAlignment="1">
      <alignment horizontal="center" vertical="center" wrapText="1"/>
    </xf>
    <xf numFmtId="3" fontId="9" fillId="40" borderId="30" xfId="0" applyNumberFormat="1" applyFont="1" applyFill="1" applyBorder="1" applyAlignment="1">
      <alignment horizontal="center" vertical="center" wrapText="1"/>
    </xf>
    <xf numFmtId="3" fontId="9" fillId="40" borderId="38" xfId="0" applyNumberFormat="1" applyFont="1" applyFill="1" applyBorder="1" applyAlignment="1">
      <alignment horizontal="center" vertical="center" wrapText="1"/>
    </xf>
    <xf numFmtId="3" fontId="9" fillId="40" borderId="54" xfId="0" applyNumberFormat="1" applyFont="1" applyFill="1" applyBorder="1" applyAlignment="1">
      <alignment horizontal="center" vertical="center" wrapText="1"/>
    </xf>
    <xf numFmtId="3" fontId="9" fillId="40" borderId="31" xfId="0" applyNumberFormat="1" applyFont="1" applyFill="1" applyBorder="1" applyAlignment="1">
      <alignment horizontal="center" vertical="center" wrapText="1"/>
    </xf>
    <xf numFmtId="0" fontId="9" fillId="40" borderId="32" xfId="0" applyFont="1" applyFill="1" applyBorder="1" applyAlignment="1">
      <alignment horizontal="center" vertical="center" wrapText="1"/>
    </xf>
    <xf numFmtId="3" fontId="9" fillId="40" borderId="39" xfId="0" applyNumberFormat="1" applyFont="1" applyFill="1" applyBorder="1" applyAlignment="1">
      <alignment horizontal="center" vertical="center" wrapText="1"/>
    </xf>
    <xf numFmtId="3" fontId="0" fillId="40" borderId="54" xfId="0" applyNumberFormat="1" applyFill="1" applyBorder="1" applyAlignment="1">
      <alignment horizontal="center" vertical="center" wrapText="1"/>
    </xf>
    <xf numFmtId="3" fontId="9" fillId="40" borderId="53" xfId="0" applyNumberFormat="1" applyFont="1" applyFill="1" applyBorder="1" applyAlignment="1">
      <alignment horizontal="center" vertical="center" wrapText="1"/>
    </xf>
    <xf numFmtId="3" fontId="9" fillId="43" borderId="70" xfId="0" applyNumberFormat="1" applyFont="1" applyFill="1" applyBorder="1" applyAlignment="1">
      <alignment horizontal="center" vertical="center" wrapText="1"/>
    </xf>
    <xf numFmtId="0" fontId="9" fillId="43" borderId="30" xfId="0" applyFont="1" applyFill="1" applyBorder="1" applyAlignment="1">
      <alignment horizontal="center" vertical="center" wrapText="1"/>
    </xf>
    <xf numFmtId="3" fontId="9" fillId="43" borderId="30" xfId="0" applyNumberFormat="1" applyFont="1" applyFill="1" applyBorder="1" applyAlignment="1">
      <alignment horizontal="center" vertical="center" wrapText="1"/>
    </xf>
    <xf numFmtId="3" fontId="9" fillId="43" borderId="54" xfId="0" applyNumberFormat="1" applyFont="1" applyFill="1" applyBorder="1" applyAlignment="1">
      <alignment horizontal="center" vertical="center" wrapText="1"/>
    </xf>
    <xf numFmtId="0" fontId="9" fillId="43" borderId="32" xfId="0" applyFont="1" applyFill="1" applyBorder="1" applyAlignment="1">
      <alignment horizontal="center" vertical="center" wrapText="1"/>
    </xf>
    <xf numFmtId="3" fontId="9" fillId="43" borderId="39" xfId="0" applyNumberFormat="1" applyFont="1" applyFill="1" applyBorder="1" applyAlignment="1">
      <alignment horizontal="center" vertical="center" wrapText="1"/>
    </xf>
    <xf numFmtId="3" fontId="9" fillId="43" borderId="38" xfId="0" applyNumberFormat="1" applyFont="1" applyFill="1" applyBorder="1" applyAlignment="1">
      <alignment horizontal="center" vertical="center" wrapText="1"/>
    </xf>
    <xf numFmtId="3" fontId="9" fillId="43" borderId="53" xfId="0" applyNumberFormat="1" applyFont="1" applyFill="1" applyBorder="1" applyAlignment="1">
      <alignment horizontal="center" vertical="center" wrapText="1"/>
    </xf>
    <xf numFmtId="3" fontId="0" fillId="43" borderId="54" xfId="0" applyNumberFormat="1" applyFill="1" applyBorder="1" applyAlignment="1">
      <alignment horizontal="center" vertical="center" wrapText="1"/>
    </xf>
    <xf numFmtId="0" fontId="9" fillId="43" borderId="31" xfId="0" applyFont="1" applyFill="1" applyBorder="1" applyAlignment="1">
      <alignment horizontal="center" vertical="center" wrapText="1"/>
    </xf>
    <xf numFmtId="3" fontId="9" fillId="43" borderId="31" xfId="0" applyNumberFormat="1" applyFont="1" applyFill="1" applyBorder="1" applyAlignment="1">
      <alignment horizontal="center" vertical="center" wrapText="1"/>
    </xf>
    <xf numFmtId="3" fontId="0" fillId="43" borderId="71" xfId="0" applyNumberFormat="1" applyFill="1" applyBorder="1" applyAlignment="1">
      <alignment horizontal="center" vertical="center" wrapText="1"/>
    </xf>
    <xf numFmtId="3" fontId="9" fillId="43" borderId="71" xfId="0" applyNumberFormat="1" applyFont="1" applyFill="1" applyBorder="1" applyAlignment="1">
      <alignment horizontal="center" vertical="center" wrapText="1"/>
    </xf>
    <xf numFmtId="0" fontId="63" fillId="0" borderId="66" xfId="45" applyFont="1" applyBorder="1" applyAlignment="1">
      <alignment horizontal="center"/>
    </xf>
    <xf numFmtId="0" fontId="63" fillId="0" borderId="47" xfId="45" applyFont="1" applyBorder="1" applyAlignment="1">
      <alignment horizontal="center"/>
    </xf>
    <xf numFmtId="0" fontId="4" fillId="0" borderId="16" xfId="0" applyFont="1" applyBorder="1" applyAlignment="1">
      <alignment horizontal="center" vertical="center"/>
    </xf>
    <xf numFmtId="0" fontId="4" fillId="35" borderId="29" xfId="0" applyFont="1" applyFill="1" applyBorder="1" applyAlignment="1">
      <alignment horizontal="center" vertical="center"/>
    </xf>
    <xf numFmtId="14" fontId="76" fillId="0" borderId="14" xfId="0" applyNumberFormat="1" applyFont="1" applyBorder="1" applyAlignment="1">
      <alignment horizontal="center"/>
    </xf>
    <xf numFmtId="0" fontId="77" fillId="34" borderId="14" xfId="22" applyFont="1" applyFill="1" applyBorder="1" applyAlignment="1" applyProtection="1">
      <alignment horizontal="center"/>
    </xf>
    <xf numFmtId="0" fontId="3" fillId="0" borderId="14" xfId="0" applyFont="1" applyBorder="1" applyAlignment="1">
      <alignment horizontal="center" wrapText="1"/>
    </xf>
    <xf numFmtId="0" fontId="38" fillId="0" borderId="0" xfId="0" applyFont="1" applyAlignment="1">
      <alignment horizontal="right"/>
    </xf>
    <xf numFmtId="22" fontId="38" fillId="0" borderId="0" xfId="0" applyNumberFormat="1" applyFont="1"/>
    <xf numFmtId="3" fontId="0" fillId="40" borderId="71" xfId="0" applyNumberFormat="1" applyFill="1" applyBorder="1" applyAlignment="1">
      <alignment horizontal="center" vertical="center" wrapText="1"/>
    </xf>
    <xf numFmtId="3" fontId="9" fillId="34" borderId="71" xfId="0" applyNumberFormat="1" applyFont="1" applyFill="1" applyBorder="1" applyAlignment="1">
      <alignment horizontal="center" vertical="center" wrapText="1"/>
    </xf>
    <xf numFmtId="3" fontId="9" fillId="34" borderId="53" xfId="0" applyNumberFormat="1" applyFont="1" applyFill="1" applyBorder="1" applyAlignment="1">
      <alignment horizontal="center" vertical="center" wrapText="1"/>
    </xf>
    <xf numFmtId="3" fontId="9" fillId="34" borderId="39" xfId="0" applyNumberFormat="1" applyFont="1" applyFill="1" applyBorder="1" applyAlignment="1">
      <alignment horizontal="center" vertical="center" wrapText="1"/>
    </xf>
    <xf numFmtId="3" fontId="9" fillId="34" borderId="38" xfId="0" applyNumberFormat="1" applyFont="1" applyFill="1" applyBorder="1" applyAlignment="1">
      <alignment horizontal="center" vertical="center" wrapText="1"/>
    </xf>
    <xf numFmtId="0" fontId="81" fillId="28" borderId="31" xfId="0" applyFont="1" applyFill="1" applyBorder="1" applyAlignment="1">
      <alignment horizontal="center" vertical="center" wrapText="1"/>
    </xf>
    <xf numFmtId="0" fontId="81" fillId="25" borderId="31" xfId="0" applyFont="1" applyFill="1" applyBorder="1" applyAlignment="1">
      <alignment horizontal="center" vertical="center" wrapText="1"/>
    </xf>
    <xf numFmtId="0" fontId="81" fillId="25" borderId="32" xfId="0" applyFont="1" applyFill="1" applyBorder="1" applyAlignment="1">
      <alignment horizontal="center" vertical="center" wrapText="1"/>
    </xf>
    <xf numFmtId="0" fontId="80" fillId="25" borderId="53" xfId="0" applyFont="1" applyFill="1" applyBorder="1" applyAlignment="1">
      <alignment horizontal="center" vertical="center" wrapText="1"/>
    </xf>
    <xf numFmtId="0" fontId="80" fillId="25" borderId="30" xfId="0" applyFont="1" applyFill="1" applyBorder="1" applyAlignment="1">
      <alignment horizontal="center" vertical="center" wrapText="1"/>
    </xf>
    <xf numFmtId="0" fontId="81" fillId="28" borderId="39" xfId="0" applyFont="1" applyFill="1" applyBorder="1" applyAlignment="1">
      <alignment horizontal="center" vertical="center" wrapText="1"/>
    </xf>
    <xf numFmtId="0" fontId="81" fillId="28" borderId="55" xfId="0" applyFont="1" applyFill="1" applyBorder="1" applyAlignment="1">
      <alignment horizontal="center" vertical="center" wrapText="1"/>
    </xf>
    <xf numFmtId="0" fontId="81" fillId="40" borderId="31" xfId="0" applyFont="1" applyFill="1" applyBorder="1" applyAlignment="1">
      <alignment horizontal="center" vertical="center" wrapText="1"/>
    </xf>
    <xf numFmtId="0" fontId="81" fillId="43" borderId="32" xfId="0" applyFont="1" applyFill="1" applyBorder="1" applyAlignment="1">
      <alignment horizontal="center" vertical="center" wrapText="1"/>
    </xf>
    <xf numFmtId="0" fontId="81" fillId="40" borderId="32" xfId="0" applyFont="1" applyFill="1" applyBorder="1" applyAlignment="1">
      <alignment horizontal="center" vertical="center" wrapText="1"/>
    </xf>
    <xf numFmtId="0" fontId="80" fillId="40" borderId="30" xfId="0" applyFont="1" applyFill="1" applyBorder="1" applyAlignment="1">
      <alignment horizontal="center" vertical="center" wrapText="1"/>
    </xf>
    <xf numFmtId="0" fontId="80" fillId="43" borderId="30" xfId="0" applyFont="1" applyFill="1" applyBorder="1" applyAlignment="1">
      <alignment horizontal="center" vertical="center" wrapText="1"/>
    </xf>
    <xf numFmtId="0" fontId="81" fillId="40" borderId="39" xfId="0" applyFont="1" applyFill="1" applyBorder="1" applyAlignment="1">
      <alignment horizontal="center" vertical="center" wrapText="1"/>
    </xf>
    <xf numFmtId="0" fontId="81" fillId="40" borderId="55" xfId="0" applyFont="1" applyFill="1" applyBorder="1" applyAlignment="1">
      <alignment horizontal="center" vertical="center" wrapText="1"/>
    </xf>
    <xf numFmtId="0" fontId="81" fillId="43" borderId="39" xfId="0" applyFont="1" applyFill="1" applyBorder="1" applyAlignment="1">
      <alignment horizontal="center" vertical="center" wrapText="1"/>
    </xf>
    <xf numFmtId="0" fontId="80" fillId="28" borderId="30" xfId="0" applyFont="1" applyFill="1" applyBorder="1" applyAlignment="1">
      <alignment horizontal="center" vertical="center" wrapText="1"/>
    </xf>
    <xf numFmtId="0" fontId="81" fillId="43" borderId="55" xfId="0" applyFont="1" applyFill="1" applyBorder="1" applyAlignment="1">
      <alignment horizontal="center" vertical="center" wrapText="1"/>
    </xf>
    <xf numFmtId="0" fontId="3" fillId="0" borderId="14" xfId="0" applyFont="1" applyBorder="1" applyAlignment="1">
      <alignment horizontal="center" vertical="center"/>
    </xf>
    <xf numFmtId="14" fontId="10" fillId="0" borderId="14" xfId="22" applyNumberFormat="1" applyFill="1" applyBorder="1" applyAlignment="1" applyProtection="1">
      <alignment horizontal="center" vertical="center"/>
    </xf>
    <xf numFmtId="0" fontId="3" fillId="0" borderId="14" xfId="0" applyFont="1" applyBorder="1"/>
    <xf numFmtId="0" fontId="0" fillId="34" borderId="14" xfId="0" applyFill="1" applyBorder="1" applyAlignment="1">
      <alignment horizontal="center"/>
    </xf>
    <xf numFmtId="14" fontId="10" fillId="27" borderId="14" xfId="22" applyNumberFormat="1" applyFill="1" applyBorder="1" applyAlignment="1" applyProtection="1">
      <alignment horizontal="center" vertical="center"/>
    </xf>
    <xf numFmtId="49" fontId="20" fillId="0" borderId="16" xfId="0" applyNumberFormat="1" applyFont="1" applyBorder="1" applyAlignment="1">
      <alignment horizontal="center"/>
    </xf>
    <xf numFmtId="0" fontId="3" fillId="0" borderId="0" xfId="0" applyFont="1"/>
    <xf numFmtId="0" fontId="10" fillId="46" borderId="14" xfId="22" applyFill="1" applyBorder="1" applyAlignment="1" applyProtection="1"/>
    <xf numFmtId="0" fontId="63" fillId="37" borderId="38" xfId="45" applyFont="1" applyFill="1" applyBorder="1" applyAlignment="1">
      <alignment horizontal="center" vertical="center" wrapText="1"/>
    </xf>
    <xf numFmtId="0" fontId="63" fillId="37" borderId="110" xfId="45" applyFont="1" applyFill="1" applyBorder="1" applyAlignment="1">
      <alignment horizontal="center" vertical="center" wrapText="1"/>
    </xf>
    <xf numFmtId="0" fontId="70" fillId="0" borderId="49" xfId="45" applyFont="1" applyBorder="1" applyAlignment="1">
      <alignment horizontal="center" vertical="center"/>
    </xf>
    <xf numFmtId="0" fontId="70" fillId="0" borderId="50" xfId="45" applyFont="1" applyBorder="1" applyAlignment="1">
      <alignment horizontal="center" vertical="center"/>
    </xf>
    <xf numFmtId="0" fontId="63" fillId="37" borderId="111" xfId="45" applyFont="1" applyFill="1" applyBorder="1" applyAlignment="1">
      <alignment horizontal="center" vertical="center" wrapText="1"/>
    </xf>
    <xf numFmtId="0" fontId="63" fillId="37" borderId="112" xfId="45" applyFont="1" applyFill="1" applyBorder="1" applyAlignment="1">
      <alignment horizontal="center" vertical="center" wrapText="1"/>
    </xf>
    <xf numFmtId="0" fontId="3" fillId="34" borderId="14" xfId="0" applyFont="1" applyFill="1" applyBorder="1" applyAlignment="1">
      <alignment horizontal="center"/>
    </xf>
    <xf numFmtId="0" fontId="4" fillId="25" borderId="36" xfId="0" applyFont="1" applyFill="1" applyBorder="1" applyAlignment="1">
      <alignment horizontal="center" vertical="center" wrapText="1"/>
    </xf>
    <xf numFmtId="14" fontId="4" fillId="0" borderId="36" xfId="0" applyNumberFormat="1" applyFont="1" applyBorder="1" applyAlignment="1">
      <alignment horizontal="center"/>
    </xf>
    <xf numFmtId="14" fontId="9" fillId="34" borderId="18" xfId="0" applyNumberFormat="1" applyFont="1" applyFill="1" applyBorder="1" applyAlignment="1">
      <alignment horizontal="center" vertical="center" wrapText="1"/>
    </xf>
    <xf numFmtId="0" fontId="64" fillId="28" borderId="115" xfId="45" applyFont="1" applyFill="1" applyBorder="1" applyAlignment="1">
      <alignment horizontal="center" vertical="center" wrapText="1"/>
    </xf>
    <xf numFmtId="0" fontId="4" fillId="0" borderId="79" xfId="0" applyFont="1" applyBorder="1" applyAlignment="1">
      <alignment horizontal="center" vertical="center"/>
    </xf>
    <xf numFmtId="0" fontId="4" fillId="35" borderId="47" xfId="0" applyFont="1" applyFill="1" applyBorder="1" applyAlignment="1">
      <alignment horizontal="center" vertical="center"/>
    </xf>
    <xf numFmtId="0" fontId="4" fillId="35" borderId="28" xfId="0" applyFont="1" applyFill="1" applyBorder="1" applyAlignment="1">
      <alignment horizontal="center" vertical="center"/>
    </xf>
    <xf numFmtId="0" fontId="4" fillId="35" borderId="64" xfId="0" applyFont="1" applyFill="1" applyBorder="1" applyAlignment="1">
      <alignment horizontal="center" vertical="center"/>
    </xf>
    <xf numFmtId="0" fontId="4" fillId="35" borderId="79" xfId="0" applyFont="1" applyFill="1" applyBorder="1" applyAlignment="1">
      <alignment horizontal="center" vertical="center"/>
    </xf>
    <xf numFmtId="0" fontId="8" fillId="28" borderId="0" xfId="0" applyFont="1" applyFill="1" applyAlignment="1">
      <alignment horizontal="center" vertical="center" wrapText="1"/>
    </xf>
    <xf numFmtId="3" fontId="9" fillId="28" borderId="0" xfId="0" applyNumberFormat="1" applyFont="1" applyFill="1" applyAlignment="1">
      <alignment horizontal="center" vertical="center" wrapText="1"/>
    </xf>
    <xf numFmtId="3" fontId="9" fillId="28" borderId="0" xfId="0" applyNumberFormat="1" applyFont="1" applyFill="1" applyAlignment="1">
      <alignment horizontal="center"/>
    </xf>
    <xf numFmtId="165" fontId="9" fillId="28" borderId="0" xfId="0" applyNumberFormat="1" applyFont="1" applyFill="1" applyAlignment="1">
      <alignment horizontal="center"/>
    </xf>
    <xf numFmtId="3" fontId="14" fillId="27" borderId="59" xfId="0" applyNumberFormat="1" applyFont="1" applyFill="1" applyBorder="1" applyAlignment="1">
      <alignment horizontal="center" vertical="center"/>
    </xf>
    <xf numFmtId="3" fontId="9" fillId="34" borderId="116" xfId="0" applyNumberFormat="1" applyFont="1" applyFill="1" applyBorder="1" applyAlignment="1">
      <alignment horizontal="center" vertical="center" wrapText="1"/>
    </xf>
    <xf numFmtId="14" fontId="10" fillId="28" borderId="14" xfId="22" quotePrefix="1" applyNumberFormat="1" applyFill="1" applyBorder="1" applyAlignment="1" applyProtection="1">
      <alignment horizontal="center"/>
    </xf>
    <xf numFmtId="0" fontId="5" fillId="32" borderId="15" xfId="0" applyFont="1" applyFill="1" applyBorder="1" applyAlignment="1">
      <alignment horizontal="center" vertical="center" wrapText="1"/>
    </xf>
    <xf numFmtId="0" fontId="5" fillId="32" borderId="16" xfId="0" applyFont="1" applyFill="1" applyBorder="1" applyAlignment="1">
      <alignment horizontal="center" vertical="center" wrapText="1"/>
    </xf>
    <xf numFmtId="14" fontId="10" fillId="35" borderId="18" xfId="22" applyNumberFormat="1" applyFill="1" applyBorder="1" applyAlignment="1" applyProtection="1">
      <alignment horizontal="center" vertical="center" wrapText="1"/>
    </xf>
    <xf numFmtId="0" fontId="83" fillId="34" borderId="23" xfId="0" applyFont="1" applyFill="1" applyBorder="1" applyAlignment="1">
      <alignment horizontal="center" vertical="center"/>
    </xf>
    <xf numFmtId="0" fontId="4" fillId="0" borderId="24" xfId="0" applyFont="1" applyBorder="1" applyAlignment="1">
      <alignment horizontal="center" vertical="center"/>
    </xf>
    <xf numFmtId="0" fontId="3" fillId="0" borderId="14" xfId="0" applyFont="1" applyBorder="1" applyAlignment="1">
      <alignment horizontal="center"/>
    </xf>
    <xf numFmtId="49" fontId="10" fillId="0" borderId="22" xfId="22" applyNumberFormat="1" applyFill="1" applyBorder="1" applyAlignment="1" applyProtection="1">
      <alignment horizontal="center"/>
    </xf>
    <xf numFmtId="14" fontId="4" fillId="0" borderId="44" xfId="0" applyNumberFormat="1" applyFont="1" applyBorder="1" applyAlignment="1">
      <alignment horizontal="center"/>
    </xf>
    <xf numFmtId="14" fontId="4" fillId="0" borderId="44" xfId="0" applyNumberFormat="1" applyFont="1" applyBorder="1" applyAlignment="1">
      <alignment horizontal="center" vertical="center" wrapText="1"/>
    </xf>
    <xf numFmtId="14" fontId="9" fillId="34" borderId="44" xfId="0" applyNumberFormat="1" applyFont="1" applyFill="1" applyBorder="1" applyAlignment="1">
      <alignment horizontal="center" vertical="center" wrapText="1"/>
    </xf>
    <xf numFmtId="14" fontId="4" fillId="0" borderId="35" xfId="0" applyNumberFormat="1" applyFont="1" applyBorder="1" applyAlignment="1">
      <alignment horizontal="center"/>
    </xf>
    <xf numFmtId="0" fontId="3" fillId="0" borderId="16" xfId="0" applyFont="1" applyBorder="1" applyAlignment="1">
      <alignment horizontal="center" vertical="center"/>
    </xf>
    <xf numFmtId="0" fontId="10" fillId="0" borderId="22" xfId="22" applyFill="1" applyBorder="1" applyAlignment="1" applyProtection="1">
      <alignment horizontal="center"/>
    </xf>
    <xf numFmtId="0" fontId="38" fillId="47" borderId="14" xfId="0" applyFont="1" applyFill="1" applyBorder="1" applyAlignment="1">
      <alignment horizontal="center" vertical="center"/>
    </xf>
    <xf numFmtId="0" fontId="38" fillId="47" borderId="14" xfId="0" applyFont="1" applyFill="1" applyBorder="1"/>
    <xf numFmtId="0" fontId="3" fillId="35" borderId="14" xfId="0" applyFont="1" applyFill="1" applyBorder="1" applyAlignment="1">
      <alignment horizontal="center" vertical="center"/>
    </xf>
    <xf numFmtId="2" fontId="70" fillId="35" borderId="61" xfId="45" applyNumberFormat="1" applyFont="1" applyFill="1" applyBorder="1" applyAlignment="1">
      <alignment horizontal="center" vertical="center"/>
    </xf>
    <xf numFmtId="0" fontId="70" fillId="35" borderId="17" xfId="45" applyFont="1" applyFill="1" applyBorder="1" applyAlignment="1">
      <alignment horizontal="center" vertical="center"/>
    </xf>
    <xf numFmtId="0" fontId="70" fillId="35" borderId="26" xfId="45" applyFont="1" applyFill="1" applyBorder="1" applyAlignment="1">
      <alignment horizontal="center" vertical="center"/>
    </xf>
    <xf numFmtId="0" fontId="70" fillId="35" borderId="0" xfId="45" applyFont="1" applyFill="1"/>
    <xf numFmtId="0" fontId="70" fillId="35" borderId="61" xfId="45" applyFont="1" applyFill="1" applyBorder="1" applyAlignment="1">
      <alignment horizontal="center" vertical="center"/>
    </xf>
    <xf numFmtId="0" fontId="70" fillId="35" borderId="21" xfId="45" applyFont="1" applyFill="1" applyBorder="1" applyAlignment="1">
      <alignment horizontal="center" vertical="center"/>
    </xf>
    <xf numFmtId="0" fontId="70" fillId="35" borderId="36" xfId="45" applyFont="1" applyFill="1" applyBorder="1" applyAlignment="1">
      <alignment horizontal="center" vertical="center"/>
    </xf>
    <xf numFmtId="14" fontId="40" fillId="31" borderId="0" xfId="32" applyNumberFormat="1" applyFill="1"/>
    <xf numFmtId="0" fontId="40" fillId="35" borderId="14" xfId="32" applyFill="1" applyBorder="1"/>
    <xf numFmtId="14" fontId="10" fillId="35" borderId="14" xfId="22" applyNumberFormat="1" applyFill="1" applyBorder="1" applyAlignment="1" applyProtection="1"/>
    <xf numFmtId="0" fontId="10" fillId="0" borderId="0" xfId="22" quotePrefix="1" applyAlignment="1" applyProtection="1">
      <alignment horizontal="right"/>
    </xf>
    <xf numFmtId="17" fontId="10" fillId="35" borderId="14" xfId="22" quotePrefix="1" applyNumberFormat="1" applyFill="1" applyBorder="1" applyAlignment="1" applyProtection="1">
      <alignment horizontal="right"/>
    </xf>
    <xf numFmtId="14" fontId="84" fillId="35" borderId="18" xfId="22" applyNumberFormat="1" applyFont="1" applyFill="1" applyBorder="1" applyAlignment="1" applyProtection="1">
      <alignment horizontal="center" vertical="center" wrapText="1"/>
    </xf>
    <xf numFmtId="0" fontId="9" fillId="40" borderId="31" xfId="0" applyFont="1" applyFill="1" applyBorder="1" applyAlignment="1">
      <alignment horizontal="center" vertical="center" wrapText="1"/>
    </xf>
    <xf numFmtId="0" fontId="81" fillId="40" borderId="58" xfId="0" applyFont="1" applyFill="1" applyBorder="1" applyAlignment="1">
      <alignment horizontal="center" vertical="center" wrapText="1"/>
    </xf>
    <xf numFmtId="3" fontId="9" fillId="40" borderId="58" xfId="0" applyNumberFormat="1" applyFont="1" applyFill="1" applyBorder="1" applyAlignment="1">
      <alignment horizontal="center" vertical="center" wrapText="1"/>
    </xf>
    <xf numFmtId="0" fontId="9" fillId="40" borderId="53" xfId="0" applyFont="1" applyFill="1" applyBorder="1" applyAlignment="1">
      <alignment horizontal="center" vertical="center" wrapText="1"/>
    </xf>
    <xf numFmtId="0" fontId="80" fillId="40" borderId="38" xfId="0" applyFont="1" applyFill="1" applyBorder="1" applyAlignment="1">
      <alignment horizontal="center" vertical="center" wrapText="1"/>
    </xf>
    <xf numFmtId="0" fontId="9" fillId="40" borderId="58" xfId="0" applyFont="1" applyFill="1" applyBorder="1" applyAlignment="1">
      <alignment horizontal="center" vertical="center" wrapText="1"/>
    </xf>
    <xf numFmtId="0" fontId="80" fillId="43" borderId="53" xfId="0" applyFont="1" applyFill="1" applyBorder="1" applyAlignment="1">
      <alignment horizontal="center" vertical="center" wrapText="1"/>
    </xf>
    <xf numFmtId="3" fontId="9" fillId="43" borderId="116" xfId="0" applyNumberFormat="1" applyFont="1" applyFill="1" applyBorder="1" applyAlignment="1">
      <alignment horizontal="center" vertical="center" wrapText="1"/>
    </xf>
    <xf numFmtId="3" fontId="9" fillId="34" borderId="54" xfId="0" applyNumberFormat="1" applyFont="1" applyFill="1" applyBorder="1" applyAlignment="1">
      <alignment horizontal="center" vertical="center" wrapText="1"/>
    </xf>
    <xf numFmtId="0" fontId="81" fillId="43" borderId="31" xfId="0" applyFont="1" applyFill="1" applyBorder="1" applyAlignment="1">
      <alignment horizontal="center" vertical="center" wrapText="1"/>
    </xf>
    <xf numFmtId="0" fontId="64" fillId="28" borderId="117" xfId="45" applyFont="1" applyFill="1" applyBorder="1" applyAlignment="1">
      <alignment horizontal="center" vertical="center" wrapText="1"/>
    </xf>
    <xf numFmtId="2" fontId="70" fillId="35" borderId="17" xfId="45" applyNumberFormat="1" applyFont="1" applyFill="1" applyBorder="1" applyAlignment="1">
      <alignment horizontal="center" vertical="center"/>
    </xf>
    <xf numFmtId="0" fontId="70" fillId="35" borderId="50" xfId="45" applyFont="1" applyFill="1" applyBorder="1" applyAlignment="1">
      <alignment horizontal="center" vertical="center"/>
    </xf>
    <xf numFmtId="0" fontId="38" fillId="0" borderId="0" xfId="0" applyFont="1" applyAlignment="1">
      <alignment horizontal="center" vertical="center"/>
    </xf>
    <xf numFmtId="20" fontId="3" fillId="0" borderId="14" xfId="0" quotePrefix="1" applyNumberFormat="1" applyFont="1" applyBorder="1"/>
    <xf numFmtId="0" fontId="3" fillId="0" borderId="14" xfId="0" quotePrefix="1" applyFont="1" applyBorder="1"/>
    <xf numFmtId="0" fontId="38" fillId="48" borderId="14" xfId="0" applyFont="1" applyFill="1" applyBorder="1" applyAlignment="1">
      <alignment horizontal="center" vertical="center"/>
    </xf>
    <xf numFmtId="0" fontId="38" fillId="34" borderId="14" xfId="0" applyFont="1" applyFill="1" applyBorder="1" applyAlignment="1">
      <alignment horizontal="center"/>
    </xf>
    <xf numFmtId="0" fontId="38" fillId="41" borderId="14" xfId="0" applyFont="1" applyFill="1" applyBorder="1" applyAlignment="1">
      <alignment horizontal="center"/>
    </xf>
    <xf numFmtId="0" fontId="43" fillId="40" borderId="14" xfId="0" applyFont="1" applyFill="1" applyBorder="1" applyAlignment="1">
      <alignment horizontal="center" vertical="center"/>
    </xf>
    <xf numFmtId="0" fontId="38" fillId="0" borderId="0" xfId="0" applyFont="1" applyAlignment="1">
      <alignment horizontal="right" vertical="center"/>
    </xf>
    <xf numFmtId="166" fontId="38" fillId="0" borderId="0" xfId="0" applyNumberFormat="1" applyFont="1" applyAlignment="1">
      <alignment horizontal="left" vertical="center"/>
    </xf>
    <xf numFmtId="0" fontId="0" fillId="34" borderId="14" xfId="0" applyFill="1" applyBorder="1"/>
    <xf numFmtId="0" fontId="38" fillId="49" borderId="14" xfId="0" applyFont="1" applyFill="1" applyBorder="1" applyAlignment="1">
      <alignment horizontal="center" vertical="center"/>
    </xf>
    <xf numFmtId="0" fontId="38" fillId="49" borderId="14" xfId="0" applyFont="1" applyFill="1" applyBorder="1" applyAlignment="1">
      <alignment horizontal="center" vertical="center" wrapText="1"/>
    </xf>
    <xf numFmtId="3" fontId="0" fillId="0" borderId="14" xfId="0" applyNumberFormat="1" applyBorder="1" applyAlignment="1">
      <alignment horizontal="center"/>
    </xf>
    <xf numFmtId="0" fontId="5" fillId="0" borderId="14" xfId="0" applyFont="1" applyBorder="1" applyAlignment="1">
      <alignment horizontal="center" vertical="center"/>
    </xf>
    <xf numFmtId="0" fontId="10" fillId="0" borderId="14" xfId="22" applyBorder="1" applyAlignment="1" applyProtection="1">
      <alignment wrapText="1"/>
    </xf>
    <xf numFmtId="14" fontId="9" fillId="0" borderId="18" xfId="0" applyNumberFormat="1" applyFont="1" applyBorder="1" applyAlignment="1">
      <alignment horizontal="center" vertical="center" wrapText="1"/>
    </xf>
    <xf numFmtId="0" fontId="4" fillId="35" borderId="21" xfId="0" applyFont="1" applyFill="1" applyBorder="1" applyAlignment="1">
      <alignment horizontal="center" vertical="center"/>
    </xf>
    <xf numFmtId="14" fontId="76" fillId="34" borderId="14" xfId="0" applyNumberFormat="1" applyFont="1" applyFill="1" applyBorder="1" applyAlignment="1">
      <alignment horizontal="center"/>
    </xf>
    <xf numFmtId="0" fontId="4" fillId="0" borderId="65" xfId="0" applyFont="1" applyBorder="1" applyAlignment="1">
      <alignment horizontal="center" vertical="center"/>
    </xf>
    <xf numFmtId="14" fontId="86" fillId="0" borderId="14" xfId="0" applyNumberFormat="1" applyFont="1" applyBorder="1" applyAlignment="1">
      <alignment horizontal="center"/>
    </xf>
    <xf numFmtId="0" fontId="4" fillId="25" borderId="48" xfId="0" applyFont="1" applyFill="1" applyBorder="1" applyAlignment="1">
      <alignment horizontal="center" vertical="center" wrapText="1"/>
    </xf>
    <xf numFmtId="14" fontId="10" fillId="0" borderId="18" xfId="22" applyNumberFormat="1" applyFill="1" applyBorder="1" applyAlignment="1" applyProtection="1">
      <alignment horizontal="center" vertical="center" wrapText="1"/>
    </xf>
    <xf numFmtId="0" fontId="4" fillId="0" borderId="0" xfId="45" applyFont="1"/>
    <xf numFmtId="0" fontId="4" fillId="0" borderId="14" xfId="45" applyFont="1" applyBorder="1" applyAlignment="1">
      <alignment horizontal="center" vertical="center"/>
    </xf>
    <xf numFmtId="0" fontId="4" fillId="0" borderId="15" xfId="45" applyFont="1" applyBorder="1" applyAlignment="1">
      <alignment horizontal="center" vertical="center"/>
    </xf>
    <xf numFmtId="0" fontId="4" fillId="0" borderId="19" xfId="45" applyFont="1" applyBorder="1" applyAlignment="1">
      <alignment horizontal="center" vertical="center"/>
    </xf>
    <xf numFmtId="49" fontId="10" fillId="0" borderId="14" xfId="22" applyNumberFormat="1" applyFill="1" applyBorder="1" applyAlignment="1" applyProtection="1">
      <alignment horizontal="center"/>
    </xf>
    <xf numFmtId="0" fontId="64" fillId="28" borderId="29" xfId="45" applyFont="1" applyFill="1" applyBorder="1" applyAlignment="1">
      <alignment horizontal="center" vertical="center" wrapText="1"/>
    </xf>
    <xf numFmtId="0" fontId="70" fillId="35" borderId="47" xfId="45" applyFont="1" applyFill="1" applyBorder="1" applyAlignment="1">
      <alignment horizontal="center" vertical="center"/>
    </xf>
    <xf numFmtId="0" fontId="70" fillId="35" borderId="51" xfId="45" applyFont="1" applyFill="1" applyBorder="1" applyAlignment="1">
      <alignment horizontal="center" vertical="center"/>
    </xf>
    <xf numFmtId="14" fontId="4" fillId="35" borderId="17" xfId="0" applyNumberFormat="1" applyFont="1" applyFill="1" applyBorder="1" applyAlignment="1">
      <alignment horizontal="center"/>
    </xf>
    <xf numFmtId="14" fontId="4" fillId="35" borderId="36" xfId="0" applyNumberFormat="1" applyFont="1" applyFill="1" applyBorder="1" applyAlignment="1">
      <alignment horizontal="center"/>
    </xf>
    <xf numFmtId="0" fontId="4" fillId="0" borderId="37" xfId="0" applyFont="1" applyBorder="1" applyAlignment="1">
      <alignment horizontal="center" vertical="center"/>
    </xf>
    <xf numFmtId="0" fontId="11" fillId="0" borderId="60" xfId="0" applyFont="1" applyBorder="1" applyAlignment="1">
      <alignment horizontal="center" vertical="center"/>
    </xf>
    <xf numFmtId="0" fontId="4" fillId="0" borderId="49" xfId="0" applyFont="1" applyBorder="1" applyAlignment="1">
      <alignment horizontal="center" vertical="center"/>
    </xf>
    <xf numFmtId="0" fontId="10" fillId="35" borderId="51" xfId="22" applyFill="1" applyBorder="1" applyAlignment="1" applyProtection="1">
      <alignment horizontal="center" vertical="center"/>
    </xf>
    <xf numFmtId="0" fontId="89" fillId="34" borderId="64" xfId="22" applyFont="1" applyFill="1" applyBorder="1" applyAlignment="1" applyProtection="1">
      <alignment horizontal="center" vertical="center"/>
    </xf>
    <xf numFmtId="0" fontId="91" fillId="0" borderId="65" xfId="0" applyFont="1" applyBorder="1" applyAlignment="1">
      <alignment horizontal="center" vertical="center"/>
    </xf>
    <xf numFmtId="0" fontId="20" fillId="0" borderId="63" xfId="0" applyFont="1" applyBorder="1" applyAlignment="1">
      <alignment horizontal="center" vertical="center"/>
    </xf>
    <xf numFmtId="0" fontId="0" fillId="0" borderId="65" xfId="0" applyBorder="1" applyAlignment="1">
      <alignment horizontal="center" vertical="center"/>
    </xf>
    <xf numFmtId="0" fontId="4" fillId="0" borderId="0" xfId="0" applyFont="1" applyAlignment="1">
      <alignment horizontal="center" wrapText="1"/>
    </xf>
    <xf numFmtId="14" fontId="76" fillId="0" borderId="0" xfId="0" applyNumberFormat="1" applyFont="1" applyAlignment="1">
      <alignment horizontal="center"/>
    </xf>
    <xf numFmtId="0" fontId="4" fillId="0" borderId="59" xfId="0" applyFont="1" applyBorder="1" applyAlignment="1">
      <alignment horizontal="center" wrapText="1"/>
    </xf>
    <xf numFmtId="0" fontId="4" fillId="0" borderId="60" xfId="0" applyFont="1" applyBorder="1" applyAlignment="1">
      <alignment horizontal="center" vertical="center"/>
    </xf>
    <xf numFmtId="0" fontId="0" fillId="0" borderId="13" xfId="0" applyBorder="1" applyAlignment="1">
      <alignment horizontal="center" vertical="center"/>
    </xf>
    <xf numFmtId="0" fontId="93" fillId="47" borderId="44" xfId="0" applyFont="1" applyFill="1" applyBorder="1" applyAlignment="1">
      <alignment horizontal="center" vertical="center" wrapText="1"/>
    </xf>
    <xf numFmtId="0" fontId="90" fillId="47" borderId="18" xfId="0" applyFont="1" applyFill="1" applyBorder="1" applyAlignment="1">
      <alignment horizontal="center"/>
    </xf>
    <xf numFmtId="0" fontId="90" fillId="47" borderId="20" xfId="0" applyFont="1" applyFill="1" applyBorder="1" applyAlignment="1">
      <alignment horizontal="center" wrapText="1"/>
    </xf>
    <xf numFmtId="0" fontId="63" fillId="35" borderId="0" xfId="45" applyFont="1" applyFill="1"/>
    <xf numFmtId="14" fontId="9" fillId="35" borderId="18" xfId="0" applyNumberFormat="1" applyFont="1" applyFill="1" applyBorder="1" applyAlignment="1">
      <alignment horizontal="center" vertical="center" wrapText="1"/>
    </xf>
    <xf numFmtId="14" fontId="4" fillId="35" borderId="35" xfId="0" applyNumberFormat="1" applyFont="1" applyFill="1" applyBorder="1" applyAlignment="1">
      <alignment horizontal="center"/>
    </xf>
    <xf numFmtId="14" fontId="10" fillId="25" borderId="14" xfId="22" applyNumberFormat="1" applyFill="1" applyBorder="1" applyAlignment="1" applyProtection="1">
      <alignment horizontal="center" vertical="center"/>
    </xf>
    <xf numFmtId="2" fontId="70" fillId="35" borderId="47" xfId="45" applyNumberFormat="1" applyFont="1" applyFill="1" applyBorder="1" applyAlignment="1">
      <alignment horizontal="center" vertical="center"/>
    </xf>
    <xf numFmtId="2" fontId="70" fillId="35" borderId="36" xfId="45" applyNumberFormat="1" applyFont="1" applyFill="1" applyBorder="1" applyAlignment="1">
      <alignment horizontal="center" vertical="center"/>
    </xf>
    <xf numFmtId="0" fontId="95" fillId="0" borderId="14" xfId="0" applyFont="1" applyBorder="1" applyAlignment="1">
      <alignment horizontal="left"/>
    </xf>
    <xf numFmtId="0" fontId="95" fillId="0" borderId="14" xfId="0" applyFont="1" applyBorder="1" applyAlignment="1">
      <alignment horizontal="left" vertical="center"/>
    </xf>
    <xf numFmtId="0" fontId="95" fillId="0" borderId="14" xfId="0" applyFont="1" applyBorder="1" applyAlignment="1">
      <alignment horizontal="center"/>
    </xf>
    <xf numFmtId="0" fontId="95" fillId="0" borderId="14" xfId="0" quotePrefix="1" applyFont="1" applyBorder="1" applyAlignment="1">
      <alignment horizontal="center"/>
    </xf>
    <xf numFmtId="16" fontId="95" fillId="0" borderId="14" xfId="0" quotePrefix="1" applyNumberFormat="1" applyFont="1" applyBorder="1" applyAlignment="1">
      <alignment horizontal="center"/>
    </xf>
    <xf numFmtId="16" fontId="95" fillId="0" borderId="14" xfId="0" quotePrefix="1" applyNumberFormat="1" applyFont="1" applyBorder="1" applyAlignment="1">
      <alignment horizontal="center" vertical="center"/>
    </xf>
    <xf numFmtId="0" fontId="95" fillId="0" borderId="14" xfId="0" applyFont="1" applyBorder="1" applyAlignment="1">
      <alignment horizontal="center" vertical="center"/>
    </xf>
    <xf numFmtId="0" fontId="95" fillId="34" borderId="14" xfId="0" applyFont="1" applyFill="1" applyBorder="1" applyAlignment="1">
      <alignment horizontal="center" vertical="center"/>
    </xf>
    <xf numFmtId="0" fontId="10" fillId="34" borderId="14" xfId="22" applyFill="1" applyBorder="1" applyAlignment="1" applyProtection="1">
      <alignment horizontal="center"/>
    </xf>
    <xf numFmtId="0" fontId="4" fillId="45" borderId="14" xfId="0" quotePrefix="1" applyFont="1" applyFill="1" applyBorder="1" applyAlignment="1">
      <alignment horizontal="center"/>
    </xf>
    <xf numFmtId="14" fontId="10" fillId="45" borderId="14" xfId="22" quotePrefix="1" applyNumberFormat="1" applyFill="1" applyBorder="1" applyAlignment="1" applyProtection="1">
      <alignment horizontal="center"/>
    </xf>
    <xf numFmtId="14" fontId="10" fillId="43" borderId="14" xfId="22" quotePrefix="1" applyNumberFormat="1" applyFill="1" applyBorder="1" applyAlignment="1" applyProtection="1">
      <alignment horizontal="center"/>
    </xf>
    <xf numFmtId="0" fontId="86" fillId="43" borderId="32" xfId="0" applyFont="1" applyFill="1" applyBorder="1" applyAlignment="1">
      <alignment horizontal="center" vertical="center" wrapText="1"/>
    </xf>
    <xf numFmtId="0" fontId="86" fillId="43" borderId="39" xfId="0" applyFont="1" applyFill="1" applyBorder="1" applyAlignment="1">
      <alignment horizontal="center" vertical="center" wrapText="1"/>
    </xf>
    <xf numFmtId="0" fontId="3" fillId="35" borderId="14" xfId="0" applyFont="1" applyFill="1" applyBorder="1" applyAlignment="1">
      <alignment horizontal="center"/>
    </xf>
    <xf numFmtId="14" fontId="3" fillId="35" borderId="14" xfId="0" applyNumberFormat="1" applyFont="1" applyFill="1" applyBorder="1" applyAlignment="1">
      <alignment horizontal="center"/>
    </xf>
    <xf numFmtId="0" fontId="10" fillId="35" borderId="14" xfId="22" applyFill="1" applyBorder="1" applyAlignment="1" applyProtection="1">
      <alignment horizontal="center"/>
    </xf>
    <xf numFmtId="14" fontId="75" fillId="34" borderId="14" xfId="0" quotePrefix="1" applyNumberFormat="1" applyFont="1" applyFill="1" applyBorder="1" applyAlignment="1">
      <alignment horizontal="center" vertical="center" wrapText="1"/>
    </xf>
    <xf numFmtId="14" fontId="76" fillId="0" borderId="14" xfId="0" quotePrefix="1" applyNumberFormat="1" applyFont="1" applyBorder="1" applyAlignment="1">
      <alignment horizontal="center"/>
    </xf>
    <xf numFmtId="14" fontId="76" fillId="35" borderId="14" xfId="0" applyNumberFormat="1" applyFont="1" applyFill="1" applyBorder="1" applyAlignment="1">
      <alignment horizontal="center"/>
    </xf>
    <xf numFmtId="0" fontId="38" fillId="34" borderId="14" xfId="0" applyFont="1" applyFill="1" applyBorder="1" applyAlignment="1">
      <alignment horizontal="center" vertical="center" wrapText="1"/>
    </xf>
    <xf numFmtId="0" fontId="63" fillId="37" borderId="120" xfId="45" applyFont="1" applyFill="1" applyBorder="1" applyAlignment="1">
      <alignment horizontal="center" vertical="center" wrapText="1"/>
    </xf>
    <xf numFmtId="0" fontId="63" fillId="37" borderId="121" xfId="45" applyFont="1" applyFill="1" applyBorder="1" applyAlignment="1">
      <alignment horizontal="center" vertical="center" wrapText="1"/>
    </xf>
    <xf numFmtId="0" fontId="63" fillId="37" borderId="122" xfId="45" applyFont="1" applyFill="1" applyBorder="1" applyAlignment="1">
      <alignment horizontal="center" vertical="center" wrapText="1"/>
    </xf>
    <xf numFmtId="0" fontId="63" fillId="0" borderId="15" xfId="45" applyFont="1" applyBorder="1" applyAlignment="1">
      <alignment horizontal="center"/>
    </xf>
    <xf numFmtId="0" fontId="63" fillId="26" borderId="15" xfId="45" applyFont="1" applyFill="1" applyBorder="1" applyAlignment="1">
      <alignment horizontal="center"/>
    </xf>
    <xf numFmtId="0" fontId="63" fillId="0" borderId="27" xfId="45" applyFont="1" applyBorder="1" applyAlignment="1">
      <alignment horizontal="center"/>
    </xf>
    <xf numFmtId="0" fontId="63" fillId="0" borderId="80" xfId="45" applyFont="1" applyBorder="1" applyAlignment="1">
      <alignment horizontal="center"/>
    </xf>
    <xf numFmtId="0" fontId="63" fillId="0" borderId="48" xfId="45" applyFont="1" applyBorder="1" applyAlignment="1">
      <alignment horizontal="center"/>
    </xf>
    <xf numFmtId="0" fontId="63" fillId="37" borderId="108" xfId="45" applyFont="1" applyFill="1" applyBorder="1" applyAlignment="1">
      <alignment horizontal="center" vertical="center" wrapText="1"/>
    </xf>
    <xf numFmtId="0" fontId="70" fillId="0" borderId="16" xfId="45" applyFont="1" applyBorder="1" applyAlignment="1">
      <alignment horizontal="center" vertical="center"/>
    </xf>
    <xf numFmtId="0" fontId="70" fillId="26" borderId="16" xfId="45" applyFont="1" applyFill="1" applyBorder="1" applyAlignment="1">
      <alignment horizontal="center" vertical="center"/>
    </xf>
    <xf numFmtId="2" fontId="70" fillId="0" borderId="16" xfId="45" applyNumberFormat="1" applyFont="1" applyBorder="1" applyAlignment="1">
      <alignment horizontal="center" vertical="center"/>
    </xf>
    <xf numFmtId="2" fontId="70" fillId="0" borderId="22" xfId="45" applyNumberFormat="1" applyFont="1" applyBorder="1" applyAlignment="1">
      <alignment horizontal="center" vertical="center"/>
    </xf>
    <xf numFmtId="2" fontId="70" fillId="0" borderId="10" xfId="45" applyNumberFormat="1" applyFont="1" applyBorder="1" applyAlignment="1">
      <alignment horizontal="center" vertical="center"/>
    </xf>
    <xf numFmtId="2" fontId="70" fillId="35" borderId="22" xfId="45" applyNumberFormat="1" applyFont="1" applyFill="1" applyBorder="1" applyAlignment="1">
      <alignment horizontal="center" vertical="center"/>
    </xf>
    <xf numFmtId="2" fontId="70" fillId="35" borderId="35" xfId="45" applyNumberFormat="1" applyFont="1" applyFill="1" applyBorder="1" applyAlignment="1">
      <alignment horizontal="center" vertical="center"/>
    </xf>
    <xf numFmtId="0" fontId="63" fillId="0" borderId="67" xfId="45" applyFont="1" applyBorder="1" applyAlignment="1">
      <alignment horizontal="center"/>
    </xf>
    <xf numFmtId="0" fontId="63" fillId="50" borderId="114" xfId="45" applyFont="1" applyFill="1" applyBorder="1" applyAlignment="1">
      <alignment horizontal="center" vertical="center" wrapText="1"/>
    </xf>
    <xf numFmtId="0" fontId="63" fillId="50" borderId="76" xfId="45" applyFont="1" applyFill="1" applyBorder="1" applyAlignment="1">
      <alignment horizontal="center" vertical="center" wrapText="1"/>
    </xf>
    <xf numFmtId="0" fontId="63" fillId="0" borderId="14" xfId="45" applyFont="1" applyBorder="1" applyAlignment="1">
      <alignment horizontal="center"/>
    </xf>
    <xf numFmtId="0" fontId="70" fillId="0" borderId="67" xfId="45" applyFont="1" applyBorder="1" applyAlignment="1">
      <alignment horizontal="center"/>
    </xf>
    <xf numFmtId="0" fontId="70" fillId="0" borderId="123" xfId="45" applyFont="1" applyBorder="1"/>
    <xf numFmtId="0" fontId="8" fillId="25" borderId="14" xfId="0" applyFont="1" applyFill="1" applyBorder="1" applyAlignment="1">
      <alignment horizontal="center" vertical="center" wrapText="1"/>
    </xf>
    <xf numFmtId="49" fontId="8" fillId="25" borderId="14" xfId="0" applyNumberFormat="1" applyFont="1" applyFill="1" applyBorder="1" applyAlignment="1">
      <alignment horizontal="center" vertical="center" wrapText="1"/>
    </xf>
    <xf numFmtId="0" fontId="60" fillId="0" borderId="14" xfId="0" applyFont="1" applyBorder="1" applyAlignment="1">
      <alignment horizontal="center" vertical="center"/>
    </xf>
    <xf numFmtId="14" fontId="60" fillId="0" borderId="14" xfId="0" applyNumberFormat="1" applyFont="1" applyBorder="1" applyAlignment="1">
      <alignment horizontal="center" vertical="center"/>
    </xf>
    <xf numFmtId="49" fontId="60" fillId="0" borderId="14" xfId="0" applyNumberFormat="1" applyFont="1" applyBorder="1" applyAlignment="1">
      <alignment horizontal="center" vertical="center"/>
    </xf>
    <xf numFmtId="0" fontId="9" fillId="0" borderId="14" xfId="0" applyFont="1" applyBorder="1" applyAlignment="1">
      <alignment horizontal="center" vertical="center"/>
    </xf>
    <xf numFmtId="0" fontId="0" fillId="51" borderId="14" xfId="0" applyFill="1" applyBorder="1" applyAlignment="1">
      <alignment horizontal="center" vertical="center"/>
    </xf>
    <xf numFmtId="0" fontId="38" fillId="51" borderId="14" xfId="0" applyFont="1" applyFill="1" applyBorder="1" applyAlignment="1">
      <alignment horizontal="center" vertical="center"/>
    </xf>
    <xf numFmtId="3" fontId="13" fillId="25" borderId="14" xfId="0" applyNumberFormat="1" applyFont="1" applyFill="1" applyBorder="1" applyAlignment="1">
      <alignment horizontal="center" vertical="center" wrapText="1"/>
    </xf>
    <xf numFmtId="0" fontId="38" fillId="35" borderId="0" xfId="0" applyFont="1" applyFill="1" applyAlignment="1">
      <alignment horizontal="center" vertical="center"/>
    </xf>
    <xf numFmtId="0" fontId="74" fillId="0" borderId="14" xfId="0" applyFont="1" applyBorder="1" applyAlignment="1">
      <alignment horizontal="center" vertical="center"/>
    </xf>
    <xf numFmtId="0" fontId="8" fillId="25" borderId="16" xfId="0" applyFont="1" applyFill="1" applyBorder="1" applyAlignment="1">
      <alignment horizontal="center" vertical="center" wrapText="1"/>
    </xf>
    <xf numFmtId="49" fontId="8" fillId="25" borderId="16" xfId="0" applyNumberFormat="1" applyFont="1" applyFill="1" applyBorder="1" applyAlignment="1">
      <alignment horizontal="center" vertical="center" wrapText="1"/>
    </xf>
    <xf numFmtId="3" fontId="8" fillId="25" borderId="16" xfId="0" applyNumberFormat="1" applyFont="1" applyFill="1" applyBorder="1" applyAlignment="1">
      <alignment horizontal="center" vertical="center" wrapText="1"/>
    </xf>
    <xf numFmtId="0" fontId="8" fillId="25" borderId="16" xfId="0" applyFont="1" applyFill="1" applyBorder="1" applyAlignment="1">
      <alignment horizontal="center" vertical="center"/>
    </xf>
    <xf numFmtId="0" fontId="0" fillId="47" borderId="19" xfId="0" applyFill="1" applyBorder="1" applyAlignment="1">
      <alignment vertical="top" wrapText="1"/>
    </xf>
    <xf numFmtId="0" fontId="0" fillId="47" borderId="19" xfId="0" applyFill="1" applyBorder="1" applyAlignment="1">
      <alignment wrapText="1"/>
    </xf>
    <xf numFmtId="0" fontId="10" fillId="0" borderId="0" xfId="22" applyAlignment="1" applyProtection="1">
      <alignment horizontal="center" vertical="center"/>
    </xf>
    <xf numFmtId="0" fontId="100" fillId="0" borderId="14" xfId="0" applyFont="1" applyBorder="1" applyAlignment="1">
      <alignment horizontal="center" wrapText="1"/>
    </xf>
    <xf numFmtId="0" fontId="100" fillId="0" borderId="14" xfId="0" applyFont="1" applyBorder="1" applyAlignment="1">
      <alignment horizontal="center"/>
    </xf>
    <xf numFmtId="0" fontId="61" fillId="35" borderId="14" xfId="22" applyFont="1" applyFill="1" applyBorder="1" applyAlignment="1" applyProtection="1">
      <alignment horizontal="center"/>
    </xf>
    <xf numFmtId="0" fontId="61" fillId="0" borderId="14" xfId="22" applyFont="1" applyFill="1" applyBorder="1" applyAlignment="1" applyProtection="1">
      <alignment horizontal="center"/>
    </xf>
    <xf numFmtId="0" fontId="61" fillId="0" borderId="14" xfId="22" applyFont="1" applyBorder="1" applyAlignment="1" applyProtection="1">
      <alignment horizontal="center"/>
    </xf>
    <xf numFmtId="0" fontId="61" fillId="0" borderId="0" xfId="22" applyFont="1" applyAlignment="1" applyProtection="1">
      <alignment horizontal="center"/>
    </xf>
    <xf numFmtId="0" fontId="61" fillId="0" borderId="14" xfId="22" applyFont="1" applyFill="1" applyBorder="1" applyAlignment="1" applyProtection="1"/>
    <xf numFmtId="0" fontId="70" fillId="34" borderId="51" xfId="45" applyFont="1" applyFill="1" applyBorder="1" applyAlignment="1">
      <alignment horizontal="center" vertical="center"/>
    </xf>
    <xf numFmtId="14" fontId="10" fillId="34" borderId="23" xfId="22" applyNumberFormat="1" applyFill="1" applyBorder="1" applyAlignment="1" applyProtection="1">
      <alignment horizontal="center"/>
    </xf>
    <xf numFmtId="0" fontId="10" fillId="0" borderId="14" xfId="22" applyBorder="1" applyAlignment="1" applyProtection="1">
      <alignment horizontal="center" wrapText="1"/>
    </xf>
    <xf numFmtId="0" fontId="10" fillId="45" borderId="14" xfId="22" applyFill="1" applyBorder="1" applyAlignment="1" applyProtection="1">
      <alignment horizontal="center" vertical="center"/>
    </xf>
    <xf numFmtId="0" fontId="38" fillId="0" borderId="0" xfId="0" applyFont="1" applyAlignment="1">
      <alignment horizontal="center"/>
    </xf>
    <xf numFmtId="0" fontId="38" fillId="27" borderId="14" xfId="0" applyFont="1" applyFill="1" applyBorder="1" applyAlignment="1">
      <alignment horizontal="center" vertical="center" wrapText="1"/>
    </xf>
    <xf numFmtId="0" fontId="41" fillId="25" borderId="14" xfId="0" applyFont="1" applyFill="1" applyBorder="1" applyAlignment="1">
      <alignment horizontal="center" vertical="center" wrapText="1"/>
    </xf>
    <xf numFmtId="0" fontId="38" fillId="0" borderId="0" xfId="0" applyFont="1" applyAlignment="1">
      <alignment horizontal="center" vertical="center" wrapText="1"/>
    </xf>
    <xf numFmtId="0" fontId="2" fillId="0" borderId="0" xfId="46"/>
    <xf numFmtId="0" fontId="2" fillId="0" borderId="14" xfId="46" applyBorder="1" applyAlignment="1">
      <alignment horizontal="center"/>
    </xf>
    <xf numFmtId="0" fontId="2" fillId="0" borderId="14" xfId="46" applyBorder="1"/>
    <xf numFmtId="0" fontId="2" fillId="0" borderId="14" xfId="46" applyBorder="1" applyAlignment="1">
      <alignment horizontal="center" vertical="center" wrapText="1"/>
    </xf>
    <xf numFmtId="14" fontId="2" fillId="0" borderId="14" xfId="46" applyNumberFormat="1" applyBorder="1" applyAlignment="1">
      <alignment horizontal="center"/>
    </xf>
    <xf numFmtId="0" fontId="103" fillId="0" borderId="14" xfId="47" applyBorder="1" applyAlignment="1">
      <alignment horizontal="center"/>
    </xf>
    <xf numFmtId="14" fontId="2" fillId="52" borderId="14" xfId="46" applyNumberFormat="1" applyFill="1" applyBorder="1" applyAlignment="1">
      <alignment horizontal="center"/>
    </xf>
    <xf numFmtId="0" fontId="104" fillId="0" borderId="14" xfId="46" applyFont="1" applyBorder="1" applyAlignment="1">
      <alignment horizontal="center" vertical="center" wrapText="1"/>
    </xf>
    <xf numFmtId="0" fontId="104" fillId="0" borderId="14" xfId="46" applyFont="1" applyBorder="1" applyAlignment="1">
      <alignment horizontal="center"/>
    </xf>
    <xf numFmtId="14" fontId="103" fillId="0" borderId="14" xfId="47" applyNumberFormat="1" applyBorder="1" applyAlignment="1">
      <alignment horizontal="center"/>
    </xf>
    <xf numFmtId="0" fontId="2" fillId="0" borderId="14" xfId="46" applyBorder="1" applyAlignment="1">
      <alignment horizontal="center" wrapText="1"/>
    </xf>
    <xf numFmtId="0" fontId="103" fillId="53" borderId="14" xfId="47" applyFill="1" applyBorder="1" applyAlignment="1">
      <alignment horizontal="center"/>
    </xf>
    <xf numFmtId="0" fontId="2" fillId="34" borderId="14" xfId="46" applyFill="1" applyBorder="1" applyAlignment="1">
      <alignment horizontal="center"/>
    </xf>
    <xf numFmtId="0" fontId="103" fillId="35" borderId="14" xfId="47" applyFill="1" applyBorder="1" applyAlignment="1">
      <alignment horizontal="center"/>
    </xf>
    <xf numFmtId="0" fontId="103" fillId="34" borderId="14" xfId="47" applyFill="1" applyBorder="1" applyAlignment="1">
      <alignment horizontal="center"/>
    </xf>
    <xf numFmtId="0" fontId="105" fillId="0" borderId="14" xfId="46" applyFont="1" applyBorder="1" applyAlignment="1">
      <alignment horizontal="center"/>
    </xf>
    <xf numFmtId="0" fontId="0" fillId="54" borderId="12" xfId="0" applyFill="1" applyBorder="1"/>
    <xf numFmtId="0" fontId="0" fillId="54" borderId="57" xfId="0" applyFill="1" applyBorder="1"/>
    <xf numFmtId="0" fontId="0" fillId="54" borderId="11" xfId="0" applyFill="1" applyBorder="1"/>
    <xf numFmtId="0" fontId="0" fillId="54" borderId="58" xfId="0" applyFill="1" applyBorder="1"/>
    <xf numFmtId="0" fontId="0" fillId="54" borderId="59" xfId="0" applyFill="1" applyBorder="1"/>
    <xf numFmtId="0" fontId="0" fillId="54" borderId="13" xfId="0" applyFill="1" applyBorder="1"/>
    <xf numFmtId="0" fontId="0" fillId="54" borderId="56" xfId="0" applyFill="1" applyBorder="1"/>
    <xf numFmtId="0" fontId="0" fillId="54" borderId="0" xfId="0" applyFill="1"/>
    <xf numFmtId="0" fontId="0" fillId="54" borderId="60" xfId="0" applyFill="1" applyBorder="1"/>
    <xf numFmtId="0" fontId="106" fillId="54" borderId="0" xfId="0" applyFont="1" applyFill="1"/>
    <xf numFmtId="0" fontId="107" fillId="54" borderId="0" xfId="22" applyFont="1" applyFill="1" applyAlignment="1" applyProtection="1"/>
    <xf numFmtId="0" fontId="107" fillId="54" borderId="0" xfId="22" applyFont="1" applyFill="1" applyBorder="1" applyAlignment="1" applyProtection="1"/>
    <xf numFmtId="0" fontId="108" fillId="41" borderId="69" xfId="22" applyFont="1" applyFill="1" applyBorder="1" applyAlignment="1" applyProtection="1">
      <alignment horizontal="center" vertical="center"/>
    </xf>
    <xf numFmtId="0" fontId="4" fillId="0" borderId="14" xfId="45" applyFont="1" applyBorder="1" applyAlignment="1">
      <alignment horizontal="center"/>
    </xf>
    <xf numFmtId="0" fontId="3" fillId="0" borderId="14" xfId="45" applyBorder="1"/>
    <xf numFmtId="0" fontId="3" fillId="0" borderId="14" xfId="45" applyBorder="1" applyAlignment="1">
      <alignment horizontal="center"/>
    </xf>
    <xf numFmtId="0" fontId="0" fillId="0" borderId="14" xfId="0" applyBorder="1" applyAlignment="1">
      <alignment horizontal="center" vertical="center" wrapText="1"/>
    </xf>
    <xf numFmtId="14" fontId="75" fillId="34" borderId="14" xfId="0" applyNumberFormat="1" applyFont="1" applyFill="1" applyBorder="1" applyAlignment="1">
      <alignment horizontal="center" vertical="center"/>
    </xf>
    <xf numFmtId="0" fontId="9" fillId="30" borderId="0" xfId="45" applyFont="1" applyFill="1" applyAlignment="1">
      <alignment horizontal="center"/>
    </xf>
    <xf numFmtId="49" fontId="9" fillId="30" borderId="0" xfId="45" applyNumberFormat="1" applyFont="1" applyFill="1" applyAlignment="1">
      <alignment horizontal="center"/>
    </xf>
    <xf numFmtId="3" fontId="9" fillId="30" borderId="0" xfId="45" applyNumberFormat="1" applyFont="1" applyFill="1" applyAlignment="1">
      <alignment horizontal="center"/>
    </xf>
    <xf numFmtId="49" fontId="9" fillId="30" borderId="0" xfId="45" applyNumberFormat="1" applyFont="1" applyFill="1"/>
    <xf numFmtId="0" fontId="9" fillId="30" borderId="0" xfId="45" applyFont="1" applyFill="1"/>
    <xf numFmtId="0" fontId="9" fillId="30" borderId="40" xfId="45" applyFont="1" applyFill="1" applyBorder="1"/>
    <xf numFmtId="0" fontId="9" fillId="0" borderId="0" xfId="45" applyFont="1"/>
    <xf numFmtId="49" fontId="6" fillId="25" borderId="69" xfId="45" applyNumberFormat="1" applyFont="1" applyFill="1" applyBorder="1" applyAlignment="1">
      <alignment horizontal="center" vertical="center" wrapText="1"/>
    </xf>
    <xf numFmtId="49" fontId="6" fillId="26" borderId="69" xfId="45" applyNumberFormat="1" applyFont="1" applyFill="1" applyBorder="1" applyAlignment="1">
      <alignment horizontal="center" vertical="center" wrapText="1"/>
    </xf>
    <xf numFmtId="2" fontId="55" fillId="0" borderId="69" xfId="45" applyNumberFormat="1" applyFont="1" applyBorder="1" applyAlignment="1">
      <alignment horizontal="center"/>
    </xf>
    <xf numFmtId="0" fontId="9" fillId="30" borderId="45" xfId="45" applyFont="1" applyFill="1" applyBorder="1"/>
    <xf numFmtId="0" fontId="8" fillId="42" borderId="19" xfId="45" applyFont="1" applyFill="1" applyBorder="1" applyAlignment="1">
      <alignment horizontal="center" vertical="center" wrapText="1"/>
    </xf>
    <xf numFmtId="0" fontId="8" fillId="42" borderId="14" xfId="45" applyFont="1" applyFill="1" applyBorder="1" applyAlignment="1">
      <alignment horizontal="center" vertical="center"/>
    </xf>
    <xf numFmtId="49" fontId="8" fillId="42" borderId="14" xfId="45" applyNumberFormat="1" applyFont="1" applyFill="1" applyBorder="1" applyAlignment="1">
      <alignment horizontal="center" vertical="center"/>
    </xf>
    <xf numFmtId="3" fontId="8" fillId="42" borderId="14" xfId="45" applyNumberFormat="1" applyFont="1" applyFill="1" applyBorder="1" applyAlignment="1">
      <alignment horizontal="center" vertical="center" wrapText="1"/>
    </xf>
    <xf numFmtId="3" fontId="46" fillId="42" borderId="14" xfId="22" applyNumberFormat="1" applyFont="1" applyFill="1" applyBorder="1" applyAlignment="1" applyProtection="1">
      <alignment horizontal="center" vertical="center" wrapText="1"/>
    </xf>
    <xf numFmtId="3" fontId="8" fillId="42" borderId="17" xfId="45" applyNumberFormat="1" applyFont="1" applyFill="1" applyBorder="1" applyAlignment="1">
      <alignment horizontal="center" vertical="center" wrapText="1"/>
    </xf>
    <xf numFmtId="0" fontId="8" fillId="42" borderId="14" xfId="45" applyFont="1" applyFill="1" applyBorder="1" applyAlignment="1">
      <alignment vertical="center"/>
    </xf>
    <xf numFmtId="0" fontId="9" fillId="0" borderId="0" xfId="45" applyFont="1" applyAlignment="1">
      <alignment vertical="center"/>
    </xf>
    <xf numFmtId="49" fontId="47" fillId="0" borderId="14" xfId="45" applyNumberFormat="1" applyFont="1" applyBorder="1" applyAlignment="1">
      <alignment horizontal="center"/>
    </xf>
    <xf numFmtId="14" fontId="47" fillId="0" borderId="14" xfId="45" applyNumberFormat="1" applyFont="1" applyBorder="1" applyAlignment="1">
      <alignment horizontal="center"/>
    </xf>
    <xf numFmtId="49" fontId="47" fillId="35" borderId="14" xfId="45" applyNumberFormat="1" applyFont="1" applyFill="1" applyBorder="1" applyAlignment="1">
      <alignment horizontal="center"/>
    </xf>
    <xf numFmtId="0" fontId="47" fillId="0" borderId="14" xfId="45" applyFont="1" applyBorder="1" applyAlignment="1">
      <alignment horizontal="center"/>
    </xf>
    <xf numFmtId="3" fontId="47" fillId="35" borderId="17" xfId="45" applyNumberFormat="1" applyFont="1" applyFill="1" applyBorder="1" applyAlignment="1">
      <alignment horizontal="center"/>
    </xf>
    <xf numFmtId="3" fontId="109" fillId="35" borderId="17" xfId="45" applyNumberFormat="1" applyFont="1" applyFill="1" applyBorder="1" applyAlignment="1">
      <alignment horizontal="center"/>
    </xf>
    <xf numFmtId="0" fontId="109" fillId="35" borderId="14" xfId="45" applyFont="1" applyFill="1" applyBorder="1" applyAlignment="1">
      <alignment horizontal="center"/>
    </xf>
    <xf numFmtId="14" fontId="109" fillId="35" borderId="14" xfId="45" applyNumberFormat="1" applyFont="1" applyFill="1" applyBorder="1"/>
    <xf numFmtId="0" fontId="109" fillId="0" borderId="14" xfId="45" applyFont="1" applyBorder="1"/>
    <xf numFmtId="0" fontId="109" fillId="0" borderId="0" xfId="45" applyFont="1"/>
    <xf numFmtId="0" fontId="3" fillId="35" borderId="14" xfId="45" applyFill="1" applyBorder="1" applyAlignment="1">
      <alignment horizontal="center"/>
    </xf>
    <xf numFmtId="14" fontId="109" fillId="35" borderId="14" xfId="45" applyNumberFormat="1" applyFont="1" applyFill="1" applyBorder="1" applyAlignment="1">
      <alignment horizontal="center"/>
    </xf>
    <xf numFmtId="0" fontId="47" fillId="35" borderId="14" xfId="45" applyFont="1" applyFill="1" applyBorder="1" applyAlignment="1">
      <alignment horizontal="center"/>
    </xf>
    <xf numFmtId="0" fontId="110" fillId="0" borderId="14" xfId="45" applyFont="1" applyBorder="1"/>
    <xf numFmtId="0" fontId="110" fillId="35" borderId="14" xfId="45" applyFont="1" applyFill="1" applyBorder="1" applyAlignment="1">
      <alignment horizontal="center"/>
    </xf>
    <xf numFmtId="3" fontId="111" fillId="35" borderId="17" xfId="45" applyNumberFormat="1" applyFont="1" applyFill="1" applyBorder="1" applyAlignment="1">
      <alignment horizontal="center"/>
    </xf>
    <xf numFmtId="3" fontId="47" fillId="35" borderId="14" xfId="45" applyNumberFormat="1" applyFont="1" applyFill="1" applyBorder="1" applyAlignment="1">
      <alignment horizontal="center"/>
    </xf>
    <xf numFmtId="0" fontId="109" fillId="35" borderId="14" xfId="45" applyFont="1" applyFill="1" applyBorder="1"/>
    <xf numFmtId="0" fontId="9" fillId="35" borderId="14" xfId="45" applyFont="1" applyFill="1" applyBorder="1"/>
    <xf numFmtId="0" fontId="47" fillId="35" borderId="14" xfId="45" applyFont="1" applyFill="1" applyBorder="1"/>
    <xf numFmtId="49" fontId="112" fillId="0" borderId="14" xfId="45" applyNumberFormat="1" applyFont="1" applyBorder="1" applyAlignment="1">
      <alignment horizontal="center"/>
    </xf>
    <xf numFmtId="14" fontId="112" fillId="0" borderId="14" xfId="45" applyNumberFormat="1" applyFont="1" applyBorder="1" applyAlignment="1">
      <alignment horizontal="center"/>
    </xf>
    <xf numFmtId="14" fontId="109" fillId="0" borderId="14" xfId="45" applyNumberFormat="1" applyFont="1" applyBorder="1" applyAlignment="1">
      <alignment horizontal="center"/>
    </xf>
    <xf numFmtId="3" fontId="113" fillId="0" borderId="17" xfId="45" applyNumberFormat="1" applyFont="1" applyBorder="1" applyAlignment="1">
      <alignment horizontal="center"/>
    </xf>
    <xf numFmtId="0" fontId="114" fillId="0" borderId="14" xfId="45" applyFont="1" applyBorder="1"/>
    <xf numFmtId="0" fontId="9" fillId="0" borderId="14" xfId="45" applyFont="1" applyBorder="1"/>
    <xf numFmtId="3" fontId="47" fillId="0" borderId="17" xfId="45" applyNumberFormat="1" applyFont="1" applyBorder="1" applyAlignment="1">
      <alignment horizontal="center"/>
    </xf>
    <xf numFmtId="0" fontId="109" fillId="0" borderId="14" xfId="45" applyFont="1" applyBorder="1" applyAlignment="1">
      <alignment horizontal="center"/>
    </xf>
    <xf numFmtId="3" fontId="111" fillId="0" borderId="17" xfId="45" applyNumberFormat="1" applyFont="1" applyBorder="1" applyAlignment="1">
      <alignment horizontal="center"/>
    </xf>
    <xf numFmtId="0" fontId="47" fillId="35" borderId="19" xfId="45" applyFont="1" applyFill="1" applyBorder="1" applyAlignment="1">
      <alignment horizontal="center"/>
    </xf>
    <xf numFmtId="14" fontId="47" fillId="35" borderId="14" xfId="45" applyNumberFormat="1" applyFont="1" applyFill="1" applyBorder="1" applyAlignment="1">
      <alignment horizontal="center"/>
    </xf>
    <xf numFmtId="14" fontId="109" fillId="0" borderId="14" xfId="45" applyNumberFormat="1" applyFont="1" applyBorder="1"/>
    <xf numFmtId="0" fontId="60" fillId="35" borderId="14" xfId="45" applyFont="1" applyFill="1" applyBorder="1"/>
    <xf numFmtId="3" fontId="115" fillId="35" borderId="17" xfId="45" applyNumberFormat="1" applyFont="1" applyFill="1" applyBorder="1" applyAlignment="1">
      <alignment horizontal="center"/>
    </xf>
    <xf numFmtId="0" fontId="115" fillId="35" borderId="14" xfId="45" applyFont="1" applyFill="1" applyBorder="1" applyAlignment="1">
      <alignment horizontal="center"/>
    </xf>
    <xf numFmtId="0" fontId="47" fillId="0" borderId="14" xfId="45" applyFont="1" applyBorder="1"/>
    <xf numFmtId="49" fontId="109" fillId="35" borderId="14" xfId="45" applyNumberFormat="1" applyFont="1" applyFill="1" applyBorder="1" applyAlignment="1">
      <alignment horizontal="center"/>
    </xf>
    <xf numFmtId="14" fontId="47" fillId="0" borderId="14" xfId="45" applyNumberFormat="1" applyFont="1" applyBorder="1"/>
    <xf numFmtId="0" fontId="116" fillId="35" borderId="14" xfId="22" applyFont="1" applyFill="1" applyBorder="1" applyAlignment="1" applyProtection="1">
      <alignment horizontal="center"/>
    </xf>
    <xf numFmtId="0" fontId="60" fillId="0" borderId="14" xfId="45" applyFont="1" applyBorder="1"/>
    <xf numFmtId="0" fontId="109" fillId="35" borderId="19" xfId="45" applyFont="1" applyFill="1" applyBorder="1" applyAlignment="1">
      <alignment horizontal="center"/>
    </xf>
    <xf numFmtId="3" fontId="109" fillId="35" borderId="14" xfId="45" applyNumberFormat="1" applyFont="1" applyFill="1" applyBorder="1" applyAlignment="1">
      <alignment horizontal="center"/>
    </xf>
    <xf numFmtId="3" fontId="109" fillId="0" borderId="17" xfId="45" applyNumberFormat="1" applyFont="1" applyBorder="1" applyAlignment="1">
      <alignment horizontal="center"/>
    </xf>
    <xf numFmtId="0" fontId="4" fillId="0" borderId="14" xfId="45" applyFont="1" applyBorder="1"/>
    <xf numFmtId="0" fontId="9" fillId="35" borderId="19" xfId="45" applyFont="1" applyFill="1" applyBorder="1" applyAlignment="1">
      <alignment horizontal="center"/>
    </xf>
    <xf numFmtId="14" fontId="9" fillId="35" borderId="14" xfId="45" applyNumberFormat="1" applyFont="1" applyFill="1" applyBorder="1" applyAlignment="1">
      <alignment horizontal="center"/>
    </xf>
    <xf numFmtId="49" fontId="9" fillId="35" borderId="14" xfId="45" applyNumberFormat="1" applyFont="1" applyFill="1" applyBorder="1" applyAlignment="1">
      <alignment horizontal="center"/>
    </xf>
    <xf numFmtId="3" fontId="9" fillId="35" borderId="14" xfId="45" applyNumberFormat="1" applyFont="1" applyFill="1" applyBorder="1" applyAlignment="1">
      <alignment horizontal="center"/>
    </xf>
    <xf numFmtId="3" fontId="9" fillId="35" borderId="17" xfId="45" applyNumberFormat="1" applyFont="1" applyFill="1" applyBorder="1" applyAlignment="1">
      <alignment horizontal="center"/>
    </xf>
    <xf numFmtId="0" fontId="9" fillId="35" borderId="14" xfId="45" applyFont="1" applyFill="1" applyBorder="1" applyAlignment="1">
      <alignment horizontal="center"/>
    </xf>
    <xf numFmtId="14" fontId="9" fillId="0" borderId="14" xfId="45" applyNumberFormat="1" applyFont="1" applyBorder="1"/>
    <xf numFmtId="3" fontId="62" fillId="35" borderId="17" xfId="45" applyNumberFormat="1" applyFont="1" applyFill="1" applyBorder="1" applyAlignment="1">
      <alignment horizontal="center"/>
    </xf>
    <xf numFmtId="3" fontId="9" fillId="35" borderId="19" xfId="45" applyNumberFormat="1" applyFont="1" applyFill="1" applyBorder="1" applyAlignment="1">
      <alignment horizontal="center"/>
    </xf>
    <xf numFmtId="0" fontId="9" fillId="0" borderId="19" xfId="45" applyFont="1" applyBorder="1" applyAlignment="1">
      <alignment horizontal="center"/>
    </xf>
    <xf numFmtId="14" fontId="9" fillId="0" borderId="14" xfId="45" applyNumberFormat="1" applyFont="1" applyBorder="1" applyAlignment="1">
      <alignment horizontal="center"/>
    </xf>
    <xf numFmtId="49" fontId="9" fillId="0" borderId="14" xfId="45" applyNumberFormat="1" applyFont="1" applyBorder="1" applyAlignment="1">
      <alignment horizontal="center"/>
    </xf>
    <xf numFmtId="3" fontId="9" fillId="0" borderId="14" xfId="45" applyNumberFormat="1" applyFont="1" applyBorder="1" applyAlignment="1">
      <alignment horizontal="center"/>
    </xf>
    <xf numFmtId="3" fontId="9" fillId="0" borderId="17" xfId="45" applyNumberFormat="1" applyFont="1" applyBorder="1" applyAlignment="1">
      <alignment horizontal="center"/>
    </xf>
    <xf numFmtId="0" fontId="9" fillId="0" borderId="14" xfId="45" applyFont="1" applyBorder="1" applyAlignment="1">
      <alignment horizontal="center"/>
    </xf>
    <xf numFmtId="0" fontId="9" fillId="0" borderId="0" xfId="45" applyFont="1" applyAlignment="1">
      <alignment horizontal="center"/>
    </xf>
    <xf numFmtId="0" fontId="60" fillId="0" borderId="19" xfId="45" applyFont="1" applyBorder="1" applyAlignment="1">
      <alignment horizontal="center"/>
    </xf>
    <xf numFmtId="0" fontId="60" fillId="0" borderId="14" xfId="45" applyFont="1" applyBorder="1" applyAlignment="1">
      <alignment horizontal="center"/>
    </xf>
    <xf numFmtId="49" fontId="60" fillId="0" borderId="14" xfId="45" applyNumberFormat="1" applyFont="1" applyBorder="1" applyAlignment="1">
      <alignment horizontal="center"/>
    </xf>
    <xf numFmtId="3" fontId="60" fillId="0" borderId="14" xfId="45" applyNumberFormat="1" applyFont="1" applyBorder="1" applyAlignment="1">
      <alignment horizontal="center"/>
    </xf>
    <xf numFmtId="3" fontId="60" fillId="0" borderId="17" xfId="45" applyNumberFormat="1" applyFont="1" applyBorder="1" applyAlignment="1">
      <alignment horizontal="center"/>
    </xf>
    <xf numFmtId="3" fontId="60" fillId="35" borderId="17" xfId="45" applyNumberFormat="1" applyFont="1" applyFill="1" applyBorder="1" applyAlignment="1">
      <alignment horizontal="center"/>
    </xf>
    <xf numFmtId="0" fontId="60" fillId="0" borderId="0" xfId="45" applyFont="1"/>
    <xf numFmtId="49" fontId="9" fillId="0" borderId="0" xfId="45" applyNumberFormat="1" applyFont="1" applyAlignment="1">
      <alignment horizontal="center"/>
    </xf>
    <xf numFmtId="3" fontId="9" fillId="0" borderId="0" xfId="45" applyNumberFormat="1" applyFont="1" applyAlignment="1">
      <alignment horizontal="center"/>
    </xf>
    <xf numFmtId="49" fontId="9" fillId="0" borderId="0" xfId="45" applyNumberFormat="1" applyFont="1"/>
    <xf numFmtId="0" fontId="0" fillId="0" borderId="0" xfId="0" applyAlignment="1">
      <alignment horizontal="center" wrapText="1"/>
    </xf>
    <xf numFmtId="14" fontId="4" fillId="45" borderId="14" xfId="0" quotePrefix="1" applyNumberFormat="1" applyFont="1" applyFill="1" applyBorder="1" applyAlignment="1">
      <alignment horizontal="center"/>
    </xf>
    <xf numFmtId="14" fontId="117" fillId="34" borderId="14" xfId="0" quotePrefix="1" applyNumberFormat="1" applyFont="1" applyFill="1" applyBorder="1" applyAlignment="1">
      <alignment horizontal="center"/>
    </xf>
    <xf numFmtId="14" fontId="10" fillId="34" borderId="14" xfId="22" quotePrefix="1" applyNumberFormat="1" applyFill="1" applyBorder="1" applyAlignment="1" applyProtection="1">
      <alignment horizontal="center"/>
    </xf>
    <xf numFmtId="14" fontId="118" fillId="34" borderId="14" xfId="0" quotePrefix="1" applyNumberFormat="1" applyFont="1" applyFill="1" applyBorder="1" applyAlignment="1">
      <alignment horizontal="center"/>
    </xf>
    <xf numFmtId="0" fontId="10" fillId="41" borderId="14" xfId="22" applyFill="1" applyBorder="1" applyAlignment="1" applyProtection="1"/>
    <xf numFmtId="22" fontId="38" fillId="0" borderId="0" xfId="0" applyNumberFormat="1" applyFont="1" applyAlignment="1">
      <alignment horizontal="left"/>
    </xf>
    <xf numFmtId="3" fontId="47" fillId="0" borderId="14" xfId="45" applyNumberFormat="1" applyFont="1" applyBorder="1" applyAlignment="1">
      <alignment horizontal="center"/>
    </xf>
    <xf numFmtId="3" fontId="47" fillId="0" borderId="0" xfId="45" applyNumberFormat="1" applyFont="1" applyAlignment="1">
      <alignment horizontal="center"/>
    </xf>
    <xf numFmtId="0" fontId="10" fillId="0" borderId="14" xfId="22" applyBorder="1" applyAlignment="1" applyProtection="1">
      <alignment horizontal="center" vertical="center" wrapText="1"/>
    </xf>
    <xf numFmtId="0" fontId="0" fillId="0" borderId="14" xfId="0" applyBorder="1" applyAlignment="1">
      <alignment wrapText="1"/>
    </xf>
    <xf numFmtId="0" fontId="3" fillId="0" borderId="14" xfId="0" applyFont="1" applyBorder="1" applyAlignment="1">
      <alignment horizontal="center" vertical="center" wrapText="1"/>
    </xf>
    <xf numFmtId="0" fontId="38" fillId="47" borderId="14" xfId="0" applyFont="1" applyFill="1" applyBorder="1" applyAlignment="1">
      <alignment horizontal="center" vertical="center" wrapText="1"/>
    </xf>
    <xf numFmtId="14" fontId="3" fillId="0" borderId="14" xfId="0" applyNumberFormat="1" applyFont="1" applyBorder="1" applyAlignment="1">
      <alignment horizontal="center" vertical="center" wrapText="1"/>
    </xf>
    <xf numFmtId="0" fontId="38" fillId="0" borderId="15" xfId="0" applyFont="1" applyBorder="1" applyAlignment="1">
      <alignment horizontal="center" vertical="center"/>
    </xf>
    <xf numFmtId="0" fontId="0" fillId="0" borderId="15" xfId="0" applyBorder="1" applyAlignment="1">
      <alignment horizontal="center" vertical="center" wrapText="1"/>
    </xf>
    <xf numFmtId="0" fontId="0" fillId="0" borderId="15" xfId="0" applyBorder="1" applyAlignment="1">
      <alignment horizontal="center" vertical="center"/>
    </xf>
    <xf numFmtId="0" fontId="0" fillId="35" borderId="0" xfId="0" applyFill="1"/>
    <xf numFmtId="0" fontId="0" fillId="35" borderId="0" xfId="0" applyFill="1" applyAlignment="1">
      <alignment horizontal="center"/>
    </xf>
    <xf numFmtId="0" fontId="3" fillId="35" borderId="0" xfId="0" applyFont="1" applyFill="1"/>
    <xf numFmtId="0" fontId="74" fillId="35" borderId="0" xfId="0" applyFont="1" applyFill="1" applyAlignment="1">
      <alignment horizontal="center"/>
    </xf>
    <xf numFmtId="0" fontId="10" fillId="35" borderId="0" xfId="22" applyFill="1" applyAlignment="1" applyProtection="1">
      <alignment horizontal="center" vertical="center"/>
    </xf>
    <xf numFmtId="0" fontId="14" fillId="35" borderId="0" xfId="0" applyFont="1" applyFill="1"/>
    <xf numFmtId="0" fontId="6" fillId="0" borderId="0" xfId="45" applyFont="1" applyAlignment="1">
      <alignment horizontal="left"/>
    </xf>
    <xf numFmtId="0" fontId="6" fillId="0" borderId="0" xfId="45" applyFont="1"/>
    <xf numFmtId="0" fontId="17" fillId="28" borderId="72" xfId="45" applyFont="1" applyFill="1" applyBorder="1" applyAlignment="1">
      <alignment horizontal="left" vertical="center"/>
    </xf>
    <xf numFmtId="0" fontId="5" fillId="30" borderId="69" xfId="45" applyFont="1" applyFill="1" applyBorder="1" applyAlignment="1">
      <alignment horizontal="center" vertical="center"/>
    </xf>
    <xf numFmtId="0" fontId="5" fillId="26" borderId="79" xfId="45" applyFont="1" applyFill="1" applyBorder="1" applyAlignment="1">
      <alignment horizontal="center" vertical="center" wrapText="1"/>
    </xf>
    <xf numFmtId="0" fontId="5" fillId="26" borderId="72" xfId="45" applyFont="1" applyFill="1" applyBorder="1" applyAlignment="1">
      <alignment horizontal="center" vertical="center"/>
    </xf>
    <xf numFmtId="0" fontId="5" fillId="26" borderId="69" xfId="45" applyFont="1" applyFill="1" applyBorder="1" applyAlignment="1">
      <alignment horizontal="center" vertical="center"/>
    </xf>
    <xf numFmtId="0" fontId="5" fillId="44" borderId="69" xfId="45" applyFont="1" applyFill="1" applyBorder="1" applyAlignment="1">
      <alignment horizontal="center" vertical="center" wrapText="1"/>
    </xf>
    <xf numFmtId="0" fontId="5" fillId="44" borderId="79" xfId="45" applyFont="1" applyFill="1" applyBorder="1" applyAlignment="1">
      <alignment horizontal="center" vertical="center"/>
    </xf>
    <xf numFmtId="0" fontId="5" fillId="44" borderId="69" xfId="45" applyFont="1" applyFill="1" applyBorder="1" applyAlignment="1">
      <alignment horizontal="center" vertical="center"/>
    </xf>
    <xf numFmtId="0" fontId="4" fillId="0" borderId="0" xfId="45" applyFont="1" applyAlignment="1">
      <alignment vertical="center"/>
    </xf>
    <xf numFmtId="0" fontId="119" fillId="0" borderId="91" xfId="22" applyFont="1" applyFill="1" applyBorder="1" applyAlignment="1" applyProtection="1">
      <alignment horizontal="center" vertical="center"/>
    </xf>
    <xf numFmtId="14" fontId="47" fillId="0" borderId="91" xfId="45" applyNumberFormat="1" applyFont="1" applyBorder="1" applyAlignment="1">
      <alignment horizontal="center" vertical="center"/>
    </xf>
    <xf numFmtId="14" fontId="47" fillId="35" borderId="91" xfId="45" applyNumberFormat="1" applyFont="1" applyFill="1" applyBorder="1" applyAlignment="1">
      <alignment horizontal="center" vertical="center"/>
    </xf>
    <xf numFmtId="49" fontId="46" fillId="35" borderId="85" xfId="45" applyNumberFormat="1" applyFont="1" applyFill="1" applyBorder="1" applyAlignment="1">
      <alignment horizontal="center" vertical="center" wrapText="1"/>
    </xf>
    <xf numFmtId="49" fontId="46" fillId="35" borderId="84" xfId="45" applyNumberFormat="1" applyFont="1" applyFill="1" applyBorder="1" applyAlignment="1">
      <alignment horizontal="center" vertical="center" wrapText="1"/>
    </xf>
    <xf numFmtId="49" fontId="46" fillId="35" borderId="91" xfId="45" applyNumberFormat="1" applyFont="1" applyFill="1" applyBorder="1" applyAlignment="1">
      <alignment horizontal="center" vertical="center" wrapText="1"/>
    </xf>
    <xf numFmtId="0" fontId="47" fillId="35" borderId="91" xfId="45" applyFont="1" applyFill="1" applyBorder="1" applyAlignment="1">
      <alignment horizontal="center" vertical="center"/>
    </xf>
    <xf numFmtId="0" fontId="47" fillId="0" borderId="85" xfId="45" applyFont="1" applyBorder="1" applyAlignment="1">
      <alignment horizontal="center" vertical="center"/>
    </xf>
    <xf numFmtId="0" fontId="47" fillId="0" borderId="91" xfId="45" applyFont="1" applyBorder="1" applyAlignment="1">
      <alignment horizontal="center" vertical="center"/>
    </xf>
    <xf numFmtId="0" fontId="3" fillId="0" borderId="0" xfId="45" applyAlignment="1">
      <alignment vertical="center"/>
    </xf>
    <xf numFmtId="0" fontId="119" fillId="0" borderId="123" xfId="22" applyFont="1" applyFill="1" applyBorder="1" applyAlignment="1" applyProtection="1">
      <alignment horizontal="center" vertical="center"/>
    </xf>
    <xf numFmtId="14" fontId="47" fillId="0" borderId="123" xfId="45" applyNumberFormat="1" applyFont="1" applyBorder="1" applyAlignment="1">
      <alignment horizontal="center" vertical="center"/>
    </xf>
    <xf numFmtId="14" fontId="47" fillId="35" borderId="123" xfId="45" applyNumberFormat="1" applyFont="1" applyFill="1" applyBorder="1" applyAlignment="1">
      <alignment horizontal="center" vertical="center"/>
    </xf>
    <xf numFmtId="49" fontId="46" fillId="35" borderId="32" xfId="45" applyNumberFormat="1" applyFont="1" applyFill="1" applyBorder="1" applyAlignment="1">
      <alignment horizontal="center" vertical="center" wrapText="1"/>
    </xf>
    <xf numFmtId="49" fontId="46" fillId="35" borderId="75" xfId="45" applyNumberFormat="1" applyFont="1" applyFill="1" applyBorder="1" applyAlignment="1">
      <alignment horizontal="center" vertical="center" wrapText="1"/>
    </xf>
    <xf numFmtId="49" fontId="46" fillId="35" borderId="81" xfId="45" applyNumberFormat="1" applyFont="1" applyFill="1" applyBorder="1" applyAlignment="1">
      <alignment horizontal="center" vertical="center" wrapText="1"/>
    </xf>
    <xf numFmtId="0" fontId="47" fillId="35" borderId="123" xfId="45" applyFont="1" applyFill="1" applyBorder="1" applyAlignment="1">
      <alignment horizontal="center" vertical="center"/>
    </xf>
    <xf numFmtId="0" fontId="47" fillId="0" borderId="114" xfId="45" applyFont="1" applyBorder="1" applyAlignment="1">
      <alignment horizontal="center" vertical="center"/>
    </xf>
    <xf numFmtId="0" fontId="47" fillId="0" borderId="123" xfId="45" applyFont="1" applyBorder="1" applyAlignment="1">
      <alignment horizontal="center" vertical="center"/>
    </xf>
    <xf numFmtId="0" fontId="119" fillId="0" borderId="123" xfId="22" applyFont="1" applyFill="1" applyBorder="1" applyAlignment="1" applyProtection="1">
      <alignment horizontal="center" vertical="center" wrapText="1"/>
    </xf>
    <xf numFmtId="49" fontId="46" fillId="35" borderId="123" xfId="45" applyNumberFormat="1" applyFont="1" applyFill="1" applyBorder="1" applyAlignment="1">
      <alignment horizontal="center" vertical="center" wrapText="1"/>
    </xf>
    <xf numFmtId="49" fontId="46" fillId="35" borderId="114" xfId="45" applyNumberFormat="1" applyFont="1" applyFill="1" applyBorder="1" applyAlignment="1">
      <alignment horizontal="center" vertical="center" wrapText="1"/>
    </xf>
    <xf numFmtId="0" fontId="119" fillId="0" borderId="93" xfId="22" applyFont="1" applyFill="1" applyBorder="1" applyAlignment="1" applyProtection="1">
      <alignment horizontal="center" vertical="center" wrapText="1"/>
    </xf>
    <xf numFmtId="14" fontId="47" fillId="0" borderId="93" xfId="45" applyNumberFormat="1" applyFont="1" applyBorder="1" applyAlignment="1">
      <alignment horizontal="center" vertical="center"/>
    </xf>
    <xf numFmtId="49" fontId="46" fillId="35" borderId="93" xfId="45" applyNumberFormat="1" applyFont="1" applyFill="1" applyBorder="1" applyAlignment="1">
      <alignment horizontal="center" vertical="center" wrapText="1"/>
    </xf>
    <xf numFmtId="49" fontId="46" fillId="35" borderId="13" xfId="45" applyNumberFormat="1" applyFont="1" applyFill="1" applyBorder="1" applyAlignment="1">
      <alignment horizontal="center" vertical="center" wrapText="1"/>
    </xf>
    <xf numFmtId="49" fontId="46" fillId="35" borderId="59" xfId="45" applyNumberFormat="1" applyFont="1" applyFill="1" applyBorder="1" applyAlignment="1">
      <alignment horizontal="center" vertical="center" wrapText="1"/>
    </xf>
    <xf numFmtId="49" fontId="46" fillId="35" borderId="38" xfId="45" applyNumberFormat="1" applyFont="1" applyFill="1" applyBorder="1" applyAlignment="1">
      <alignment horizontal="center" vertical="center" wrapText="1"/>
    </xf>
    <xf numFmtId="0" fontId="120" fillId="35" borderId="93" xfId="45" applyFont="1" applyFill="1" applyBorder="1" applyAlignment="1">
      <alignment horizontal="center"/>
    </xf>
    <xf numFmtId="0" fontId="120" fillId="0" borderId="119" xfId="45" applyFont="1" applyBorder="1" applyAlignment="1">
      <alignment horizontal="center"/>
    </xf>
    <xf numFmtId="0" fontId="120" fillId="0" borderId="93" xfId="45" applyFont="1" applyBorder="1" applyAlignment="1">
      <alignment horizontal="center"/>
    </xf>
    <xf numFmtId="0" fontId="7" fillId="0" borderId="0" xfId="45" applyFont="1" applyAlignment="1">
      <alignment horizontal="left"/>
    </xf>
    <xf numFmtId="0" fontId="58" fillId="0" borderId="59" xfId="45" applyFont="1" applyBorder="1" applyAlignment="1">
      <alignment horizontal="center" wrapText="1"/>
    </xf>
    <xf numFmtId="0" fontId="119" fillId="0" borderId="69" xfId="22" applyFont="1" applyFill="1" applyBorder="1" applyAlignment="1" applyProtection="1">
      <alignment horizontal="center" vertical="center"/>
    </xf>
    <xf numFmtId="14" fontId="4" fillId="0" borderId="69" xfId="45" applyNumberFormat="1" applyFont="1" applyBorder="1" applyAlignment="1">
      <alignment horizontal="center" wrapText="1"/>
    </xf>
    <xf numFmtId="14" fontId="4" fillId="35" borderId="69" xfId="45" applyNumberFormat="1" applyFont="1" applyFill="1" applyBorder="1" applyAlignment="1">
      <alignment horizontal="center" wrapText="1"/>
    </xf>
    <xf numFmtId="0" fontId="119" fillId="0" borderId="79" xfId="22" applyFont="1" applyFill="1" applyBorder="1" applyAlignment="1" applyProtection="1">
      <alignment horizontal="center" vertical="center" wrapText="1"/>
    </xf>
    <xf numFmtId="14" fontId="4" fillId="35" borderId="72" xfId="45" applyNumberFormat="1" applyFont="1" applyFill="1" applyBorder="1" applyAlignment="1">
      <alignment horizontal="center" wrapText="1"/>
    </xf>
    <xf numFmtId="0" fontId="7" fillId="35" borderId="69" xfId="45" applyFont="1" applyFill="1" applyBorder="1" applyAlignment="1">
      <alignment horizontal="center"/>
    </xf>
    <xf numFmtId="0" fontId="7" fillId="0" borderId="79" xfId="45" applyFont="1" applyBorder="1" applyAlignment="1">
      <alignment horizontal="center"/>
    </xf>
    <xf numFmtId="0" fontId="7" fillId="0" borderId="69" xfId="45" applyFont="1" applyBorder="1" applyAlignment="1">
      <alignment horizontal="center"/>
    </xf>
    <xf numFmtId="14" fontId="4" fillId="0" borderId="91" xfId="45" applyNumberFormat="1" applyFont="1" applyBorder="1" applyAlignment="1">
      <alignment horizontal="center" wrapText="1"/>
    </xf>
    <xf numFmtId="49" fontId="47" fillId="35" borderId="91" xfId="45" applyNumberFormat="1" applyFont="1" applyFill="1" applyBorder="1" applyAlignment="1">
      <alignment horizontal="center" vertical="center" wrapText="1"/>
    </xf>
    <xf numFmtId="49" fontId="46" fillId="35" borderId="57" xfId="45" applyNumberFormat="1" applyFont="1" applyFill="1" applyBorder="1" applyAlignment="1">
      <alignment horizontal="center" vertical="center" wrapText="1"/>
    </xf>
    <xf numFmtId="49" fontId="46" fillId="35" borderId="12" xfId="45" applyNumberFormat="1" applyFont="1" applyFill="1" applyBorder="1" applyAlignment="1">
      <alignment horizontal="center" vertical="center" wrapText="1"/>
    </xf>
    <xf numFmtId="49" fontId="46" fillId="35" borderId="73" xfId="45" applyNumberFormat="1" applyFont="1" applyFill="1" applyBorder="1" applyAlignment="1">
      <alignment horizontal="center" vertical="center" wrapText="1"/>
    </xf>
    <xf numFmtId="0" fontId="7" fillId="35" borderId="91" xfId="45" applyFont="1" applyFill="1" applyBorder="1" applyAlignment="1">
      <alignment horizontal="center"/>
    </xf>
    <xf numFmtId="0" fontId="7" fillId="0" borderId="85" xfId="45" applyFont="1" applyBorder="1" applyAlignment="1">
      <alignment horizontal="center"/>
    </xf>
    <xf numFmtId="0" fontId="7" fillId="0" borderId="81" xfId="45" applyFont="1" applyBorder="1" applyAlignment="1">
      <alignment horizontal="center"/>
    </xf>
    <xf numFmtId="14" fontId="4" fillId="0" borderId="81" xfId="45" applyNumberFormat="1" applyFont="1" applyBorder="1" applyAlignment="1">
      <alignment horizontal="center" wrapText="1"/>
    </xf>
    <xf numFmtId="14" fontId="4" fillId="35" borderId="81" xfId="45" applyNumberFormat="1" applyFont="1" applyFill="1" applyBorder="1" applyAlignment="1">
      <alignment horizontal="center" wrapText="1"/>
    </xf>
    <xf numFmtId="49" fontId="46" fillId="35" borderId="19" xfId="45" applyNumberFormat="1" applyFont="1" applyFill="1" applyBorder="1" applyAlignment="1">
      <alignment horizontal="center" vertical="center" wrapText="1"/>
    </xf>
    <xf numFmtId="49" fontId="46" fillId="35" borderId="17" xfId="45" applyNumberFormat="1" applyFont="1" applyFill="1" applyBorder="1" applyAlignment="1">
      <alignment horizontal="center" vertical="center" wrapText="1"/>
    </xf>
    <xf numFmtId="0" fontId="7" fillId="35" borderId="123" xfId="45" applyFont="1" applyFill="1" applyBorder="1" applyAlignment="1">
      <alignment horizontal="center"/>
    </xf>
    <xf numFmtId="0" fontId="7" fillId="0" borderId="114" xfId="45" applyFont="1" applyBorder="1" applyAlignment="1">
      <alignment horizontal="center"/>
    </xf>
    <xf numFmtId="0" fontId="7" fillId="0" borderId="123" xfId="45" applyFont="1" applyBorder="1" applyAlignment="1">
      <alignment horizontal="center"/>
    </xf>
    <xf numFmtId="0" fontId="119" fillId="0" borderId="120" xfId="22" applyFont="1" applyFill="1" applyBorder="1" applyAlignment="1" applyProtection="1">
      <alignment horizontal="center" vertical="center" wrapText="1"/>
    </xf>
    <xf numFmtId="14" fontId="4" fillId="35" borderId="120" xfId="45" applyNumberFormat="1" applyFont="1" applyFill="1" applyBorder="1" applyAlignment="1">
      <alignment horizontal="center" vertical="center"/>
    </xf>
    <xf numFmtId="49" fontId="46" fillId="35" borderId="120" xfId="45" applyNumberFormat="1" applyFont="1" applyFill="1" applyBorder="1" applyAlignment="1">
      <alignment horizontal="center" vertical="center" wrapText="1"/>
    </xf>
    <xf numFmtId="49" fontId="46" fillId="35" borderId="58" xfId="45" applyNumberFormat="1" applyFont="1" applyFill="1" applyBorder="1" applyAlignment="1">
      <alignment horizontal="center" vertical="center" wrapText="1"/>
    </xf>
    <xf numFmtId="49" fontId="46" fillId="35" borderId="11" xfId="45" applyNumberFormat="1" applyFont="1" applyFill="1" applyBorder="1" applyAlignment="1">
      <alignment horizontal="center" vertical="center" wrapText="1"/>
    </xf>
    <xf numFmtId="49" fontId="46" fillId="35" borderId="71" xfId="45" applyNumberFormat="1" applyFont="1" applyFill="1" applyBorder="1" applyAlignment="1">
      <alignment horizontal="center" vertical="center" wrapText="1"/>
    </xf>
    <xf numFmtId="0" fontId="4" fillId="35" borderId="120" xfId="45" applyFont="1" applyFill="1" applyBorder="1" applyAlignment="1">
      <alignment horizontal="center" vertical="center"/>
    </xf>
    <xf numFmtId="0" fontId="4" fillId="0" borderId="124" xfId="45" applyFont="1" applyBorder="1" applyAlignment="1">
      <alignment horizontal="center" vertical="center"/>
    </xf>
    <xf numFmtId="0" fontId="4" fillId="0" borderId="120" xfId="45" applyFont="1" applyBorder="1" applyAlignment="1">
      <alignment horizontal="center" vertical="center"/>
    </xf>
    <xf numFmtId="0" fontId="119" fillId="0" borderId="91" xfId="22" applyFont="1" applyFill="1" applyBorder="1" applyAlignment="1" applyProtection="1">
      <alignment horizontal="center" vertical="center" wrapText="1"/>
    </xf>
    <xf numFmtId="14" fontId="4" fillId="35" borderId="91" xfId="45" applyNumberFormat="1" applyFont="1" applyFill="1" applyBorder="1" applyAlignment="1">
      <alignment horizontal="center" vertical="center"/>
    </xf>
    <xf numFmtId="49" fontId="46" fillId="35" borderId="118" xfId="45" applyNumberFormat="1" applyFont="1" applyFill="1" applyBorder="1" applyAlignment="1">
      <alignment horizontal="center" vertical="center" wrapText="1"/>
    </xf>
    <xf numFmtId="49" fontId="46" fillId="35" borderId="61" xfId="45" applyNumberFormat="1" applyFont="1" applyFill="1" applyBorder="1" applyAlignment="1">
      <alignment horizontal="center" vertical="center" wrapText="1"/>
    </xf>
    <xf numFmtId="0" fontId="4" fillId="35" borderId="91" xfId="45" applyFont="1" applyFill="1" applyBorder="1" applyAlignment="1">
      <alignment horizontal="center" vertical="center"/>
    </xf>
    <xf numFmtId="0" fontId="4" fillId="0" borderId="118" xfId="45" applyFont="1" applyBorder="1" applyAlignment="1">
      <alignment horizontal="center" vertical="center"/>
    </xf>
    <xf numFmtId="0" fontId="4" fillId="0" borderId="47" xfId="45" applyFont="1" applyBorder="1" applyAlignment="1">
      <alignment horizontal="center" vertical="center"/>
    </xf>
    <xf numFmtId="0" fontId="10" fillId="0" borderId="93" xfId="22" applyBorder="1" applyAlignment="1" applyProtection="1">
      <alignment horizontal="center" vertical="center"/>
    </xf>
    <xf numFmtId="14" fontId="4" fillId="0" borderId="93" xfId="45" applyNumberFormat="1" applyFont="1" applyBorder="1" applyAlignment="1">
      <alignment horizontal="center" vertical="center"/>
    </xf>
    <xf numFmtId="14" fontId="4" fillId="35" borderId="93" xfId="45" applyNumberFormat="1" applyFont="1" applyFill="1" applyBorder="1" applyAlignment="1">
      <alignment horizontal="center" vertical="center"/>
    </xf>
    <xf numFmtId="0" fontId="119" fillId="0" borderId="52" xfId="22" applyFont="1" applyFill="1" applyBorder="1" applyAlignment="1" applyProtection="1">
      <alignment horizontal="center" vertical="center" wrapText="1"/>
    </xf>
    <xf numFmtId="14" fontId="4" fillId="35" borderId="26" xfId="45" applyNumberFormat="1" applyFont="1" applyFill="1" applyBorder="1" applyAlignment="1">
      <alignment horizontal="center" vertical="center"/>
    </xf>
    <xf numFmtId="0" fontId="58" fillId="35" borderId="93" xfId="45" applyFont="1" applyFill="1" applyBorder="1" applyAlignment="1">
      <alignment horizontal="center" vertical="center"/>
    </xf>
    <xf numFmtId="0" fontId="4" fillId="0" borderId="52" xfId="45" applyFont="1" applyBorder="1" applyAlignment="1">
      <alignment horizontal="center" vertical="center"/>
    </xf>
    <xf numFmtId="0" fontId="4" fillId="0" borderId="21" xfId="45" applyFont="1" applyBorder="1" applyAlignment="1">
      <alignment horizontal="center" vertical="center"/>
    </xf>
    <xf numFmtId="0" fontId="4" fillId="0" borderId="0" xfId="45" applyFont="1" applyAlignment="1">
      <alignment horizontal="center" vertical="center"/>
    </xf>
    <xf numFmtId="0" fontId="10" fillId="0" borderId="91" xfId="22" applyBorder="1" applyAlignment="1" applyProtection="1">
      <alignment horizontal="center" vertical="center"/>
    </xf>
    <xf numFmtId="14" fontId="4" fillId="0" borderId="91" xfId="45" applyNumberFormat="1" applyFont="1" applyBorder="1" applyAlignment="1">
      <alignment horizontal="center" vertical="center"/>
    </xf>
    <xf numFmtId="0" fontId="119" fillId="0" borderId="118" xfId="22" applyFont="1" applyFill="1" applyBorder="1" applyAlignment="1" applyProtection="1">
      <alignment horizontal="center" vertical="center" wrapText="1"/>
    </xf>
    <xf numFmtId="14" fontId="4" fillId="35" borderId="61" xfId="45" applyNumberFormat="1" applyFont="1" applyFill="1" applyBorder="1" applyAlignment="1">
      <alignment horizontal="center" vertical="center"/>
    </xf>
    <xf numFmtId="0" fontId="10" fillId="0" borderId="123" xfId="22" applyBorder="1" applyAlignment="1" applyProtection="1">
      <alignment horizontal="center" vertical="center"/>
    </xf>
    <xf numFmtId="14" fontId="4" fillId="0" borderId="123" xfId="45" applyNumberFormat="1" applyFont="1" applyBorder="1" applyAlignment="1">
      <alignment horizontal="center" vertical="center"/>
    </xf>
    <xf numFmtId="14" fontId="4" fillId="35" borderId="123" xfId="45" applyNumberFormat="1" applyFont="1" applyFill="1" applyBorder="1" applyAlignment="1">
      <alignment horizontal="center" vertical="center"/>
    </xf>
    <xf numFmtId="0" fontId="119" fillId="0" borderId="19" xfId="22" applyFont="1" applyFill="1" applyBorder="1" applyAlignment="1" applyProtection="1">
      <alignment horizontal="center" vertical="center" wrapText="1"/>
    </xf>
    <xf numFmtId="14" fontId="4" fillId="35" borderId="17" xfId="45" applyNumberFormat="1" applyFont="1" applyFill="1" applyBorder="1" applyAlignment="1">
      <alignment horizontal="center" vertical="center"/>
    </xf>
    <xf numFmtId="14" fontId="5" fillId="35" borderId="123" xfId="45" applyNumberFormat="1" applyFont="1" applyFill="1" applyBorder="1" applyAlignment="1">
      <alignment horizontal="center" vertical="center"/>
    </xf>
    <xf numFmtId="0" fontId="4" fillId="35" borderId="123" xfId="45" applyFont="1" applyFill="1" applyBorder="1" applyAlignment="1">
      <alignment horizontal="center" vertical="center"/>
    </xf>
    <xf numFmtId="0" fontId="4" fillId="0" borderId="36" xfId="45" applyFont="1" applyBorder="1" applyAlignment="1">
      <alignment horizontal="center" vertical="center"/>
    </xf>
    <xf numFmtId="0" fontId="58" fillId="42" borderId="72" xfId="45" applyFont="1" applyFill="1" applyBorder="1" applyAlignment="1">
      <alignment horizontal="center" vertical="center"/>
    </xf>
    <xf numFmtId="0" fontId="10" fillId="0" borderId="69" xfId="22" applyBorder="1" applyAlignment="1" applyProtection="1">
      <alignment horizontal="center" vertical="center"/>
    </xf>
    <xf numFmtId="14" fontId="4" fillId="0" borderId="69" xfId="45" applyNumberFormat="1" applyFont="1" applyBorder="1" applyAlignment="1">
      <alignment horizontal="center" vertical="center"/>
    </xf>
    <xf numFmtId="14" fontId="4" fillId="35" borderId="69" xfId="45" applyNumberFormat="1" applyFont="1" applyFill="1" applyBorder="1" applyAlignment="1">
      <alignment horizontal="center" vertical="center"/>
    </xf>
    <xf numFmtId="0" fontId="119" fillId="0" borderId="113" xfId="22" applyFont="1" applyFill="1" applyBorder="1" applyAlignment="1" applyProtection="1">
      <alignment horizontal="center" vertical="center" wrapText="1"/>
    </xf>
    <xf numFmtId="14" fontId="4" fillId="35" borderId="29" xfId="45" applyNumberFormat="1" applyFont="1" applyFill="1" applyBorder="1" applyAlignment="1">
      <alignment horizontal="center" vertical="center"/>
    </xf>
    <xf numFmtId="0" fontId="4" fillId="35" borderId="69" xfId="45" applyFont="1" applyFill="1" applyBorder="1" applyAlignment="1">
      <alignment horizontal="center" vertical="center"/>
    </xf>
    <xf numFmtId="0" fontId="4" fillId="0" borderId="113" xfId="45" applyFont="1" applyBorder="1" applyAlignment="1">
      <alignment horizontal="center" vertical="center"/>
    </xf>
    <xf numFmtId="0" fontId="4" fillId="0" borderId="64" xfId="45" applyFont="1" applyBorder="1" applyAlignment="1">
      <alignment horizontal="center" vertical="center"/>
    </xf>
    <xf numFmtId="0" fontId="4" fillId="0" borderId="34" xfId="45" applyFont="1" applyBorder="1" applyAlignment="1">
      <alignment horizontal="center" vertical="center"/>
    </xf>
    <xf numFmtId="0" fontId="116" fillId="35" borderId="19" xfId="22" applyFont="1" applyFill="1" applyBorder="1" applyAlignment="1" applyProtection="1">
      <alignment horizontal="center" vertical="center"/>
    </xf>
    <xf numFmtId="0" fontId="119" fillId="35" borderId="19" xfId="22" applyFont="1" applyFill="1" applyBorder="1" applyAlignment="1" applyProtection="1">
      <alignment horizontal="center" vertical="center"/>
    </xf>
    <xf numFmtId="0" fontId="10" fillId="0" borderId="120" xfId="22" applyBorder="1" applyAlignment="1" applyProtection="1">
      <alignment horizontal="center" vertical="center"/>
    </xf>
    <xf numFmtId="14" fontId="4" fillId="0" borderId="120" xfId="45" applyNumberFormat="1" applyFont="1" applyBorder="1" applyAlignment="1">
      <alignment horizontal="center" vertical="center"/>
    </xf>
    <xf numFmtId="0" fontId="119" fillId="35" borderId="33" xfId="22" applyFont="1" applyFill="1" applyBorder="1" applyAlignment="1" applyProtection="1">
      <alignment horizontal="center" vertical="center"/>
    </xf>
    <xf numFmtId="14" fontId="4" fillId="35" borderId="27" xfId="45" applyNumberFormat="1" applyFont="1" applyFill="1" applyBorder="1" applyAlignment="1">
      <alignment horizontal="center" vertical="center"/>
    </xf>
    <xf numFmtId="0" fontId="4" fillId="0" borderId="33" xfId="45" applyFont="1" applyBorder="1" applyAlignment="1">
      <alignment horizontal="center" vertical="center"/>
    </xf>
    <xf numFmtId="0" fontId="4" fillId="35" borderId="93" xfId="45" applyFont="1" applyFill="1" applyBorder="1" applyAlignment="1">
      <alignment horizontal="center" vertical="center"/>
    </xf>
    <xf numFmtId="0" fontId="4" fillId="0" borderId="25" xfId="45" applyFont="1" applyBorder="1" applyAlignment="1">
      <alignment horizontal="center" vertical="center"/>
    </xf>
    <xf numFmtId="0" fontId="119" fillId="35" borderId="118" xfId="22" applyFont="1" applyFill="1" applyBorder="1" applyAlignment="1" applyProtection="1">
      <alignment horizontal="center" vertical="center"/>
    </xf>
    <xf numFmtId="14" fontId="3" fillId="35" borderId="61" xfId="45" applyNumberFormat="1" applyFill="1" applyBorder="1" applyAlignment="1">
      <alignment horizontal="center" vertical="center"/>
    </xf>
    <xf numFmtId="14" fontId="38" fillId="35" borderId="91" xfId="45" applyNumberFormat="1" applyFont="1" applyFill="1" applyBorder="1" applyAlignment="1">
      <alignment horizontal="center" vertical="center"/>
    </xf>
    <xf numFmtId="14" fontId="5" fillId="35" borderId="93" xfId="45" applyNumberFormat="1" applyFont="1" applyFill="1" applyBorder="1" applyAlignment="1">
      <alignment horizontal="center" vertical="center"/>
    </xf>
    <xf numFmtId="0" fontId="4" fillId="0" borderId="93" xfId="45" applyFont="1" applyBorder="1" applyAlignment="1">
      <alignment horizontal="center" vertical="center"/>
    </xf>
    <xf numFmtId="14" fontId="4" fillId="35" borderId="93" xfId="45" quotePrefix="1" applyNumberFormat="1" applyFont="1" applyFill="1" applyBorder="1" applyAlignment="1">
      <alignment horizontal="center" vertical="center"/>
    </xf>
    <xf numFmtId="0" fontId="4" fillId="0" borderId="91" xfId="45" applyFont="1" applyBorder="1" applyAlignment="1">
      <alignment horizontal="center" vertical="center"/>
    </xf>
    <xf numFmtId="0" fontId="58" fillId="42" borderId="59" xfId="45" applyFont="1" applyFill="1" applyBorder="1" applyAlignment="1">
      <alignment horizontal="center" vertical="center" wrapText="1"/>
    </xf>
    <xf numFmtId="0" fontId="20" fillId="0" borderId="38" xfId="45" applyFont="1" applyBorder="1" applyAlignment="1">
      <alignment horizontal="center" vertical="center" wrapText="1"/>
    </xf>
    <xf numFmtId="14" fontId="20" fillId="0" borderId="38" xfId="45" quotePrefix="1" applyNumberFormat="1" applyFont="1" applyBorder="1" applyAlignment="1">
      <alignment horizontal="center" vertical="center"/>
    </xf>
    <xf numFmtId="14" fontId="20" fillId="35" borderId="38" xfId="45" applyNumberFormat="1" applyFont="1" applyFill="1" applyBorder="1" applyAlignment="1">
      <alignment horizontal="center" vertical="center" wrapText="1"/>
    </xf>
    <xf numFmtId="0" fontId="121" fillId="0" borderId="125" xfId="22" applyFont="1" applyFill="1" applyBorder="1" applyAlignment="1" applyProtection="1">
      <alignment horizontal="center" vertical="center" wrapText="1"/>
    </xf>
    <xf numFmtId="14" fontId="4" fillId="35" borderId="59" xfId="45" applyNumberFormat="1" applyFont="1" applyFill="1" applyBorder="1" applyAlignment="1">
      <alignment horizontal="center" vertical="center" wrapText="1"/>
    </xf>
    <xf numFmtId="14" fontId="4" fillId="35" borderId="38" xfId="45" applyNumberFormat="1" applyFont="1" applyFill="1" applyBorder="1" applyAlignment="1">
      <alignment horizontal="center" vertical="center" wrapText="1"/>
    </xf>
    <xf numFmtId="0" fontId="4" fillId="35" borderId="38" xfId="45" applyFont="1" applyFill="1" applyBorder="1" applyAlignment="1">
      <alignment horizontal="center" vertical="center"/>
    </xf>
    <xf numFmtId="0" fontId="4" fillId="0" borderId="13" xfId="45" applyFont="1" applyBorder="1" applyAlignment="1">
      <alignment horizontal="center" vertical="center"/>
    </xf>
    <xf numFmtId="0" fontId="4" fillId="0" borderId="38" xfId="45" applyFont="1" applyBorder="1" applyAlignment="1">
      <alignment horizontal="center" vertical="center"/>
    </xf>
    <xf numFmtId="0" fontId="4" fillId="0" borderId="65" xfId="45" applyFont="1" applyBorder="1" applyAlignment="1">
      <alignment horizontal="center" vertical="center"/>
    </xf>
    <xf numFmtId="0" fontId="4" fillId="0" borderId="65" xfId="45" applyFont="1" applyBorder="1" applyAlignment="1">
      <alignment vertical="center"/>
    </xf>
    <xf numFmtId="0" fontId="20" fillId="0" borderId="91" xfId="45" applyFont="1" applyBorder="1" applyAlignment="1">
      <alignment horizontal="center" vertical="center" wrapText="1"/>
    </xf>
    <xf numFmtId="14" fontId="20" fillId="0" borderId="91" xfId="45" applyNumberFormat="1" applyFont="1" applyBorder="1" applyAlignment="1">
      <alignment horizontal="center" vertical="center" wrapText="1"/>
    </xf>
    <xf numFmtId="14" fontId="20" fillId="35" borderId="91" xfId="45" applyNumberFormat="1" applyFont="1" applyFill="1" applyBorder="1" applyAlignment="1">
      <alignment horizontal="center" vertical="center" wrapText="1"/>
    </xf>
    <xf numFmtId="0" fontId="122" fillId="35" borderId="85" xfId="45" applyFont="1" applyFill="1" applyBorder="1" applyAlignment="1">
      <alignment horizontal="center" vertical="center" wrapText="1"/>
    </xf>
    <xf numFmtId="14" fontId="4" fillId="35" borderId="84" xfId="45" applyNumberFormat="1" applyFont="1" applyFill="1" applyBorder="1" applyAlignment="1">
      <alignment horizontal="center" vertical="center" wrapText="1"/>
    </xf>
    <xf numFmtId="14" fontId="4" fillId="35" borderId="91" xfId="45" applyNumberFormat="1" applyFont="1" applyFill="1" applyBorder="1" applyAlignment="1">
      <alignment horizontal="center" vertical="center" wrapText="1"/>
    </xf>
    <xf numFmtId="0" fontId="4" fillId="0" borderId="85" xfId="45" applyFont="1" applyBorder="1" applyAlignment="1">
      <alignment horizontal="center" vertical="center"/>
    </xf>
    <xf numFmtId="0" fontId="42" fillId="0" borderId="93" xfId="22" applyFont="1" applyBorder="1" applyAlignment="1" applyProtection="1">
      <alignment horizontal="center" vertical="center" wrapText="1"/>
    </xf>
    <xf numFmtId="14" fontId="20" fillId="0" borderId="93" xfId="45" applyNumberFormat="1" applyFont="1" applyBorder="1" applyAlignment="1">
      <alignment horizontal="center" vertical="center" wrapText="1"/>
    </xf>
    <xf numFmtId="14" fontId="20" fillId="35" borderId="93" xfId="45" applyNumberFormat="1" applyFont="1" applyFill="1" applyBorder="1" applyAlignment="1">
      <alignment horizontal="center" vertical="center" wrapText="1"/>
    </xf>
    <xf numFmtId="0" fontId="119" fillId="0" borderId="125" xfId="22" applyFont="1" applyFill="1" applyBorder="1" applyAlignment="1" applyProtection="1">
      <alignment horizontal="center" vertical="center" wrapText="1"/>
    </xf>
    <xf numFmtId="14" fontId="4" fillId="35" borderId="77" xfId="45" applyNumberFormat="1" applyFont="1" applyFill="1" applyBorder="1" applyAlignment="1">
      <alignment horizontal="center" vertical="center" wrapText="1"/>
    </xf>
    <xf numFmtId="0" fontId="7" fillId="0" borderId="119" xfId="45" applyFont="1" applyBorder="1" applyAlignment="1">
      <alignment horizontal="center"/>
    </xf>
    <xf numFmtId="0" fontId="7" fillId="0" borderId="93" xfId="45" applyFont="1" applyBorder="1" applyAlignment="1">
      <alignment horizontal="center"/>
    </xf>
    <xf numFmtId="0" fontId="4" fillId="0" borderId="75" xfId="45" applyFont="1" applyBorder="1" applyAlignment="1">
      <alignment horizontal="left" vertical="center" wrapText="1"/>
    </xf>
    <xf numFmtId="0" fontId="3" fillId="0" borderId="81" xfId="22" applyFont="1" applyBorder="1" applyAlignment="1" applyProtection="1">
      <alignment horizontal="center" vertical="center" wrapText="1"/>
    </xf>
    <xf numFmtId="0" fontId="3" fillId="35" borderId="32" xfId="22" applyFont="1" applyFill="1" applyBorder="1" applyAlignment="1" applyProtection="1">
      <alignment horizontal="center" vertical="center" wrapText="1"/>
    </xf>
    <xf numFmtId="0" fontId="10" fillId="35" borderId="32" xfId="22" applyFill="1" applyBorder="1" applyAlignment="1" applyProtection="1">
      <alignment horizontal="center" vertical="center" wrapText="1"/>
    </xf>
    <xf numFmtId="14" fontId="4" fillId="35" borderId="75" xfId="45" applyNumberFormat="1" applyFont="1" applyFill="1" applyBorder="1" applyAlignment="1">
      <alignment horizontal="center" vertical="center" wrapText="1"/>
    </xf>
    <xf numFmtId="14" fontId="4" fillId="35" borderId="81" xfId="45" applyNumberFormat="1" applyFont="1" applyFill="1" applyBorder="1" applyAlignment="1">
      <alignment horizontal="center" vertical="center" wrapText="1"/>
    </xf>
    <xf numFmtId="0" fontId="4" fillId="35" borderId="81" xfId="45" applyFont="1" applyFill="1" applyBorder="1" applyAlignment="1">
      <alignment horizontal="center" vertical="center"/>
    </xf>
    <xf numFmtId="0" fontId="19" fillId="0" borderId="32" xfId="45" applyFont="1" applyBorder="1" applyAlignment="1">
      <alignment horizontal="center"/>
    </xf>
    <xf numFmtId="0" fontId="4" fillId="0" borderId="81" xfId="45" applyFont="1" applyBorder="1" applyAlignment="1">
      <alignment horizontal="center" vertical="center"/>
    </xf>
    <xf numFmtId="0" fontId="4" fillId="0" borderId="76" xfId="45" applyFont="1" applyBorder="1" applyAlignment="1">
      <alignment horizontal="left" vertical="center" wrapText="1"/>
    </xf>
    <xf numFmtId="0" fontId="3" fillId="0" borderId="123" xfId="22" applyFont="1" applyBorder="1" applyAlignment="1" applyProtection="1">
      <alignment horizontal="center" vertical="center" wrapText="1"/>
    </xf>
    <xf numFmtId="0" fontId="3" fillId="35" borderId="114" xfId="22" applyFont="1" applyFill="1" applyBorder="1" applyAlignment="1" applyProtection="1">
      <alignment horizontal="center" vertical="center" wrapText="1"/>
    </xf>
    <xf numFmtId="0" fontId="10" fillId="35" borderId="114" xfId="22" applyFill="1" applyBorder="1" applyAlignment="1" applyProtection="1">
      <alignment horizontal="center" vertical="center" wrapText="1"/>
    </xf>
    <xf numFmtId="14" fontId="4" fillId="35" borderId="76" xfId="45" applyNumberFormat="1" applyFont="1" applyFill="1" applyBorder="1" applyAlignment="1">
      <alignment horizontal="center" vertical="center" wrapText="1"/>
    </xf>
    <xf numFmtId="14" fontId="4" fillId="35" borderId="123" xfId="45" applyNumberFormat="1" applyFont="1" applyFill="1" applyBorder="1" applyAlignment="1">
      <alignment horizontal="center" vertical="center" wrapText="1"/>
    </xf>
    <xf numFmtId="0" fontId="19" fillId="0" borderId="114" xfId="45" applyFont="1" applyBorder="1" applyAlignment="1">
      <alignment horizontal="center"/>
    </xf>
    <xf numFmtId="0" fontId="4" fillId="0" borderId="123" xfId="45" applyFont="1" applyBorder="1" applyAlignment="1">
      <alignment horizontal="center" vertical="center"/>
    </xf>
    <xf numFmtId="0" fontId="10" fillId="0" borderId="123" xfId="22" applyBorder="1" applyAlignment="1" applyProtection="1">
      <alignment horizontal="center" vertical="center" wrapText="1"/>
    </xf>
    <xf numFmtId="14" fontId="3" fillId="0" borderId="123" xfId="22" applyNumberFormat="1" applyFont="1" applyBorder="1" applyAlignment="1" applyProtection="1">
      <alignment horizontal="center" vertical="center" wrapText="1"/>
    </xf>
    <xf numFmtId="14" fontId="3" fillId="35" borderId="114" xfId="22" applyNumberFormat="1" applyFont="1" applyFill="1" applyBorder="1" applyAlignment="1" applyProtection="1">
      <alignment horizontal="center" vertical="center" wrapText="1"/>
    </xf>
    <xf numFmtId="0" fontId="3" fillId="0" borderId="76" xfId="45" applyBorder="1" applyAlignment="1">
      <alignment horizontal="left" vertical="center" wrapText="1"/>
    </xf>
    <xf numFmtId="14" fontId="4" fillId="0" borderId="123" xfId="45" applyNumberFormat="1" applyFont="1" applyBorder="1" applyAlignment="1">
      <alignment horizontal="center" vertical="center" wrapText="1"/>
    </xf>
    <xf numFmtId="14" fontId="4" fillId="35" borderId="114" xfId="45" applyNumberFormat="1" applyFont="1" applyFill="1" applyBorder="1" applyAlignment="1">
      <alignment horizontal="center" vertical="center" wrapText="1"/>
    </xf>
    <xf numFmtId="0" fontId="4" fillId="0" borderId="76" xfId="45" applyFont="1" applyBorder="1" applyAlignment="1">
      <alignment horizontal="left"/>
    </xf>
    <xf numFmtId="0" fontId="4" fillId="0" borderId="123" xfId="45" applyFont="1" applyBorder="1" applyAlignment="1">
      <alignment horizontal="center"/>
    </xf>
    <xf numFmtId="14" fontId="4" fillId="0" borderId="123" xfId="45" applyNumberFormat="1" applyFont="1" applyBorder="1" applyAlignment="1">
      <alignment horizontal="center"/>
    </xf>
    <xf numFmtId="14" fontId="4" fillId="35" borderId="114" xfId="45" applyNumberFormat="1" applyFont="1" applyFill="1" applyBorder="1" applyAlignment="1">
      <alignment horizontal="center"/>
    </xf>
    <xf numFmtId="0" fontId="10" fillId="35" borderId="114" xfId="22" applyFill="1" applyBorder="1" applyAlignment="1" applyProtection="1">
      <alignment horizontal="center"/>
    </xf>
    <xf numFmtId="14" fontId="4" fillId="35" borderId="76" xfId="45" applyNumberFormat="1" applyFont="1" applyFill="1" applyBorder="1" applyAlignment="1">
      <alignment horizontal="center"/>
    </xf>
    <xf numFmtId="14" fontId="4" fillId="35" borderId="123" xfId="45" applyNumberFormat="1" applyFont="1" applyFill="1" applyBorder="1" applyAlignment="1">
      <alignment horizontal="center"/>
    </xf>
    <xf numFmtId="0" fontId="4" fillId="35" borderId="123" xfId="45" applyFont="1" applyFill="1" applyBorder="1" applyAlignment="1">
      <alignment horizontal="center"/>
    </xf>
    <xf numFmtId="0" fontId="4" fillId="0" borderId="114" xfId="45" applyFont="1" applyBorder="1" applyAlignment="1">
      <alignment horizontal="center"/>
    </xf>
    <xf numFmtId="0" fontId="4" fillId="35" borderId="114" xfId="45" applyFont="1" applyFill="1" applyBorder="1" applyAlignment="1">
      <alignment horizontal="center"/>
    </xf>
    <xf numFmtId="0" fontId="10" fillId="0" borderId="123" xfId="22" applyFill="1" applyBorder="1" applyAlignment="1" applyProtection="1">
      <alignment horizontal="center"/>
    </xf>
    <xf numFmtId="0" fontId="4" fillId="35" borderId="76" xfId="45" applyFont="1" applyFill="1" applyBorder="1" applyAlignment="1">
      <alignment horizontal="center"/>
    </xf>
    <xf numFmtId="14" fontId="4" fillId="0" borderId="93" xfId="45" applyNumberFormat="1" applyFont="1" applyBorder="1" applyAlignment="1">
      <alignment horizontal="center"/>
    </xf>
    <xf numFmtId="14" fontId="4" fillId="0" borderId="81" xfId="45" applyNumberFormat="1" applyFont="1" applyBorder="1" applyAlignment="1">
      <alignment horizontal="center"/>
    </xf>
    <xf numFmtId="0" fontId="4" fillId="0" borderId="76" xfId="45" applyFont="1" applyBorder="1" applyAlignment="1">
      <alignment horizontal="left" vertical="center"/>
    </xf>
    <xf numFmtId="14" fontId="5" fillId="35" borderId="123" xfId="45" applyNumberFormat="1" applyFont="1" applyFill="1" applyBorder="1" applyAlignment="1">
      <alignment horizontal="center"/>
    </xf>
    <xf numFmtId="0" fontId="3" fillId="0" borderId="76" xfId="45" applyBorder="1" applyAlignment="1">
      <alignment horizontal="left" vertical="center"/>
    </xf>
    <xf numFmtId="0" fontId="10" fillId="0" borderId="123" xfId="22" applyBorder="1" applyAlignment="1" applyProtection="1">
      <alignment horizontal="center"/>
    </xf>
    <xf numFmtId="0" fontId="10" fillId="35" borderId="123" xfId="22" applyFill="1" applyBorder="1" applyAlignment="1" applyProtection="1">
      <alignment horizontal="center"/>
    </xf>
    <xf numFmtId="0" fontId="10" fillId="0" borderId="123" xfId="22" applyFill="1" applyBorder="1" applyAlignment="1" applyProtection="1">
      <alignment horizontal="center" vertical="center"/>
    </xf>
    <xf numFmtId="14" fontId="4" fillId="35" borderId="114" xfId="45" applyNumberFormat="1" applyFont="1" applyFill="1" applyBorder="1" applyAlignment="1">
      <alignment horizontal="center" vertical="center"/>
    </xf>
    <xf numFmtId="14" fontId="10" fillId="35" borderId="114" xfId="22" quotePrefix="1" applyNumberFormat="1" applyFill="1" applyBorder="1" applyAlignment="1" applyProtection="1">
      <alignment horizontal="center"/>
    </xf>
    <xf numFmtId="14" fontId="4" fillId="35" borderId="119" xfId="45" applyNumberFormat="1" applyFont="1" applyFill="1" applyBorder="1" applyAlignment="1">
      <alignment horizontal="center" vertical="center"/>
    </xf>
    <xf numFmtId="14" fontId="10" fillId="35" borderId="114" xfId="22" applyNumberFormat="1" applyFill="1" applyBorder="1" applyAlignment="1" applyProtection="1">
      <alignment horizontal="center"/>
    </xf>
    <xf numFmtId="0" fontId="42" fillId="0" borderId="123" xfId="22" applyFont="1" applyBorder="1" applyAlignment="1" applyProtection="1">
      <alignment horizontal="center"/>
    </xf>
    <xf numFmtId="14" fontId="20" fillId="0" borderId="32" xfId="45" applyNumberFormat="1" applyFont="1" applyBorder="1" applyAlignment="1">
      <alignment horizontal="center"/>
    </xf>
    <xf numFmtId="14" fontId="20" fillId="35" borderId="81" xfId="45" applyNumberFormat="1" applyFont="1" applyFill="1" applyBorder="1" applyAlignment="1">
      <alignment horizontal="center"/>
    </xf>
    <xf numFmtId="0" fontId="89" fillId="0" borderId="123" xfId="22" applyFont="1" applyBorder="1" applyAlignment="1" applyProtection="1">
      <alignment horizontal="center"/>
    </xf>
    <xf numFmtId="14" fontId="90" fillId="0" borderId="114" xfId="45" applyNumberFormat="1" applyFont="1" applyBorder="1" applyAlignment="1">
      <alignment horizontal="center"/>
    </xf>
    <xf numFmtId="14" fontId="90" fillId="35" borderId="123" xfId="45" applyNumberFormat="1" applyFont="1" applyFill="1" applyBorder="1" applyAlignment="1">
      <alignment horizontal="center"/>
    </xf>
    <xf numFmtId="14" fontId="4" fillId="0" borderId="114" xfId="45" applyNumberFormat="1" applyFont="1" applyBorder="1" applyAlignment="1">
      <alignment horizontal="center"/>
    </xf>
    <xf numFmtId="14" fontId="3" fillId="0" borderId="114" xfId="45" applyNumberFormat="1" applyBorder="1" applyAlignment="1">
      <alignment horizontal="center"/>
    </xf>
    <xf numFmtId="14" fontId="3" fillId="35" borderId="123" xfId="45" applyNumberFormat="1" applyFill="1" applyBorder="1" applyAlignment="1">
      <alignment horizontal="center"/>
    </xf>
    <xf numFmtId="0" fontId="3" fillId="0" borderId="123" xfId="22" applyFont="1" applyBorder="1" applyAlignment="1" applyProtection="1">
      <alignment horizontal="center"/>
    </xf>
    <xf numFmtId="14" fontId="10" fillId="35" borderId="76" xfId="22" applyNumberFormat="1" applyFill="1" applyBorder="1" applyAlignment="1" applyProtection="1">
      <alignment horizontal="center"/>
    </xf>
    <xf numFmtId="14" fontId="10" fillId="35" borderId="123" xfId="22" applyNumberFormat="1" applyFill="1" applyBorder="1" applyAlignment="1" applyProtection="1">
      <alignment horizontal="center"/>
    </xf>
    <xf numFmtId="14" fontId="4" fillId="35" borderId="93" xfId="45" applyNumberFormat="1" applyFont="1" applyFill="1" applyBorder="1" applyAlignment="1">
      <alignment horizontal="center"/>
    </xf>
    <xf numFmtId="0" fontId="10" fillId="0" borderId="114" xfId="22" applyBorder="1" applyAlignment="1" applyProtection="1">
      <alignment horizontal="center"/>
    </xf>
    <xf numFmtId="14" fontId="4" fillId="35" borderId="81" xfId="45" applyNumberFormat="1" applyFont="1" applyFill="1" applyBorder="1" applyAlignment="1">
      <alignment horizontal="center"/>
    </xf>
    <xf numFmtId="0" fontId="4" fillId="35" borderId="93" xfId="45" applyFont="1" applyFill="1" applyBorder="1" applyAlignment="1">
      <alignment horizontal="center"/>
    </xf>
    <xf numFmtId="0" fontId="4" fillId="35" borderId="81" xfId="45" applyFont="1" applyFill="1" applyBorder="1" applyAlignment="1">
      <alignment horizontal="center"/>
    </xf>
    <xf numFmtId="0" fontId="42" fillId="0" borderId="123" xfId="22" applyFont="1" applyFill="1" applyBorder="1" applyAlignment="1" applyProtection="1">
      <alignment horizontal="center"/>
    </xf>
    <xf numFmtId="14" fontId="20" fillId="0" borderId="114" xfId="45" applyNumberFormat="1" applyFont="1" applyBorder="1" applyAlignment="1">
      <alignment horizontal="center"/>
    </xf>
    <xf numFmtId="14" fontId="20" fillId="35" borderId="123" xfId="45" applyNumberFormat="1" applyFont="1" applyFill="1" applyBorder="1" applyAlignment="1">
      <alignment horizontal="center"/>
    </xf>
    <xf numFmtId="14" fontId="94" fillId="0" borderId="114" xfId="45" applyNumberFormat="1" applyFont="1" applyBorder="1" applyAlignment="1">
      <alignment horizontal="center"/>
    </xf>
    <xf numFmtId="14" fontId="94" fillId="35" borderId="123" xfId="45" applyNumberFormat="1" applyFont="1" applyFill="1" applyBorder="1" applyAlignment="1">
      <alignment horizontal="center"/>
    </xf>
    <xf numFmtId="0" fontId="94" fillId="0" borderId="123" xfId="45" applyFont="1" applyBorder="1" applyAlignment="1">
      <alignment horizontal="center"/>
    </xf>
    <xf numFmtId="0" fontId="94" fillId="35" borderId="123" xfId="45" applyFont="1" applyFill="1" applyBorder="1" applyAlignment="1">
      <alignment horizontal="center"/>
    </xf>
    <xf numFmtId="0" fontId="94" fillId="35" borderId="114" xfId="45" applyFont="1" applyFill="1" applyBorder="1" applyAlignment="1">
      <alignment horizontal="center"/>
    </xf>
    <xf numFmtId="0" fontId="61" fillId="0" borderId="123" xfId="22" applyFont="1" applyFill="1" applyBorder="1" applyAlignment="1" applyProtection="1">
      <alignment horizontal="center"/>
    </xf>
    <xf numFmtId="0" fontId="4" fillId="0" borderId="75" xfId="45" applyFont="1" applyBorder="1" applyAlignment="1">
      <alignment horizontal="left"/>
    </xf>
    <xf numFmtId="0" fontId="4" fillId="0" borderId="38" xfId="45" applyFont="1" applyBorder="1" applyAlignment="1">
      <alignment horizontal="center"/>
    </xf>
    <xf numFmtId="0" fontId="4" fillId="0" borderId="13" xfId="45" applyFont="1" applyBorder="1" applyAlignment="1">
      <alignment horizontal="center"/>
    </xf>
    <xf numFmtId="0" fontId="4" fillId="35" borderId="38" xfId="45" applyFont="1" applyFill="1" applyBorder="1" applyAlignment="1">
      <alignment horizontal="center"/>
    </xf>
    <xf numFmtId="0" fontId="10" fillId="0" borderId="38" xfId="22" applyBorder="1" applyAlignment="1" applyProtection="1">
      <alignment horizontal="center"/>
    </xf>
    <xf numFmtId="14" fontId="4" fillId="35" borderId="38" xfId="45" applyNumberFormat="1" applyFont="1" applyFill="1" applyBorder="1" applyAlignment="1">
      <alignment horizontal="center"/>
    </xf>
    <xf numFmtId="0" fontId="4" fillId="35" borderId="13" xfId="45" applyFont="1" applyFill="1" applyBorder="1" applyAlignment="1">
      <alignment horizontal="center"/>
    </xf>
    <xf numFmtId="0" fontId="10" fillId="0" borderId="71" xfId="22" applyBorder="1" applyAlignment="1" applyProtection="1">
      <alignment horizontal="center"/>
    </xf>
    <xf numFmtId="14" fontId="4" fillId="0" borderId="57" xfId="45" applyNumberFormat="1" applyFont="1" applyBorder="1" applyAlignment="1">
      <alignment horizontal="center"/>
    </xf>
    <xf numFmtId="14" fontId="4" fillId="35" borderId="71" xfId="45" applyNumberFormat="1" applyFont="1" applyFill="1" applyBorder="1" applyAlignment="1">
      <alignment horizontal="center"/>
    </xf>
    <xf numFmtId="14" fontId="4" fillId="35" borderId="73" xfId="45" applyNumberFormat="1" applyFont="1" applyFill="1" applyBorder="1" applyAlignment="1">
      <alignment horizontal="center"/>
    </xf>
    <xf numFmtId="0" fontId="4" fillId="35" borderId="32" xfId="45" applyFont="1" applyFill="1" applyBorder="1" applyAlignment="1">
      <alignment horizontal="center"/>
    </xf>
    <xf numFmtId="0" fontId="3" fillId="0" borderId="120" xfId="22" applyFont="1" applyBorder="1" applyAlignment="1" applyProtection="1">
      <alignment horizontal="center"/>
    </xf>
    <xf numFmtId="14" fontId="4" fillId="0" borderId="124" xfId="45" applyNumberFormat="1" applyFont="1" applyBorder="1" applyAlignment="1">
      <alignment horizontal="center"/>
    </xf>
    <xf numFmtId="14" fontId="4" fillId="35" borderId="120" xfId="45" applyNumberFormat="1" applyFont="1" applyFill="1" applyBorder="1" applyAlignment="1">
      <alignment horizontal="center"/>
    </xf>
    <xf numFmtId="0" fontId="10" fillId="0" borderId="120" xfId="22" applyBorder="1" applyAlignment="1" applyProtection="1">
      <alignment horizontal="center"/>
    </xf>
    <xf numFmtId="0" fontId="4" fillId="35" borderId="119" xfId="45" applyFont="1" applyFill="1" applyBorder="1" applyAlignment="1">
      <alignment horizontal="center"/>
    </xf>
    <xf numFmtId="0" fontId="10" fillId="0" borderId="91" xfId="22" applyBorder="1" applyAlignment="1" applyProtection="1">
      <alignment horizontal="center"/>
    </xf>
    <xf numFmtId="14" fontId="4" fillId="0" borderId="85" xfId="45" applyNumberFormat="1" applyFont="1" applyBorder="1" applyAlignment="1">
      <alignment horizontal="center"/>
    </xf>
    <xf numFmtId="14" fontId="4" fillId="35" borderId="91" xfId="45" applyNumberFormat="1" applyFont="1" applyFill="1" applyBorder="1" applyAlignment="1">
      <alignment horizontal="center"/>
    </xf>
    <xf numFmtId="0" fontId="10" fillId="35" borderId="91" xfId="22" applyFill="1" applyBorder="1" applyAlignment="1" applyProtection="1">
      <alignment horizontal="center"/>
    </xf>
    <xf numFmtId="0" fontId="10" fillId="35" borderId="81" xfId="22" applyFill="1" applyBorder="1" applyAlignment="1" applyProtection="1">
      <alignment horizontal="center"/>
    </xf>
    <xf numFmtId="14" fontId="4" fillId="35" borderId="32" xfId="45" applyNumberFormat="1" applyFont="1" applyFill="1" applyBorder="1" applyAlignment="1">
      <alignment horizontal="center"/>
    </xf>
    <xf numFmtId="0" fontId="10" fillId="0" borderId="81" xfId="22" applyBorder="1" applyAlignment="1" applyProtection="1">
      <alignment horizontal="center"/>
    </xf>
    <xf numFmtId="14" fontId="4" fillId="0" borderId="32" xfId="45" applyNumberFormat="1" applyFont="1" applyBorder="1" applyAlignment="1">
      <alignment horizontal="center"/>
    </xf>
    <xf numFmtId="14" fontId="4" fillId="0" borderId="58" xfId="45" applyNumberFormat="1" applyFont="1" applyBorder="1" applyAlignment="1">
      <alignment horizontal="center"/>
    </xf>
    <xf numFmtId="0" fontId="4" fillId="35" borderId="71" xfId="45" applyFont="1" applyFill="1" applyBorder="1" applyAlignment="1">
      <alignment horizontal="center"/>
    </xf>
    <xf numFmtId="0" fontId="4" fillId="35" borderId="91" xfId="45" applyFont="1" applyFill="1" applyBorder="1" applyAlignment="1">
      <alignment horizontal="center"/>
    </xf>
    <xf numFmtId="0" fontId="4" fillId="0" borderId="81" xfId="45" applyFont="1" applyBorder="1" applyAlignment="1">
      <alignment horizontal="center"/>
    </xf>
    <xf numFmtId="0" fontId="4" fillId="0" borderId="32" xfId="45" applyFont="1" applyBorder="1" applyAlignment="1">
      <alignment horizontal="center"/>
    </xf>
    <xf numFmtId="0" fontId="4" fillId="35" borderId="120" xfId="45" applyFont="1" applyFill="1" applyBorder="1" applyAlignment="1">
      <alignment horizontal="center"/>
    </xf>
    <xf numFmtId="0" fontId="10" fillId="0" borderId="93" xfId="22" applyBorder="1" applyAlignment="1" applyProtection="1">
      <alignment horizontal="center"/>
    </xf>
    <xf numFmtId="0" fontId="4" fillId="0" borderId="119" xfId="45" applyFont="1" applyBorder="1" applyAlignment="1">
      <alignment horizontal="center"/>
    </xf>
    <xf numFmtId="0" fontId="4" fillId="0" borderId="69" xfId="45" applyFont="1" applyBorder="1" applyAlignment="1">
      <alignment horizontal="center" vertical="center"/>
    </xf>
    <xf numFmtId="0" fontId="4" fillId="0" borderId="79" xfId="45" applyFont="1" applyBorder="1" applyAlignment="1">
      <alignment horizontal="center" vertical="center"/>
    </xf>
    <xf numFmtId="0" fontId="10" fillId="35" borderId="69" xfId="22" applyFill="1" applyBorder="1" applyAlignment="1" applyProtection="1">
      <alignment horizontal="center" vertical="center"/>
    </xf>
    <xf numFmtId="14" fontId="4" fillId="0" borderId="85" xfId="45" applyNumberFormat="1" applyFont="1" applyBorder="1" applyAlignment="1">
      <alignment horizontal="center" vertical="center"/>
    </xf>
    <xf numFmtId="14" fontId="4" fillId="0" borderId="114" xfId="45" applyNumberFormat="1" applyFont="1" applyBorder="1" applyAlignment="1">
      <alignment horizontal="center" vertical="center"/>
    </xf>
    <xf numFmtId="14" fontId="4" fillId="0" borderId="119" xfId="45" applyNumberFormat="1" applyFont="1" applyBorder="1" applyAlignment="1">
      <alignment horizontal="center" vertical="center"/>
    </xf>
    <xf numFmtId="0" fontId="10" fillId="35" borderId="38" xfId="22" applyFill="1" applyBorder="1" applyAlignment="1" applyProtection="1">
      <alignment horizontal="center" vertical="center"/>
    </xf>
    <xf numFmtId="14" fontId="4" fillId="35" borderId="13" xfId="45" applyNumberFormat="1" applyFont="1" applyFill="1" applyBorder="1" applyAlignment="1">
      <alignment horizontal="center" vertical="center"/>
    </xf>
    <xf numFmtId="14" fontId="4" fillId="35" borderId="38" xfId="45" applyNumberFormat="1" applyFont="1" applyFill="1" applyBorder="1" applyAlignment="1">
      <alignment horizontal="center" vertical="center"/>
    </xf>
    <xf numFmtId="0" fontId="10" fillId="35" borderId="73" xfId="22" applyFill="1" applyBorder="1" applyAlignment="1" applyProtection="1">
      <alignment horizontal="center" vertical="center"/>
    </xf>
    <xf numFmtId="14" fontId="4" fillId="35" borderId="57" xfId="45" applyNumberFormat="1" applyFont="1" applyFill="1" applyBorder="1" applyAlignment="1">
      <alignment horizontal="center" vertical="center"/>
    </xf>
    <xf numFmtId="14" fontId="4" fillId="35" borderId="73" xfId="45" applyNumberFormat="1" applyFont="1" applyFill="1" applyBorder="1" applyAlignment="1">
      <alignment horizontal="center" vertical="center"/>
    </xf>
    <xf numFmtId="14" fontId="10" fillId="35" borderId="73" xfId="22" applyNumberFormat="1" applyFill="1" applyBorder="1" applyAlignment="1" applyProtection="1">
      <alignment horizontal="center" vertical="center"/>
    </xf>
    <xf numFmtId="0" fontId="4" fillId="0" borderId="73" xfId="45" applyFont="1" applyBorder="1" applyAlignment="1">
      <alignment horizontal="center" vertical="center"/>
    </xf>
    <xf numFmtId="14" fontId="10" fillId="35" borderId="38" xfId="22" applyNumberFormat="1" applyFill="1" applyBorder="1" applyAlignment="1" applyProtection="1">
      <alignment horizontal="center" vertical="center"/>
    </xf>
    <xf numFmtId="0" fontId="3" fillId="0" borderId="72" xfId="45" applyBorder="1" applyAlignment="1">
      <alignment horizontal="left" vertical="center"/>
    </xf>
    <xf numFmtId="14" fontId="10" fillId="35" borderId="69" xfId="22" applyNumberFormat="1" applyFill="1" applyBorder="1" applyAlignment="1" applyProtection="1">
      <alignment horizontal="center" vertical="center"/>
    </xf>
    <xf numFmtId="0" fontId="4" fillId="0" borderId="59" xfId="45" applyFont="1" applyBorder="1" applyAlignment="1">
      <alignment horizontal="left" vertical="center"/>
    </xf>
    <xf numFmtId="0" fontId="4" fillId="0" borderId="59" xfId="45" applyFont="1" applyBorder="1" applyAlignment="1">
      <alignment horizontal="left"/>
    </xf>
    <xf numFmtId="0" fontId="4" fillId="0" borderId="38" xfId="45" applyFont="1" applyBorder="1"/>
    <xf numFmtId="0" fontId="4" fillId="0" borderId="13" xfId="45" applyFont="1" applyBorder="1"/>
    <xf numFmtId="0" fontId="4" fillId="0" borderId="0" xfId="45" applyFont="1" applyAlignment="1">
      <alignment horizontal="left" vertical="center"/>
    </xf>
    <xf numFmtId="0" fontId="4" fillId="0" borderId="0" xfId="45" applyFont="1" applyAlignment="1">
      <alignment horizontal="left"/>
    </xf>
    <xf numFmtId="0" fontId="10" fillId="34" borderId="14" xfId="22" applyFill="1" applyBorder="1" applyAlignment="1" applyProtection="1">
      <alignment horizontal="center" vertical="center"/>
    </xf>
    <xf numFmtId="0" fontId="4" fillId="25" borderId="19" xfId="48" applyFont="1" applyFill="1" applyBorder="1" applyAlignment="1">
      <alignment horizontal="center" vertical="center"/>
    </xf>
    <xf numFmtId="0" fontId="1" fillId="0" borderId="0" xfId="48"/>
    <xf numFmtId="0" fontId="4" fillId="25" borderId="14" xfId="48" applyFont="1" applyFill="1" applyBorder="1" applyAlignment="1">
      <alignment horizontal="center" vertical="center" wrapText="1"/>
    </xf>
    <xf numFmtId="0" fontId="1" fillId="0" borderId="15" xfId="48" applyBorder="1" applyAlignment="1">
      <alignment horizontal="center"/>
    </xf>
    <xf numFmtId="0" fontId="1" fillId="0" borderId="14" xfId="48" applyBorder="1" applyAlignment="1">
      <alignment horizontal="center"/>
    </xf>
    <xf numFmtId="14" fontId="1" fillId="0" borderId="14" xfId="48" applyNumberFormat="1" applyBorder="1" applyAlignment="1">
      <alignment horizontal="center"/>
    </xf>
    <xf numFmtId="0" fontId="1" fillId="0" borderId="24" xfId="48" applyBorder="1"/>
    <xf numFmtId="0" fontId="1" fillId="0" borderId="16" xfId="48" applyBorder="1"/>
    <xf numFmtId="0" fontId="1" fillId="56" borderId="14" xfId="48" applyFill="1" applyBorder="1" applyAlignment="1">
      <alignment horizontal="center"/>
    </xf>
    <xf numFmtId="0" fontId="0" fillId="47" borderId="14" xfId="0" applyFill="1" applyBorder="1" applyAlignment="1">
      <alignment vertical="center"/>
    </xf>
    <xf numFmtId="0" fontId="10" fillId="34" borderId="0" xfId="22" applyFill="1" applyAlignment="1" applyProtection="1">
      <alignment horizontal="center" vertical="center"/>
    </xf>
    <xf numFmtId="0" fontId="38" fillId="35" borderId="14" xfId="0" applyFont="1" applyFill="1" applyBorder="1" applyAlignment="1">
      <alignment horizontal="center" vertical="center"/>
    </xf>
    <xf numFmtId="0" fontId="0" fillId="35" borderId="0" xfId="0" applyFill="1" applyAlignment="1">
      <alignment vertical="center"/>
    </xf>
    <xf numFmtId="0" fontId="10" fillId="35" borderId="14" xfId="22" applyFill="1" applyBorder="1" applyAlignment="1" applyProtection="1">
      <alignment vertical="center"/>
    </xf>
    <xf numFmtId="0" fontId="10" fillId="34" borderId="69" xfId="22" applyFill="1" applyBorder="1" applyAlignment="1" applyProtection="1">
      <alignment horizontal="center" vertical="center"/>
    </xf>
    <xf numFmtId="0" fontId="43" fillId="0" borderId="14" xfId="0" applyFont="1" applyBorder="1" applyAlignment="1">
      <alignment horizontal="center"/>
    </xf>
    <xf numFmtId="14" fontId="43" fillId="0" borderId="14" xfId="0" applyNumberFormat="1" applyFont="1" applyBorder="1" applyAlignment="1">
      <alignment horizontal="center"/>
    </xf>
    <xf numFmtId="14" fontId="43" fillId="35" borderId="14" xfId="0" applyNumberFormat="1" applyFont="1" applyFill="1" applyBorder="1" applyAlignment="1">
      <alignment horizontal="center"/>
    </xf>
    <xf numFmtId="14" fontId="0" fillId="35" borderId="14" xfId="0" applyNumberFormat="1" applyFill="1" applyBorder="1" applyAlignment="1">
      <alignment horizontal="center"/>
    </xf>
    <xf numFmtId="0" fontId="38" fillId="47" borderId="63" xfId="0" applyFont="1" applyFill="1" applyBorder="1" applyAlignment="1">
      <alignment horizontal="center" vertical="center" wrapText="1"/>
    </xf>
    <xf numFmtId="0" fontId="98" fillId="57" borderId="28" xfId="0" applyFont="1" applyFill="1" applyBorder="1" applyAlignment="1">
      <alignment horizontal="center" vertical="center" wrapText="1"/>
    </xf>
    <xf numFmtId="0" fontId="38" fillId="34" borderId="28" xfId="0" applyFont="1" applyFill="1" applyBorder="1" applyAlignment="1">
      <alignment horizontal="center" vertical="center" wrapText="1"/>
    </xf>
    <xf numFmtId="0" fontId="38" fillId="47" borderId="28" xfId="0" applyFont="1" applyFill="1" applyBorder="1" applyAlignment="1">
      <alignment horizontal="center" vertical="center" wrapText="1"/>
    </xf>
    <xf numFmtId="0" fontId="38" fillId="47" borderId="28" xfId="0" applyFont="1" applyFill="1" applyBorder="1" applyAlignment="1">
      <alignment horizontal="center" vertical="center"/>
    </xf>
    <xf numFmtId="167" fontId="38" fillId="47" borderId="28" xfId="0" applyNumberFormat="1" applyFont="1" applyFill="1" applyBorder="1" applyAlignment="1">
      <alignment horizontal="center" vertical="center" wrapText="1"/>
    </xf>
    <xf numFmtId="167" fontId="38" fillId="47" borderId="64" xfId="0" applyNumberFormat="1" applyFont="1" applyFill="1" applyBorder="1" applyAlignment="1">
      <alignment horizontal="center" vertical="center" wrapText="1"/>
    </xf>
    <xf numFmtId="0" fontId="38" fillId="58" borderId="16" xfId="0" applyFont="1" applyFill="1" applyBorder="1" applyAlignment="1">
      <alignment horizontal="center"/>
    </xf>
    <xf numFmtId="0" fontId="38" fillId="58" borderId="16" xfId="0" applyFont="1" applyFill="1" applyBorder="1" applyAlignment="1">
      <alignment horizontal="center" vertical="center"/>
    </xf>
    <xf numFmtId="14" fontId="43" fillId="0" borderId="14" xfId="0" applyNumberFormat="1" applyFont="1" applyBorder="1" applyAlignment="1">
      <alignment horizontal="center" vertical="center"/>
    </xf>
    <xf numFmtId="0" fontId="123" fillId="34" borderId="72" xfId="0" applyFont="1" applyFill="1" applyBorder="1" applyAlignment="1">
      <alignment horizontal="center" vertical="center"/>
    </xf>
    <xf numFmtId="0" fontId="123" fillId="34" borderId="65" xfId="0" applyFont="1" applyFill="1" applyBorder="1" applyAlignment="1">
      <alignment horizontal="center" vertical="center"/>
    </xf>
    <xf numFmtId="0" fontId="123" fillId="34" borderId="79" xfId="0" applyFont="1" applyFill="1" applyBorder="1" applyAlignment="1">
      <alignment horizontal="center" vertical="center"/>
    </xf>
    <xf numFmtId="0" fontId="102" fillId="0" borderId="27" xfId="0" applyFont="1" applyBorder="1" applyAlignment="1">
      <alignment horizontal="center" vertical="center" wrapText="1"/>
    </xf>
    <xf numFmtId="0" fontId="0" fillId="0" borderId="80" xfId="0" applyBorder="1" applyAlignment="1">
      <alignment horizontal="center" vertical="center" wrapText="1"/>
    </xf>
    <xf numFmtId="0" fontId="0" fillId="0" borderId="80" xfId="0" applyBorder="1" applyAlignment="1">
      <alignment wrapText="1"/>
    </xf>
    <xf numFmtId="0" fontId="0" fillId="0" borderId="33" xfId="0" applyBorder="1" applyAlignment="1">
      <alignment wrapText="1"/>
    </xf>
    <xf numFmtId="0" fontId="0" fillId="0" borderId="22" xfId="0" applyBorder="1" applyAlignment="1">
      <alignment horizontal="center" vertical="center" wrapText="1"/>
    </xf>
    <xf numFmtId="0" fontId="0" fillId="0" borderId="10" xfId="0" applyBorder="1" applyAlignment="1">
      <alignment horizontal="center" vertical="center" wrapText="1"/>
    </xf>
    <xf numFmtId="0" fontId="0" fillId="0" borderId="10" xfId="0" applyBorder="1" applyAlignment="1">
      <alignment wrapText="1"/>
    </xf>
    <xf numFmtId="0" fontId="0" fillId="0" borderId="45" xfId="0" applyBorder="1" applyAlignment="1">
      <alignment wrapText="1"/>
    </xf>
    <xf numFmtId="0" fontId="10" fillId="0" borderId="0" xfId="22" applyAlignment="1" applyProtection="1"/>
    <xf numFmtId="0" fontId="10" fillId="0" borderId="0" xfId="22" applyBorder="1" applyAlignment="1" applyProtection="1"/>
    <xf numFmtId="0" fontId="3" fillId="35" borderId="0" xfId="0" applyFont="1" applyFill="1"/>
    <xf numFmtId="0" fontId="0" fillId="35" borderId="0" xfId="0" applyFill="1"/>
    <xf numFmtId="0" fontId="10" fillId="0" borderId="0" xfId="22" applyAlignment="1" applyProtection="1">
      <alignment horizontal="center" vertical="center"/>
    </xf>
    <xf numFmtId="0" fontId="10" fillId="35" borderId="0" xfId="22" applyFill="1" applyBorder="1" applyAlignment="1" applyProtection="1"/>
    <xf numFmtId="0" fontId="38" fillId="0" borderId="15" xfId="0" applyFont="1" applyBorder="1" applyAlignment="1">
      <alignment horizontal="center" vertical="center"/>
    </xf>
    <xf numFmtId="0" fontId="0" fillId="0" borderId="16" xfId="0" applyBorder="1" applyAlignment="1">
      <alignment horizontal="center" vertical="center"/>
    </xf>
    <xf numFmtId="0" fontId="3" fillId="0" borderId="15" xfId="0" applyFont="1" applyBorder="1" applyAlignment="1">
      <alignment horizontal="center" vertical="center" wrapText="1"/>
    </xf>
    <xf numFmtId="0" fontId="0" fillId="0" borderId="16" xfId="0" applyBorder="1" applyAlignment="1">
      <alignment horizontal="center" vertical="center" wrapText="1"/>
    </xf>
    <xf numFmtId="0" fontId="4" fillId="0" borderId="76" xfId="45" applyFont="1" applyBorder="1" applyAlignment="1">
      <alignment horizontal="left" vertical="center"/>
    </xf>
    <xf numFmtId="0" fontId="3" fillId="0" borderId="76" xfId="45" applyBorder="1" applyAlignment="1">
      <alignment horizontal="left" vertical="center"/>
    </xf>
    <xf numFmtId="0" fontId="58" fillId="0" borderId="84" xfId="45" applyFont="1" applyBorder="1" applyAlignment="1">
      <alignment horizontal="center" vertical="center" wrapText="1"/>
    </xf>
    <xf numFmtId="0" fontId="58" fillId="0" borderId="76" xfId="45" applyFont="1" applyBorder="1" applyAlignment="1">
      <alignment horizontal="center" vertical="center" wrapText="1"/>
    </xf>
    <xf numFmtId="0" fontId="58" fillId="0" borderId="77" xfId="45" applyFont="1" applyBorder="1" applyAlignment="1">
      <alignment horizontal="center" vertical="center" wrapText="1"/>
    </xf>
    <xf numFmtId="0" fontId="58" fillId="0" borderId="12" xfId="45" applyFont="1" applyBorder="1" applyAlignment="1">
      <alignment horizontal="center" vertical="center" wrapText="1"/>
    </xf>
    <xf numFmtId="0" fontId="58" fillId="0" borderId="11" xfId="45" applyFont="1" applyBorder="1" applyAlignment="1">
      <alignment horizontal="center" vertical="center" wrapText="1"/>
    </xf>
    <xf numFmtId="0" fontId="58" fillId="42" borderId="12" xfId="45" applyFont="1" applyFill="1" applyBorder="1" applyAlignment="1">
      <alignment horizontal="center" vertical="center"/>
    </xf>
    <xf numFmtId="0" fontId="58" fillId="42" borderId="59" xfId="45" applyFont="1" applyFill="1" applyBorder="1" applyAlignment="1">
      <alignment horizontal="center" vertical="center"/>
    </xf>
    <xf numFmtId="0" fontId="58" fillId="42" borderId="84" xfId="45" applyFont="1" applyFill="1" applyBorder="1" applyAlignment="1">
      <alignment horizontal="center" vertical="center"/>
    </xf>
    <xf numFmtId="0" fontId="58" fillId="42" borderId="76" xfId="45" applyFont="1" applyFill="1" applyBorder="1" applyAlignment="1">
      <alignment horizontal="center" vertical="center"/>
    </xf>
    <xf numFmtId="0" fontId="58" fillId="42" borderId="77" xfId="45" applyFont="1" applyFill="1" applyBorder="1" applyAlignment="1">
      <alignment horizontal="center" vertical="center"/>
    </xf>
    <xf numFmtId="0" fontId="58" fillId="42" borderId="11" xfId="45" applyFont="1" applyFill="1" applyBorder="1" applyAlignment="1">
      <alignment horizontal="center" vertical="center"/>
    </xf>
    <xf numFmtId="0" fontId="4" fillId="0" borderId="75" xfId="45" applyFont="1" applyBorder="1" applyAlignment="1">
      <alignment horizontal="left" vertical="center"/>
    </xf>
    <xf numFmtId="0" fontId="4" fillId="0" borderId="76" xfId="45" applyFont="1" applyBorder="1" applyAlignment="1">
      <alignment horizontal="left"/>
    </xf>
    <xf numFmtId="0" fontId="3" fillId="0" borderId="76" xfId="45" applyBorder="1" applyAlignment="1">
      <alignment horizontal="left"/>
    </xf>
    <xf numFmtId="0" fontId="3" fillId="0" borderId="11" xfId="45" applyBorder="1" applyAlignment="1">
      <alignment horizontal="left" vertical="center"/>
    </xf>
    <xf numFmtId="0" fontId="3" fillId="0" borderId="59" xfId="45" applyBorder="1" applyAlignment="1">
      <alignment horizontal="left" vertical="center"/>
    </xf>
    <xf numFmtId="0" fontId="43" fillId="34" borderId="14" xfId="0" applyFont="1" applyFill="1" applyBorder="1" applyAlignment="1">
      <alignment vertical="center" wrapText="1"/>
    </xf>
    <xf numFmtId="49" fontId="60" fillId="0" borderId="17" xfId="45" applyNumberFormat="1" applyFont="1" applyBorder="1"/>
    <xf numFmtId="49" fontId="60" fillId="0" borderId="67" xfId="45" applyNumberFormat="1" applyFont="1" applyBorder="1"/>
    <xf numFmtId="49" fontId="60" fillId="0" borderId="19" xfId="45" applyNumberFormat="1" applyFont="1" applyBorder="1"/>
    <xf numFmtId="49" fontId="9" fillId="0" borderId="17" xfId="45" applyNumberFormat="1" applyFont="1" applyBorder="1"/>
    <xf numFmtId="49" fontId="9" fillId="0" borderId="67" xfId="45" applyNumberFormat="1" applyFont="1" applyBorder="1"/>
    <xf numFmtId="49" fontId="9" fillId="0" borderId="19" xfId="45" applyNumberFormat="1" applyFont="1" applyBorder="1"/>
    <xf numFmtId="49" fontId="9" fillId="35" borderId="17" xfId="45" applyNumberFormat="1" applyFont="1" applyFill="1" applyBorder="1"/>
    <xf numFmtId="49" fontId="9" fillId="35" borderId="67" xfId="45" applyNumberFormat="1" applyFont="1" applyFill="1" applyBorder="1"/>
    <xf numFmtId="49" fontId="9" fillId="35" borderId="19" xfId="45" applyNumberFormat="1" applyFont="1" applyFill="1" applyBorder="1"/>
    <xf numFmtId="49" fontId="109" fillId="35" borderId="17" xfId="45" applyNumberFormat="1" applyFont="1" applyFill="1" applyBorder="1"/>
    <xf numFmtId="49" fontId="109" fillId="35" borderId="67" xfId="45" applyNumberFormat="1" applyFont="1" applyFill="1" applyBorder="1"/>
    <xf numFmtId="49" fontId="109" fillId="35" borderId="19" xfId="45" applyNumberFormat="1" applyFont="1" applyFill="1" applyBorder="1"/>
    <xf numFmtId="49" fontId="109" fillId="0" borderId="17" xfId="45" applyNumberFormat="1" applyFont="1" applyBorder="1"/>
    <xf numFmtId="49" fontId="109" fillId="0" borderId="67" xfId="45" applyNumberFormat="1" applyFont="1" applyBorder="1"/>
    <xf numFmtId="49" fontId="109" fillId="0" borderId="19" xfId="45" applyNumberFormat="1" applyFont="1" applyBorder="1"/>
    <xf numFmtId="49" fontId="47" fillId="0" borderId="17" xfId="45" applyNumberFormat="1" applyFont="1" applyBorder="1"/>
    <xf numFmtId="49" fontId="47" fillId="0" borderId="67" xfId="45" applyNumberFormat="1" applyFont="1" applyBorder="1"/>
    <xf numFmtId="49" fontId="47" fillId="0" borderId="19" xfId="45" applyNumberFormat="1" applyFont="1" applyBorder="1"/>
    <xf numFmtId="49" fontId="8" fillId="42" borderId="17" xfId="45" applyNumberFormat="1" applyFont="1" applyFill="1" applyBorder="1" applyAlignment="1">
      <alignment horizontal="center" vertical="center" wrapText="1"/>
    </xf>
    <xf numFmtId="49" fontId="8" fillId="42" borderId="67" xfId="45" applyNumberFormat="1" applyFont="1" applyFill="1" applyBorder="1" applyAlignment="1">
      <alignment horizontal="center" vertical="center" wrapText="1"/>
    </xf>
    <xf numFmtId="49" fontId="8" fillId="42" borderId="19" xfId="45" applyNumberFormat="1" applyFont="1" applyFill="1" applyBorder="1" applyAlignment="1">
      <alignment horizontal="center" vertical="center" wrapText="1"/>
    </xf>
    <xf numFmtId="0" fontId="9" fillId="25" borderId="70" xfId="0" applyFont="1" applyFill="1" applyBorder="1" applyAlignment="1">
      <alignment horizontal="center" vertical="center" wrapText="1"/>
    </xf>
    <xf numFmtId="0" fontId="9" fillId="25" borderId="54" xfId="0" applyFont="1" applyFill="1" applyBorder="1" applyAlignment="1">
      <alignment horizontal="center" vertical="center" wrapText="1"/>
    </xf>
    <xf numFmtId="0" fontId="0" fillId="25" borderId="54" xfId="0" applyFill="1" applyBorder="1" applyAlignment="1">
      <alignment horizontal="center" vertical="center" wrapText="1"/>
    </xf>
    <xf numFmtId="0" fontId="8" fillId="24" borderId="73" xfId="0" applyFont="1" applyFill="1" applyBorder="1" applyAlignment="1">
      <alignment horizontal="center" vertical="center" wrapText="1"/>
    </xf>
    <xf numFmtId="0" fontId="8" fillId="24" borderId="71" xfId="0" applyFont="1" applyFill="1" applyBorder="1" applyAlignment="1">
      <alignment horizontal="center" vertical="center" wrapText="1"/>
    </xf>
    <xf numFmtId="0" fontId="8" fillId="24" borderId="38" xfId="0" applyFont="1" applyFill="1" applyBorder="1" applyAlignment="1">
      <alignment horizontal="center" vertical="center" wrapText="1"/>
    </xf>
    <xf numFmtId="0" fontId="38" fillId="27" borderId="65" xfId="0" applyFont="1" applyFill="1" applyBorder="1" applyAlignment="1">
      <alignment wrapText="1"/>
    </xf>
    <xf numFmtId="0" fontId="38" fillId="27" borderId="79" xfId="0" applyFont="1" applyFill="1" applyBorder="1" applyAlignment="1">
      <alignment wrapText="1"/>
    </xf>
    <xf numFmtId="0" fontId="9" fillId="43" borderId="70" xfId="0" applyFont="1" applyFill="1" applyBorder="1" applyAlignment="1">
      <alignment horizontal="center" vertical="center" wrapText="1"/>
    </xf>
    <xf numFmtId="0" fontId="0" fillId="43" borderId="54" xfId="0" applyFill="1" applyBorder="1" applyAlignment="1">
      <alignment horizontal="center" vertical="center" wrapText="1"/>
    </xf>
    <xf numFmtId="0" fontId="9" fillId="40" borderId="70" xfId="0" applyFont="1" applyFill="1" applyBorder="1" applyAlignment="1">
      <alignment horizontal="center" vertical="center" wrapText="1"/>
    </xf>
    <xf numFmtId="0" fontId="0" fillId="40" borderId="54" xfId="0" applyFill="1" applyBorder="1" applyAlignment="1">
      <alignment horizontal="center" vertical="center" wrapText="1"/>
    </xf>
    <xf numFmtId="0" fontId="41" fillId="27" borderId="73" xfId="0" applyFont="1" applyFill="1" applyBorder="1" applyAlignment="1">
      <alignment horizontal="center" vertical="center" wrapText="1"/>
    </xf>
    <xf numFmtId="0" fontId="41" fillId="27" borderId="71" xfId="0" applyFont="1" applyFill="1" applyBorder="1" applyAlignment="1">
      <alignment horizontal="center" vertical="center" wrapText="1"/>
    </xf>
    <xf numFmtId="0" fontId="41" fillId="27" borderId="38" xfId="0" applyFont="1" applyFill="1" applyBorder="1" applyAlignment="1">
      <alignment horizontal="center" vertical="center" wrapText="1"/>
    </xf>
    <xf numFmtId="0" fontId="0" fillId="0" borderId="71" xfId="0" applyBorder="1" applyAlignment="1">
      <alignment horizontal="center" vertical="center" wrapText="1"/>
    </xf>
    <xf numFmtId="0" fontId="0" fillId="0" borderId="54" xfId="0" applyBorder="1" applyAlignment="1">
      <alignment horizontal="center" vertical="center" wrapText="1"/>
    </xf>
    <xf numFmtId="0" fontId="9" fillId="28" borderId="70" xfId="0" applyFont="1" applyFill="1" applyBorder="1" applyAlignment="1">
      <alignment horizontal="center" vertical="center" wrapText="1"/>
    </xf>
    <xf numFmtId="0" fontId="5" fillId="25" borderId="70" xfId="0" applyFont="1" applyFill="1" applyBorder="1" applyAlignment="1">
      <alignment horizontal="center" vertical="center" wrapText="1"/>
    </xf>
    <xf numFmtId="0" fontId="38" fillId="25" borderId="54" xfId="0" applyFont="1" applyFill="1" applyBorder="1" applyAlignment="1">
      <alignment horizontal="center" vertical="center" wrapText="1"/>
    </xf>
    <xf numFmtId="0" fontId="5" fillId="28" borderId="70" xfId="0" applyFont="1" applyFill="1" applyBorder="1" applyAlignment="1">
      <alignment horizontal="center" vertical="center" wrapText="1"/>
    </xf>
    <xf numFmtId="0" fontId="38" fillId="28" borderId="54" xfId="0" applyFont="1" applyFill="1" applyBorder="1" applyAlignment="1">
      <alignment horizontal="center" vertical="center" wrapText="1"/>
    </xf>
    <xf numFmtId="0" fontId="9" fillId="43" borderId="54" xfId="0" applyFont="1" applyFill="1" applyBorder="1" applyAlignment="1">
      <alignment horizontal="center" vertical="center" wrapText="1"/>
    </xf>
    <xf numFmtId="0" fontId="9" fillId="40" borderId="81" xfId="0" applyFont="1" applyFill="1" applyBorder="1" applyAlignment="1">
      <alignment horizontal="center" vertical="center" wrapText="1"/>
    </xf>
    <xf numFmtId="0" fontId="9" fillId="43" borderId="109" xfId="0" applyFont="1" applyFill="1" applyBorder="1" applyAlignment="1">
      <alignment horizontal="center" vertical="center" wrapText="1"/>
    </xf>
    <xf numFmtId="0" fontId="9" fillId="43" borderId="31" xfId="0" applyFont="1" applyFill="1" applyBorder="1" applyAlignment="1">
      <alignment horizontal="center" vertical="center" wrapText="1"/>
    </xf>
    <xf numFmtId="0" fontId="9" fillId="43" borderId="71" xfId="0" applyFont="1" applyFill="1" applyBorder="1" applyAlignment="1">
      <alignment horizontal="center" vertical="center" wrapText="1"/>
    </xf>
    <xf numFmtId="0" fontId="9" fillId="43" borderId="81" xfId="0" applyFont="1" applyFill="1" applyBorder="1" applyAlignment="1">
      <alignment horizontal="center" vertical="center" wrapText="1"/>
    </xf>
    <xf numFmtId="0" fontId="9" fillId="40" borderId="54" xfId="0" applyFont="1" applyFill="1" applyBorder="1" applyAlignment="1">
      <alignment horizontal="center" vertical="center" wrapText="1"/>
    </xf>
    <xf numFmtId="0" fontId="9" fillId="40" borderId="71" xfId="0" applyFont="1" applyFill="1" applyBorder="1" applyAlignment="1">
      <alignment horizontal="center" vertical="center" wrapText="1"/>
    </xf>
    <xf numFmtId="0" fontId="8" fillId="55" borderId="57" xfId="0" applyFont="1" applyFill="1" applyBorder="1" applyAlignment="1">
      <alignment horizontal="center" vertical="center" wrapText="1"/>
    </xf>
    <xf numFmtId="0" fontId="8" fillId="55" borderId="32" xfId="0" applyFont="1" applyFill="1" applyBorder="1" applyAlignment="1">
      <alignment horizontal="center" vertical="center" wrapText="1"/>
    </xf>
    <xf numFmtId="0" fontId="9" fillId="28" borderId="54" xfId="0" applyFont="1" applyFill="1" applyBorder="1" applyAlignment="1">
      <alignment horizontal="center" vertical="center" wrapText="1"/>
    </xf>
    <xf numFmtId="0" fontId="9" fillId="28" borderId="71" xfId="0" applyFont="1" applyFill="1" applyBorder="1" applyAlignment="1">
      <alignment horizontal="center" vertical="center" wrapText="1"/>
    </xf>
    <xf numFmtId="0" fontId="8" fillId="25" borderId="70" xfId="0" applyFont="1" applyFill="1" applyBorder="1" applyAlignment="1">
      <alignment horizontal="center" vertical="center" wrapText="1"/>
    </xf>
    <xf numFmtId="0" fontId="59" fillId="25" borderId="54" xfId="0" applyFont="1" applyFill="1" applyBorder="1" applyAlignment="1">
      <alignment horizontal="center" vertical="center" wrapText="1"/>
    </xf>
    <xf numFmtId="0" fontId="0" fillId="28" borderId="54" xfId="0" applyFill="1" applyBorder="1" applyAlignment="1">
      <alignment horizontal="center" vertical="center" wrapText="1"/>
    </xf>
    <xf numFmtId="49" fontId="9" fillId="25" borderId="70" xfId="0" applyNumberFormat="1" applyFont="1" applyFill="1" applyBorder="1" applyAlignment="1">
      <alignment horizontal="center" vertical="center" wrapText="1"/>
    </xf>
    <xf numFmtId="49" fontId="9" fillId="25" borderId="54" xfId="0" applyNumberFormat="1" applyFont="1" applyFill="1" applyBorder="1" applyAlignment="1">
      <alignment horizontal="center" vertical="center" wrapText="1"/>
    </xf>
    <xf numFmtId="0" fontId="9" fillId="25" borderId="70" xfId="0" quotePrefix="1" applyFont="1" applyFill="1" applyBorder="1" applyAlignment="1">
      <alignment horizontal="center" vertical="center" wrapText="1"/>
    </xf>
    <xf numFmtId="0" fontId="9" fillId="25" borderId="81" xfId="0" applyFont="1" applyFill="1" applyBorder="1" applyAlignment="1">
      <alignment horizontal="center" vertical="center" wrapText="1"/>
    </xf>
    <xf numFmtId="0" fontId="9" fillId="28" borderId="81" xfId="0" applyFont="1" applyFill="1" applyBorder="1" applyAlignment="1">
      <alignment horizontal="center" vertical="center" wrapText="1"/>
    </xf>
    <xf numFmtId="49" fontId="9" fillId="28" borderId="70" xfId="0" applyNumberFormat="1" applyFont="1" applyFill="1" applyBorder="1" applyAlignment="1">
      <alignment horizontal="center" vertical="center" wrapText="1"/>
    </xf>
    <xf numFmtId="49" fontId="9" fillId="28" borderId="54" xfId="0" applyNumberFormat="1" applyFont="1" applyFill="1" applyBorder="1" applyAlignment="1">
      <alignment horizontal="center" vertical="center" wrapText="1"/>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14" xfId="0" applyBorder="1" applyAlignment="1">
      <alignment horizontal="center" vertical="center"/>
    </xf>
    <xf numFmtId="0" fontId="38" fillId="47" borderId="17" xfId="0" applyFont="1" applyFill="1" applyBorder="1" applyAlignment="1">
      <alignment horizontal="center" vertical="center" wrapText="1"/>
    </xf>
    <xf numFmtId="0" fontId="0" fillId="0" borderId="67" xfId="0" applyBorder="1" applyAlignment="1">
      <alignment horizontal="center" vertical="center" wrapText="1"/>
    </xf>
    <xf numFmtId="0" fontId="8" fillId="25" borderId="22" xfId="0" applyFont="1" applyFill="1" applyBorder="1" applyAlignment="1">
      <alignment horizontal="center" vertical="center" wrapText="1"/>
    </xf>
    <xf numFmtId="0" fontId="0" fillId="0" borderId="45" xfId="0" applyBorder="1" applyAlignment="1">
      <alignment horizontal="center" vertical="center" wrapText="1"/>
    </xf>
    <xf numFmtId="49" fontId="8" fillId="25" borderId="16" xfId="0" applyNumberFormat="1" applyFont="1" applyFill="1" applyBorder="1" applyAlignment="1">
      <alignment horizontal="center" vertical="center" wrapText="1"/>
    </xf>
    <xf numFmtId="0" fontId="60" fillId="0" borderId="17" xfId="0" applyFont="1" applyBorder="1" applyAlignment="1">
      <alignment horizontal="center" vertical="center"/>
    </xf>
    <xf numFmtId="0" fontId="8" fillId="25" borderId="17" xfId="0" applyFont="1" applyFill="1" applyBorder="1" applyAlignment="1">
      <alignment horizontal="center" vertical="center" wrapText="1"/>
    </xf>
    <xf numFmtId="0" fontId="0" fillId="0" borderId="19" xfId="0" applyBorder="1" applyAlignment="1">
      <alignment horizontal="center" vertical="center" wrapText="1"/>
    </xf>
    <xf numFmtId="49" fontId="8" fillId="25" borderId="17" xfId="0" applyNumberFormat="1" applyFont="1" applyFill="1" applyBorder="1" applyAlignment="1">
      <alignment horizontal="center" vertical="center" wrapText="1"/>
    </xf>
    <xf numFmtId="0" fontId="0" fillId="0" borderId="67" xfId="0" applyBorder="1" applyAlignment="1">
      <alignment horizontal="center" wrapText="1"/>
    </xf>
    <xf numFmtId="0" fontId="0" fillId="0" borderId="17" xfId="0" applyBorder="1"/>
    <xf numFmtId="0" fontId="0" fillId="0" borderId="19" xfId="0" applyBorder="1"/>
    <xf numFmtId="0" fontId="0" fillId="0" borderId="14" xfId="0" applyBorder="1"/>
    <xf numFmtId="0" fontId="3" fillId="0" borderId="17" xfId="0" applyFont="1" applyBorder="1"/>
    <xf numFmtId="0" fontId="38" fillId="49" borderId="17" xfId="0" applyFont="1" applyFill="1" applyBorder="1" applyAlignment="1">
      <alignment horizontal="center" vertical="center"/>
    </xf>
    <xf numFmtId="0" fontId="38" fillId="49" borderId="67" xfId="0" applyFont="1" applyFill="1" applyBorder="1" applyAlignment="1">
      <alignment horizontal="center" vertical="center"/>
    </xf>
    <xf numFmtId="0" fontId="38" fillId="49" borderId="19" xfId="0" applyFont="1" applyFill="1" applyBorder="1" applyAlignment="1">
      <alignment horizontal="center" vertical="center"/>
    </xf>
    <xf numFmtId="0" fontId="9" fillId="25" borderId="14" xfId="0" applyFont="1" applyFill="1" applyBorder="1" applyAlignment="1">
      <alignment horizontal="center" vertical="center" wrapText="1"/>
    </xf>
    <xf numFmtId="0" fontId="9" fillId="25" borderId="15" xfId="0" applyFont="1" applyFill="1" applyBorder="1" applyAlignment="1">
      <alignment horizontal="center" vertical="center" wrapText="1"/>
    </xf>
    <xf numFmtId="0" fontId="9" fillId="25" borderId="16" xfId="0" applyFont="1" applyFill="1" applyBorder="1" applyAlignment="1">
      <alignment horizontal="center" vertical="center" wrapText="1"/>
    </xf>
    <xf numFmtId="0" fontId="46" fillId="25" borderId="15" xfId="0" applyFont="1" applyFill="1" applyBorder="1" applyAlignment="1">
      <alignment horizontal="center" vertical="center" wrapText="1"/>
    </xf>
    <xf numFmtId="0" fontId="46" fillId="25" borderId="24" xfId="0" applyFont="1" applyFill="1" applyBorder="1" applyAlignment="1">
      <alignment horizontal="center" vertical="center" wrapText="1"/>
    </xf>
    <xf numFmtId="0" fontId="46" fillId="25" borderId="16" xfId="0" applyFont="1" applyFill="1" applyBorder="1" applyAlignment="1">
      <alignment horizontal="center" vertical="center" wrapText="1"/>
    </xf>
    <xf numFmtId="0" fontId="48" fillId="25" borderId="14" xfId="0" applyFont="1" applyFill="1" applyBorder="1" applyAlignment="1">
      <alignment horizontal="center" vertical="center" wrapText="1"/>
    </xf>
    <xf numFmtId="0" fontId="9" fillId="25" borderId="14" xfId="0" quotePrefix="1" applyFont="1" applyFill="1" applyBorder="1" applyAlignment="1">
      <alignment horizontal="center" vertical="center" wrapText="1"/>
    </xf>
    <xf numFmtId="49" fontId="9" fillId="25" borderId="14" xfId="0" applyNumberFormat="1" applyFont="1" applyFill="1" applyBorder="1" applyAlignment="1">
      <alignment horizontal="center" vertical="center" wrapText="1"/>
    </xf>
    <xf numFmtId="0" fontId="10" fillId="0" borderId="14" xfId="22" applyBorder="1" applyAlignment="1" applyProtection="1">
      <alignment horizontal="center" vertical="center" wrapText="1"/>
    </xf>
    <xf numFmtId="0" fontId="9" fillId="35" borderId="14" xfId="0" applyFont="1" applyFill="1" applyBorder="1" applyAlignment="1">
      <alignment horizontal="center" vertical="center" wrapText="1"/>
    </xf>
    <xf numFmtId="0" fontId="10" fillId="35" borderId="14" xfId="22" applyFill="1" applyBorder="1" applyAlignment="1" applyProtection="1">
      <alignment horizontal="center" vertical="center" wrapText="1"/>
    </xf>
    <xf numFmtId="0" fontId="9" fillId="0" borderId="14" xfId="0" applyFont="1" applyBorder="1" applyAlignment="1">
      <alignment horizontal="center" vertical="center" wrapText="1"/>
    </xf>
    <xf numFmtId="0" fontId="10" fillId="35" borderId="15" xfId="22" applyFill="1" applyBorder="1" applyAlignment="1" applyProtection="1">
      <alignment horizontal="center" vertical="center" wrapText="1"/>
    </xf>
    <xf numFmtId="0" fontId="10" fillId="35" borderId="24" xfId="22" applyFill="1" applyBorder="1" applyAlignment="1" applyProtection="1">
      <alignment horizontal="center" vertical="center" wrapText="1"/>
    </xf>
    <xf numFmtId="0" fontId="10" fillId="0" borderId="24" xfId="22" applyBorder="1" applyAlignment="1" applyProtection="1">
      <alignment horizontal="center" vertical="center" wrapText="1"/>
    </xf>
    <xf numFmtId="0" fontId="10" fillId="0" borderId="16" xfId="22" applyBorder="1" applyAlignment="1" applyProtection="1">
      <alignment horizontal="center" vertical="center" wrapText="1"/>
    </xf>
    <xf numFmtId="0" fontId="9" fillId="0" borderId="14" xfId="0" quotePrefix="1" applyFont="1" applyBorder="1" applyAlignment="1">
      <alignment horizontal="center" vertical="center" wrapText="1"/>
    </xf>
    <xf numFmtId="0" fontId="11" fillId="25" borderId="63" xfId="0" applyFont="1" applyFill="1" applyBorder="1" applyAlignment="1">
      <alignment horizontal="center" wrapText="1"/>
    </xf>
    <xf numFmtId="0" fontId="0" fillId="0" borderId="64" xfId="0" applyBorder="1" applyAlignment="1">
      <alignment horizontal="center" wrapText="1"/>
    </xf>
    <xf numFmtId="0" fontId="43" fillId="43" borderId="14" xfId="0" applyFont="1" applyFill="1" applyBorder="1" applyAlignment="1">
      <alignment horizontal="center" vertical="center"/>
    </xf>
    <xf numFmtId="0" fontId="43" fillId="45" borderId="14" xfId="0" applyFont="1" applyFill="1" applyBorder="1" applyAlignment="1">
      <alignment horizontal="center" vertical="center"/>
    </xf>
    <xf numFmtId="0" fontId="5" fillId="0" borderId="17" xfId="0" applyFont="1" applyBorder="1" applyAlignment="1">
      <alignment horizontal="center" vertical="center" wrapText="1"/>
    </xf>
    <xf numFmtId="0" fontId="5" fillId="0" borderId="19" xfId="0" applyFont="1" applyBorder="1" applyAlignment="1">
      <alignment horizontal="center" vertical="center" wrapText="1"/>
    </xf>
    <xf numFmtId="14" fontId="10" fillId="35" borderId="17" xfId="22" applyNumberFormat="1" applyFill="1" applyBorder="1" applyAlignment="1" applyProtection="1">
      <alignment horizontal="center"/>
    </xf>
    <xf numFmtId="0" fontId="10" fillId="35" borderId="19" xfId="22" applyFill="1" applyBorder="1" applyAlignment="1" applyProtection="1">
      <alignment horizontal="center"/>
    </xf>
    <xf numFmtId="14" fontId="38" fillId="34" borderId="17" xfId="0" applyNumberFormat="1" applyFont="1" applyFill="1" applyBorder="1" applyAlignment="1">
      <alignment horizontal="center"/>
    </xf>
    <xf numFmtId="0" fontId="38" fillId="34" borderId="19" xfId="0" applyFont="1" applyFill="1" applyBorder="1" applyAlignment="1">
      <alignment horizontal="center"/>
    </xf>
    <xf numFmtId="0" fontId="11" fillId="25" borderId="0" xfId="0" applyFont="1" applyFill="1" applyAlignment="1">
      <alignment horizontal="center"/>
    </xf>
    <xf numFmtId="0" fontId="0" fillId="0" borderId="0" xfId="0" applyAlignment="1">
      <alignment horizontal="center"/>
    </xf>
    <xf numFmtId="0" fontId="0" fillId="0" borderId="0" xfId="0"/>
    <xf numFmtId="0" fontId="0" fillId="0" borderId="14" xfId="0" applyBorder="1" applyAlignment="1">
      <alignment horizontal="center"/>
    </xf>
    <xf numFmtId="0" fontId="38" fillId="0" borderId="14" xfId="0" applyFont="1" applyBorder="1" applyAlignment="1">
      <alignment horizontal="center" vertical="center" wrapText="1"/>
    </xf>
    <xf numFmtId="0" fontId="4" fillId="25" borderId="17" xfId="48" applyFont="1" applyFill="1" applyBorder="1" applyAlignment="1">
      <alignment horizontal="center" vertical="center"/>
    </xf>
    <xf numFmtId="0" fontId="4" fillId="25" borderId="19" xfId="48" applyFont="1" applyFill="1" applyBorder="1" applyAlignment="1">
      <alignment horizontal="center" vertical="center"/>
    </xf>
    <xf numFmtId="0" fontId="1" fillId="0" borderId="15" xfId="48" applyBorder="1" applyAlignment="1">
      <alignment horizontal="center" vertical="center"/>
    </xf>
    <xf numFmtId="0" fontId="1" fillId="0" borderId="16" xfId="48" applyBorder="1" applyAlignment="1">
      <alignment horizontal="center" vertical="center"/>
    </xf>
    <xf numFmtId="0" fontId="1" fillId="0" borderId="15" xfId="48" applyBorder="1" applyAlignment="1">
      <alignment horizontal="center" vertical="center" wrapText="1"/>
    </xf>
    <xf numFmtId="0" fontId="1" fillId="0" borderId="24" xfId="48" applyBorder="1" applyAlignment="1">
      <alignment horizontal="center" vertical="center" wrapText="1"/>
    </xf>
    <xf numFmtId="0" fontId="1" fillId="0" borderId="16" xfId="48" applyBorder="1" applyAlignment="1">
      <alignment horizontal="center" vertical="center" wrapText="1"/>
    </xf>
    <xf numFmtId="0" fontId="5" fillId="25" borderId="15" xfId="48" applyFont="1" applyFill="1" applyBorder="1" applyAlignment="1">
      <alignment horizontal="center" vertical="center" wrapText="1"/>
    </xf>
    <xf numFmtId="0" fontId="5" fillId="25" borderId="16" xfId="48" applyFont="1" applyFill="1" applyBorder="1" applyAlignment="1">
      <alignment horizontal="center" vertical="center" wrapText="1"/>
    </xf>
    <xf numFmtId="0" fontId="10" fillId="25" borderId="15" xfId="22" applyFill="1" applyBorder="1" applyAlignment="1" applyProtection="1">
      <alignment horizontal="center" vertical="center" wrapText="1"/>
    </xf>
    <xf numFmtId="0" fontId="10" fillId="25" borderId="16" xfId="22" applyFill="1" applyBorder="1" applyAlignment="1" applyProtection="1">
      <alignment horizontal="center" vertical="center" wrapText="1"/>
    </xf>
    <xf numFmtId="0" fontId="10" fillId="27" borderId="15" xfId="22" applyFill="1" applyBorder="1" applyAlignment="1" applyProtection="1">
      <alignment horizontal="center" vertical="center" wrapText="1"/>
    </xf>
    <xf numFmtId="0" fontId="10" fillId="27" borderId="16" xfId="22" applyFill="1" applyBorder="1" applyAlignment="1" applyProtection="1">
      <alignment horizontal="center" vertical="center" wrapText="1"/>
    </xf>
    <xf numFmtId="0" fontId="5" fillId="32" borderId="15" xfId="48" applyFont="1" applyFill="1" applyBorder="1" applyAlignment="1">
      <alignment horizontal="center" vertical="center" wrapText="1"/>
    </xf>
    <xf numFmtId="0" fontId="5" fillId="32" borderId="16" xfId="48" applyFont="1" applyFill="1" applyBorder="1" applyAlignment="1">
      <alignment horizontal="center" vertical="center" wrapText="1"/>
    </xf>
    <xf numFmtId="0" fontId="38" fillId="32" borderId="15" xfId="22" applyFont="1" applyFill="1" applyBorder="1" applyAlignment="1" applyProtection="1">
      <alignment horizontal="center" vertical="center" wrapText="1"/>
    </xf>
    <xf numFmtId="0" fontId="38" fillId="32" borderId="16" xfId="22" applyFont="1" applyFill="1" applyBorder="1" applyAlignment="1" applyProtection="1">
      <alignment horizontal="center" vertical="center" wrapText="1"/>
    </xf>
    <xf numFmtId="0" fontId="43" fillId="25" borderId="82" xfId="0" applyFont="1" applyFill="1" applyBorder="1" applyAlignment="1">
      <alignment vertical="center"/>
    </xf>
    <xf numFmtId="0" fontId="0" fillId="25" borderId="83" xfId="0" applyFill="1" applyBorder="1" applyAlignment="1">
      <alignment vertical="center"/>
    </xf>
    <xf numFmtId="0" fontId="38" fillId="0" borderId="14" xfId="0" applyFont="1" applyBorder="1" applyAlignment="1">
      <alignment horizontal="center" vertical="center"/>
    </xf>
    <xf numFmtId="0" fontId="3" fillId="0" borderId="14" xfId="0" applyFont="1" applyBorder="1" applyAlignment="1">
      <alignment wrapText="1"/>
    </xf>
    <xf numFmtId="0" fontId="0" fillId="0" borderId="14" xfId="0" applyBorder="1" applyAlignment="1">
      <alignment wrapText="1"/>
    </xf>
    <xf numFmtId="0" fontId="3" fillId="0" borderId="14" xfId="0" applyFont="1" applyBorder="1"/>
    <xf numFmtId="0" fontId="38" fillId="48" borderId="17" xfId="0" applyFont="1" applyFill="1" applyBorder="1" applyAlignment="1">
      <alignment horizontal="center" vertical="center" wrapText="1"/>
    </xf>
    <xf numFmtId="0" fontId="38" fillId="48" borderId="19" xfId="0" applyFont="1" applyFill="1" applyBorder="1" applyAlignment="1">
      <alignment horizontal="center" vertical="center" wrapText="1"/>
    </xf>
    <xf numFmtId="0" fontId="38" fillId="48" borderId="14" xfId="0" applyFont="1" applyFill="1" applyBorder="1" applyAlignment="1">
      <alignment horizontal="center" vertical="center"/>
    </xf>
    <xf numFmtId="0" fontId="0" fillId="48" borderId="14" xfId="0" applyFill="1" applyBorder="1" applyAlignment="1">
      <alignment horizontal="center" vertical="center"/>
    </xf>
    <xf numFmtId="0" fontId="38" fillId="48" borderId="14" xfId="0" applyFont="1" applyFill="1" applyBorder="1" applyAlignment="1">
      <alignment horizontal="center"/>
    </xf>
    <xf numFmtId="0" fontId="0" fillId="48" borderId="14" xfId="0" applyFill="1" applyBorder="1"/>
    <xf numFmtId="0" fontId="4" fillId="35" borderId="72" xfId="0" applyFont="1" applyFill="1" applyBorder="1" applyAlignment="1">
      <alignment horizontal="center" vertical="center"/>
    </xf>
    <xf numFmtId="0" fontId="0" fillId="0" borderId="113" xfId="0" applyBorder="1" applyAlignment="1">
      <alignment horizontal="center" vertical="center"/>
    </xf>
    <xf numFmtId="0" fontId="4" fillId="35" borderId="29" xfId="0" applyFont="1" applyFill="1" applyBorder="1" applyAlignment="1">
      <alignment horizontal="center" vertical="center"/>
    </xf>
    <xf numFmtId="0" fontId="4" fillId="35" borderId="77" xfId="0" applyFont="1" applyFill="1" applyBorder="1" applyAlignment="1">
      <alignment horizontal="center" vertical="center"/>
    </xf>
    <xf numFmtId="0" fontId="0" fillId="0" borderId="68" xfId="0" applyBorder="1" applyAlignment="1">
      <alignment horizontal="center" vertical="center"/>
    </xf>
    <xf numFmtId="0" fontId="4" fillId="35" borderId="26" xfId="0" applyFont="1" applyFill="1" applyBorder="1" applyAlignment="1">
      <alignment horizontal="center" vertical="center"/>
    </xf>
    <xf numFmtId="0" fontId="0" fillId="0" borderId="52" xfId="0" applyBorder="1" applyAlignment="1">
      <alignment horizontal="center" vertical="center"/>
    </xf>
    <xf numFmtId="0" fontId="0" fillId="0" borderId="65" xfId="0" applyBorder="1" applyAlignment="1">
      <alignment horizontal="center" vertical="center"/>
    </xf>
    <xf numFmtId="0" fontId="5" fillId="0" borderId="46" xfId="0" applyFont="1" applyBorder="1" applyAlignment="1">
      <alignment horizontal="center" vertical="center"/>
    </xf>
    <xf numFmtId="0" fontId="5" fillId="0" borderId="118" xfId="0" applyFont="1" applyBorder="1" applyAlignment="1">
      <alignment horizontal="center" vertical="center"/>
    </xf>
    <xf numFmtId="0" fontId="4" fillId="0" borderId="34" xfId="0" applyFont="1" applyBorder="1" applyAlignment="1">
      <alignment horizontal="center"/>
    </xf>
    <xf numFmtId="0" fontId="4" fillId="0" borderId="61" xfId="0" applyFont="1" applyBorder="1" applyAlignment="1">
      <alignment horizontal="center"/>
    </xf>
    <xf numFmtId="0" fontId="4" fillId="0" borderId="47" xfId="0" applyFont="1" applyBorder="1" applyAlignment="1">
      <alignment horizontal="center"/>
    </xf>
    <xf numFmtId="0" fontId="4" fillId="0" borderId="77" xfId="0" applyFont="1" applyBorder="1" applyAlignment="1">
      <alignment horizontal="center" vertical="center"/>
    </xf>
    <xf numFmtId="0" fontId="4" fillId="0" borderId="26" xfId="0" applyFont="1" applyBorder="1" applyAlignment="1">
      <alignment horizontal="center" vertical="center"/>
    </xf>
    <xf numFmtId="0" fontId="4" fillId="0" borderId="26" xfId="0" applyFont="1" applyBorder="1" applyAlignment="1">
      <alignment horizontal="center" vertical="center" wrapText="1"/>
    </xf>
    <xf numFmtId="0" fontId="4" fillId="35" borderId="84" xfId="0" applyFont="1" applyFill="1" applyBorder="1" applyAlignment="1">
      <alignment horizontal="center" vertical="center"/>
    </xf>
    <xf numFmtId="0" fontId="0" fillId="0" borderId="66" xfId="0" applyBorder="1" applyAlignment="1">
      <alignment horizontal="center" vertical="center"/>
    </xf>
    <xf numFmtId="0" fontId="4" fillId="35" borderId="61" xfId="0" applyFont="1" applyFill="1" applyBorder="1" applyAlignment="1">
      <alignment horizontal="center" vertical="center"/>
    </xf>
    <xf numFmtId="0" fontId="0" fillId="0" borderId="118" xfId="0" applyBorder="1" applyAlignment="1">
      <alignment horizontal="center" vertical="center"/>
    </xf>
    <xf numFmtId="0" fontId="0" fillId="0" borderId="79" xfId="0" applyBorder="1" applyAlignment="1">
      <alignment horizontal="center" vertical="center"/>
    </xf>
    <xf numFmtId="0" fontId="0" fillId="0" borderId="119" xfId="0" applyBorder="1" applyAlignment="1">
      <alignment horizontal="center" vertical="center"/>
    </xf>
    <xf numFmtId="0" fontId="0" fillId="0" borderId="119" xfId="0" applyBorder="1" applyAlignment="1">
      <alignment horizontal="center" vertical="center" wrapText="1"/>
    </xf>
    <xf numFmtId="0" fontId="5" fillId="0" borderId="84" xfId="0" applyFont="1" applyBorder="1" applyAlignment="1">
      <alignment horizontal="center" vertical="center"/>
    </xf>
    <xf numFmtId="0" fontId="4" fillId="0" borderId="66" xfId="0" applyFont="1" applyBorder="1" applyAlignment="1">
      <alignment horizontal="center"/>
    </xf>
    <xf numFmtId="0" fontId="0" fillId="0" borderId="85" xfId="0" applyBorder="1" applyAlignment="1">
      <alignment horizontal="center"/>
    </xf>
    <xf numFmtId="0" fontId="0" fillId="0" borderId="66" xfId="0" applyBorder="1" applyAlignment="1">
      <alignment horizontal="center"/>
    </xf>
    <xf numFmtId="0" fontId="0" fillId="0" borderId="85" xfId="0" applyBorder="1" applyAlignment="1">
      <alignment horizontal="center" vertical="center"/>
    </xf>
    <xf numFmtId="0" fontId="11" fillId="25" borderId="23" xfId="0" applyFont="1" applyFill="1" applyBorder="1" applyAlignment="1">
      <alignment horizontal="center"/>
    </xf>
    <xf numFmtId="0" fontId="5" fillId="0" borderId="46" xfId="0" applyFont="1" applyBorder="1" applyAlignment="1">
      <alignment horizontal="center" vertical="center" wrapText="1"/>
    </xf>
    <xf numFmtId="0" fontId="4" fillId="0" borderId="62" xfId="0" applyFont="1" applyBorder="1" applyAlignment="1">
      <alignment horizontal="center" vertical="center"/>
    </xf>
    <xf numFmtId="0" fontId="5" fillId="0" borderId="47" xfId="0" applyFont="1" applyBorder="1" applyAlignment="1">
      <alignment horizontal="center" vertical="center" wrapText="1"/>
    </xf>
    <xf numFmtId="0" fontId="4" fillId="0" borderId="48" xfId="0" applyFont="1" applyBorder="1" applyAlignment="1">
      <alignment horizontal="center" vertical="center"/>
    </xf>
    <xf numFmtId="0" fontId="92" fillId="47" borderId="72" xfId="0" applyFont="1" applyFill="1" applyBorder="1" applyAlignment="1">
      <alignment horizontal="center"/>
    </xf>
    <xf numFmtId="0" fontId="92" fillId="47" borderId="65" xfId="0" applyFont="1" applyFill="1" applyBorder="1" applyAlignment="1">
      <alignment horizontal="center"/>
    </xf>
    <xf numFmtId="0" fontId="90" fillId="47" borderId="79" xfId="0" applyFont="1" applyFill="1" applyBorder="1" applyAlignment="1">
      <alignment horizontal="center"/>
    </xf>
    <xf numFmtId="0" fontId="17" fillId="0" borderId="72" xfId="0" applyFont="1" applyBorder="1" applyAlignment="1">
      <alignment horizontal="center"/>
    </xf>
    <xf numFmtId="0" fontId="17" fillId="0" borderId="65" xfId="0" applyFont="1" applyBorder="1" applyAlignment="1">
      <alignment horizontal="center"/>
    </xf>
    <xf numFmtId="0" fontId="0" fillId="0" borderId="79" xfId="0" applyBorder="1" applyAlignment="1">
      <alignment horizontal="center"/>
    </xf>
    <xf numFmtId="0" fontId="4" fillId="0" borderId="20" xfId="0" applyFont="1" applyBorder="1" applyAlignment="1">
      <alignment horizontal="center" vertical="center"/>
    </xf>
    <xf numFmtId="0" fontId="0" fillId="0" borderId="21" xfId="0" applyBorder="1" applyAlignment="1">
      <alignment horizontal="center" vertical="center"/>
    </xf>
    <xf numFmtId="0" fontId="0" fillId="0" borderId="65" xfId="0" applyBorder="1"/>
    <xf numFmtId="0" fontId="0" fillId="0" borderId="79" xfId="0" applyBorder="1"/>
    <xf numFmtId="0" fontId="5" fillId="0" borderId="16" xfId="0" applyFont="1" applyBorder="1" applyAlignment="1">
      <alignment horizontal="center" vertical="center" wrapText="1"/>
    </xf>
    <xf numFmtId="0" fontId="0" fillId="0" borderId="35" xfId="0" applyBorder="1" applyAlignment="1">
      <alignment horizontal="center" vertical="center" wrapText="1"/>
    </xf>
    <xf numFmtId="0" fontId="5" fillId="0" borderId="12" xfId="0" applyFont="1" applyBorder="1" applyAlignment="1">
      <alignment horizontal="center" vertical="center" wrapText="1"/>
    </xf>
    <xf numFmtId="0" fontId="0" fillId="0" borderId="57" xfId="0" applyBorder="1" applyAlignment="1">
      <alignment horizontal="center" vertical="center" wrapText="1"/>
    </xf>
    <xf numFmtId="0" fontId="4" fillId="0" borderId="18" xfId="0" applyFont="1" applyBorder="1" applyAlignment="1">
      <alignment horizontal="center"/>
    </xf>
    <xf numFmtId="0" fontId="0" fillId="0" borderId="36" xfId="0" applyBorder="1" applyAlignment="1">
      <alignment horizontal="center"/>
    </xf>
    <xf numFmtId="0" fontId="90" fillId="47" borderId="25" xfId="0" applyFont="1" applyFill="1" applyBorder="1" applyAlignment="1">
      <alignment horizontal="center" vertical="center"/>
    </xf>
    <xf numFmtId="0" fontId="90" fillId="47" borderId="21" xfId="0" applyFont="1" applyFill="1" applyBorder="1" applyAlignment="1">
      <alignment horizontal="center" vertical="center"/>
    </xf>
    <xf numFmtId="0" fontId="93" fillId="47" borderId="16" xfId="0" applyFont="1" applyFill="1" applyBorder="1" applyAlignment="1">
      <alignment horizontal="center" vertical="center" wrapText="1"/>
    </xf>
    <xf numFmtId="0" fontId="90" fillId="47" borderId="35" xfId="0" applyFont="1" applyFill="1" applyBorder="1" applyAlignment="1">
      <alignment horizontal="center" vertical="center" wrapText="1"/>
    </xf>
    <xf numFmtId="0" fontId="90" fillId="47" borderId="14" xfId="0" applyFont="1" applyFill="1" applyBorder="1" applyAlignment="1">
      <alignment horizontal="center"/>
    </xf>
    <xf numFmtId="0" fontId="90" fillId="47" borderId="36" xfId="0" applyFont="1" applyFill="1" applyBorder="1" applyAlignment="1">
      <alignment horizontal="center"/>
    </xf>
    <xf numFmtId="0" fontId="4" fillId="0" borderId="14" xfId="0" applyFont="1" applyBorder="1" applyAlignment="1">
      <alignment horizontal="center"/>
    </xf>
    <xf numFmtId="0" fontId="4" fillId="0" borderId="25" xfId="0" applyFont="1" applyBorder="1" applyAlignment="1">
      <alignment horizontal="center" vertical="center"/>
    </xf>
    <xf numFmtId="0" fontId="4" fillId="0" borderId="86" xfId="0" applyFont="1" applyBorder="1" applyAlignment="1">
      <alignment horizontal="center" vertical="center"/>
    </xf>
    <xf numFmtId="0" fontId="0" fillId="0" borderId="37" xfId="0" applyBorder="1" applyAlignment="1">
      <alignment horizontal="center" vertical="center"/>
    </xf>
    <xf numFmtId="0" fontId="10" fillId="27" borderId="73" xfId="22" applyFill="1" applyBorder="1" applyAlignment="1" applyProtection="1">
      <alignment horizontal="center" vertical="center" wrapText="1"/>
    </xf>
    <xf numFmtId="0" fontId="10" fillId="27" borderId="38" xfId="22" applyFill="1" applyBorder="1" applyAlignment="1" applyProtection="1">
      <alignment horizontal="center" vertical="center"/>
    </xf>
    <xf numFmtId="0" fontId="4" fillId="0" borderId="15" xfId="0" applyFont="1" applyBorder="1" applyAlignment="1">
      <alignment horizontal="center" vertical="center"/>
    </xf>
    <xf numFmtId="0" fontId="4" fillId="0" borderId="24" xfId="0" applyFont="1" applyBorder="1" applyAlignment="1">
      <alignment horizontal="center" vertical="center"/>
    </xf>
    <xf numFmtId="0" fontId="0" fillId="0" borderId="24" xfId="0" applyBorder="1" applyAlignment="1">
      <alignment horizontal="center" vertical="center"/>
    </xf>
    <xf numFmtId="0" fontId="5" fillId="25" borderId="15" xfId="0" applyFont="1" applyFill="1" applyBorder="1" applyAlignment="1">
      <alignment horizontal="center" vertical="center" wrapText="1"/>
    </xf>
    <xf numFmtId="0" fontId="5" fillId="25" borderId="16" xfId="0" applyFont="1" applyFill="1" applyBorder="1" applyAlignment="1">
      <alignment horizontal="center" vertical="center" wrapText="1"/>
    </xf>
    <xf numFmtId="0" fontId="5" fillId="32" borderId="15" xfId="0" applyFont="1" applyFill="1" applyBorder="1" applyAlignment="1">
      <alignment horizontal="center" vertical="center" wrapText="1"/>
    </xf>
    <xf numFmtId="0" fontId="5" fillId="32" borderId="16" xfId="0" applyFont="1" applyFill="1" applyBorder="1" applyAlignment="1">
      <alignment horizontal="center" vertical="center" wrapText="1"/>
    </xf>
    <xf numFmtId="14" fontId="4" fillId="0" borderId="24" xfId="0" applyNumberFormat="1" applyFont="1" applyBorder="1" applyAlignment="1">
      <alignment horizontal="center" vertical="center"/>
    </xf>
    <xf numFmtId="0" fontId="4" fillId="25" borderId="76" xfId="0" applyFont="1" applyFill="1" applyBorder="1" applyAlignment="1">
      <alignment horizontal="center" vertical="center"/>
    </xf>
    <xf numFmtId="0" fontId="4" fillId="25" borderId="114" xfId="0" applyFont="1" applyFill="1" applyBorder="1" applyAlignment="1">
      <alignment horizontal="center" vertical="center"/>
    </xf>
    <xf numFmtId="0" fontId="0" fillId="0" borderId="23" xfId="0" applyBorder="1"/>
    <xf numFmtId="0" fontId="0" fillId="0" borderId="22" xfId="0" applyBorder="1"/>
    <xf numFmtId="14" fontId="4" fillId="0" borderId="15" xfId="0" applyNumberFormat="1" applyFont="1" applyBorder="1" applyAlignment="1">
      <alignment horizontal="center" vertical="center"/>
    </xf>
    <xf numFmtId="0" fontId="4" fillId="0" borderId="16" xfId="0" applyFont="1" applyBorder="1" applyAlignment="1">
      <alignment horizontal="center" vertical="center"/>
    </xf>
    <xf numFmtId="14" fontId="4" fillId="0" borderId="27" xfId="0" applyNumberFormat="1" applyFont="1" applyBorder="1" applyAlignment="1">
      <alignment horizontal="center" vertical="center"/>
    </xf>
    <xf numFmtId="0" fontId="4" fillId="0" borderId="23" xfId="0" applyFont="1" applyBorder="1" applyAlignment="1">
      <alignment horizontal="center" vertical="center"/>
    </xf>
    <xf numFmtId="0" fontId="4" fillId="0" borderId="22" xfId="0" applyFont="1" applyBorder="1" applyAlignment="1">
      <alignment horizontal="center" vertical="center"/>
    </xf>
    <xf numFmtId="0" fontId="4" fillId="0" borderId="23" xfId="0" applyFont="1" applyBorder="1" applyAlignment="1">
      <alignment horizontal="center" vertical="center" wrapText="1"/>
    </xf>
    <xf numFmtId="0" fontId="4" fillId="0" borderId="22" xfId="0" applyFont="1" applyBorder="1" applyAlignment="1">
      <alignment horizontal="center" vertical="center" wrapText="1"/>
    </xf>
    <xf numFmtId="0" fontId="4" fillId="25" borderId="67" xfId="0" applyFont="1" applyFill="1" applyBorder="1" applyAlignment="1">
      <alignment horizontal="center" vertical="center"/>
    </xf>
    <xf numFmtId="0" fontId="4" fillId="0" borderId="15" xfId="0" applyFont="1" applyBorder="1" applyAlignment="1">
      <alignment horizontal="left" vertical="center"/>
    </xf>
    <xf numFmtId="0" fontId="0" fillId="0" borderId="16" xfId="0" applyBorder="1" applyAlignment="1">
      <alignment horizontal="left" vertical="center"/>
    </xf>
    <xf numFmtId="0" fontId="4" fillId="0" borderId="15" xfId="0" quotePrefix="1" applyFont="1" applyBorder="1" applyAlignment="1">
      <alignment horizontal="center" vertical="center"/>
    </xf>
    <xf numFmtId="0" fontId="4" fillId="25" borderId="15" xfId="0" applyFont="1" applyFill="1" applyBorder="1" applyAlignment="1">
      <alignment horizontal="center" vertical="center"/>
    </xf>
    <xf numFmtId="0" fontId="4" fillId="25" borderId="16" xfId="0" applyFont="1" applyFill="1" applyBorder="1" applyAlignment="1">
      <alignment horizontal="center" vertical="center"/>
    </xf>
    <xf numFmtId="0" fontId="4" fillId="0" borderId="24" xfId="0" applyFont="1" applyBorder="1" applyAlignment="1">
      <alignment horizontal="left" vertical="center"/>
    </xf>
    <xf numFmtId="0" fontId="4" fillId="0" borderId="16" xfId="0" applyFont="1" applyBorder="1" applyAlignment="1">
      <alignment horizontal="left" vertical="center"/>
    </xf>
    <xf numFmtId="0" fontId="4" fillId="0" borderId="24" xfId="0" quotePrefix="1" applyFont="1" applyBorder="1" applyAlignment="1">
      <alignment horizontal="center" vertical="center"/>
    </xf>
    <xf numFmtId="0" fontId="4" fillId="0" borderId="16" xfId="0" quotePrefix="1" applyFont="1" applyBorder="1" applyAlignment="1">
      <alignment horizontal="center" vertical="center"/>
    </xf>
    <xf numFmtId="14" fontId="4" fillId="0" borderId="16" xfId="0" applyNumberFormat="1" applyFont="1" applyBorder="1" applyAlignment="1">
      <alignment horizontal="center" vertical="center"/>
    </xf>
    <xf numFmtId="0" fontId="4" fillId="25" borderId="75" xfId="0" applyFont="1" applyFill="1" applyBorder="1" applyAlignment="1">
      <alignment horizontal="center" vertical="center"/>
    </xf>
    <xf numFmtId="0" fontId="4" fillId="25" borderId="10" xfId="0" applyFont="1" applyFill="1" applyBorder="1" applyAlignment="1">
      <alignment horizontal="center" vertical="center"/>
    </xf>
    <xf numFmtId="0" fontId="4" fillId="0" borderId="14" xfId="0" applyFont="1" applyBorder="1" applyAlignment="1">
      <alignment horizontal="center" vertical="center"/>
    </xf>
    <xf numFmtId="14" fontId="4" fillId="0" borderId="14" xfId="0" applyNumberFormat="1" applyFont="1" applyBorder="1" applyAlignment="1">
      <alignment horizontal="center" vertical="center"/>
    </xf>
    <xf numFmtId="0" fontId="4" fillId="25" borderId="27" xfId="0" applyFont="1" applyFill="1" applyBorder="1" applyAlignment="1">
      <alignment horizontal="center" vertical="center"/>
    </xf>
    <xf numFmtId="0" fontId="4" fillId="25" borderId="22" xfId="0" applyFont="1" applyFill="1" applyBorder="1" applyAlignment="1">
      <alignment horizontal="center" vertical="center"/>
    </xf>
    <xf numFmtId="0" fontId="10" fillId="0" borderId="14" xfId="22" applyBorder="1" applyAlignment="1" applyProtection="1">
      <alignment horizontal="center"/>
    </xf>
    <xf numFmtId="0" fontId="38" fillId="34" borderId="14" xfId="0" applyFont="1" applyFill="1" applyBorder="1" applyAlignment="1">
      <alignment horizontal="center" vertical="center" wrapText="1"/>
    </xf>
    <xf numFmtId="0" fontId="67" fillId="36" borderId="56" xfId="45" applyFont="1" applyFill="1" applyBorder="1" applyAlignment="1">
      <alignment vertical="center" wrapText="1"/>
    </xf>
  </cellXfs>
  <cellStyles count="49">
    <cellStyle name="20% - Colore 1" xfId="1" builtinId="30" customBuiltin="1"/>
    <cellStyle name="20% - Colore 2" xfId="2" builtinId="34" customBuiltin="1"/>
    <cellStyle name="20% - Colore 3" xfId="3" builtinId="38" customBuiltin="1"/>
    <cellStyle name="20% - Colore 4" xfId="4" builtinId="42" customBuiltin="1"/>
    <cellStyle name="20% - Colore 5" xfId="5" builtinId="46" customBuiltin="1"/>
    <cellStyle name="20% - Colore 6" xfId="6" builtinId="50" customBuiltin="1"/>
    <cellStyle name="40% - Colore 1" xfId="7" builtinId="31" customBuiltin="1"/>
    <cellStyle name="40% - Colore 2" xfId="8" builtinId="35" customBuiltin="1"/>
    <cellStyle name="40% - Colore 3" xfId="9" builtinId="39" customBuiltin="1"/>
    <cellStyle name="40% - Colore 4" xfId="10" builtinId="43" customBuiltin="1"/>
    <cellStyle name="40% - Colore 5" xfId="11" builtinId="47" customBuiltin="1"/>
    <cellStyle name="40% - Colore 6" xfId="12" builtinId="51" customBuiltin="1"/>
    <cellStyle name="60% - Colore 1" xfId="13" builtinId="32" customBuiltin="1"/>
    <cellStyle name="60% - Colore 2" xfId="14" builtinId="36" customBuiltin="1"/>
    <cellStyle name="60% - Colore 3" xfId="15" builtinId="40" customBuiltin="1"/>
    <cellStyle name="60% - Colore 4" xfId="16" builtinId="44" customBuiltin="1"/>
    <cellStyle name="60% - Colore 5" xfId="17" builtinId="48" customBuiltin="1"/>
    <cellStyle name="60% - Colore 6" xfId="18" builtinId="52" customBuiltin="1"/>
    <cellStyle name="Calcolo" xfId="19" builtinId="22" customBuiltin="1"/>
    <cellStyle name="Cella collegata" xfId="20" builtinId="24" customBuiltin="1"/>
    <cellStyle name="Cella da controllare" xfId="21" builtinId="23" customBuiltin="1"/>
    <cellStyle name="Collegamento ipertestuale" xfId="22" builtinId="8"/>
    <cellStyle name="Collegamento ipertestuale 2" xfId="47" xr:uid="{00000000-0005-0000-0000-000016000000}"/>
    <cellStyle name="Colore 1" xfId="23" builtinId="29" customBuiltin="1"/>
    <cellStyle name="Colore 2" xfId="24" builtinId="33" customBuiltin="1"/>
    <cellStyle name="Colore 3" xfId="25" builtinId="37" customBuiltin="1"/>
    <cellStyle name="Colore 4" xfId="26" builtinId="41" customBuiltin="1"/>
    <cellStyle name="Colore 5" xfId="27" builtinId="45" customBuiltin="1"/>
    <cellStyle name="Colore 6" xfId="28" builtinId="49" customBuiltin="1"/>
    <cellStyle name="Euro" xfId="29" xr:uid="{00000000-0005-0000-0000-00001D000000}"/>
    <cellStyle name="Input" xfId="30" builtinId="20" customBuiltin="1"/>
    <cellStyle name="Neutrale" xfId="31" builtinId="28" customBuiltin="1"/>
    <cellStyle name="Normale" xfId="0" builtinId="0"/>
    <cellStyle name="Normale 2" xfId="45" xr:uid="{00000000-0005-0000-0000-000021000000}"/>
    <cellStyle name="Normale 3" xfId="46" xr:uid="{00000000-0005-0000-0000-000022000000}"/>
    <cellStyle name="Normale 4" xfId="48" xr:uid="{00000000-0005-0000-0000-000023000000}"/>
    <cellStyle name="Normale_120403_AG_Tekva assorbente elettrolita" xfId="32" xr:uid="{00000000-0005-0000-0000-000024000000}"/>
    <cellStyle name="Nota" xfId="33" builtinId="10" customBuiltin="1"/>
    <cellStyle name="Output" xfId="34" builtinId="21" customBuiltin="1"/>
    <cellStyle name="Testo avviso" xfId="35" builtinId="11" customBuiltin="1"/>
    <cellStyle name="Testo descrittivo" xfId="36" builtinId="53" customBuiltin="1"/>
    <cellStyle name="Titolo" xfId="37" builtinId="15" customBuiltin="1"/>
    <cellStyle name="Titolo 1" xfId="38" builtinId="16" customBuiltin="1"/>
    <cellStyle name="Titolo 2" xfId="39" builtinId="17" customBuiltin="1"/>
    <cellStyle name="Titolo 3" xfId="40" builtinId="18" customBuiltin="1"/>
    <cellStyle name="Titolo 4" xfId="41" builtinId="19" customBuiltin="1"/>
    <cellStyle name="Totale" xfId="42" builtinId="25" customBuiltin="1"/>
    <cellStyle name="Valore non valido" xfId="43" builtinId="27" customBuiltin="1"/>
    <cellStyle name="Valore valido" xfId="44" builtinId="26" customBuiltin="1"/>
  </cellStyles>
  <dxfs count="6">
    <dxf>
      <font>
        <color theme="0"/>
      </font>
    </dxf>
    <dxf>
      <font>
        <b/>
        <i val="0"/>
      </font>
      <fill>
        <patternFill>
          <bgColor rgb="FFFFFF00"/>
        </patternFill>
      </fill>
    </dxf>
    <dxf>
      <font>
        <b/>
        <i val="0"/>
        <condense val="0"/>
        <extend val="0"/>
        <color indexed="13"/>
      </font>
      <fill>
        <patternFill>
          <bgColor indexed="10"/>
        </patternFill>
      </fill>
    </dxf>
    <dxf>
      <font>
        <b val="0"/>
        <i val="0"/>
        <condense val="0"/>
        <extend val="0"/>
        <color indexed="10"/>
      </font>
      <fill>
        <patternFill>
          <bgColor indexed="13"/>
        </patternFill>
      </fill>
    </dxf>
    <dxf>
      <font>
        <b/>
        <i val="0"/>
        <condense val="0"/>
        <extend val="0"/>
        <color indexed="13"/>
      </font>
      <fill>
        <patternFill>
          <bgColor indexed="10"/>
        </patternFill>
      </fill>
    </dxf>
    <dxf>
      <font>
        <condense val="0"/>
        <extend val="0"/>
        <color indexed="10"/>
      </font>
      <fill>
        <patternFill>
          <bgColor indexed="13"/>
        </patternFill>
      </fill>
    </dxf>
  </dxfs>
  <tableStyles count="0" defaultTableStyle="TableStyleMedium9" defaultPivotStyle="PivotStyleLight16"/>
  <colors>
    <mruColors>
      <color rgb="FFCCFFCC"/>
      <color rgb="FFCCFFFF"/>
      <color rgb="FFFF66CC"/>
      <color rgb="FFFFFF99"/>
      <color rgb="FFCCFF33"/>
      <color rgb="FF66FFFF"/>
      <color rgb="FFFBC69B"/>
      <color rgb="FFFFCC00"/>
      <color rgb="FFFF9900"/>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6.xml"/><Relationship Id="rId47" Type="http://schemas.openxmlformats.org/officeDocument/2006/relationships/externalLink" Target="externalLinks/externalLink11.xml"/><Relationship Id="rId50"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2.xml"/><Relationship Id="rId46" Type="http://schemas.openxmlformats.org/officeDocument/2006/relationships/externalLink" Target="externalLinks/externalLink10.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externalLink" Target="externalLinks/externalLink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externalLink" Target="externalLinks/externalLink4.xml"/><Relationship Id="rId45" Type="http://schemas.openxmlformats.org/officeDocument/2006/relationships/externalLink" Target="externalLinks/externalLink9.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8.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7.xml"/><Relationship Id="rId48" Type="http://schemas.openxmlformats.org/officeDocument/2006/relationships/externalLink" Target="externalLinks/externalLink12.xml"/><Relationship Id="rId8" Type="http://schemas.openxmlformats.org/officeDocument/2006/relationships/worksheet" Target="worksheets/sheet8.xml"/><Relationship Id="rId51"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it-IT"/>
              <a:t>RIFIUTI 2008</a:t>
            </a:r>
          </a:p>
        </c:rich>
      </c:tx>
      <c:layout>
        <c:manualLayout>
          <c:xMode val="edge"/>
          <c:yMode val="edge"/>
          <c:x val="0.61925661851323865"/>
          <c:y val="5.7292213473315923E-2"/>
        </c:manualLayout>
      </c:layout>
      <c:overlay val="0"/>
      <c:spPr>
        <a:noFill/>
        <a:ln w="25400">
          <a:noFill/>
        </a:ln>
      </c:spPr>
    </c:title>
    <c:autoTitleDeleted val="0"/>
    <c:view3D>
      <c:rotX val="15"/>
      <c:rotY val="30"/>
      <c:rAngAx val="0"/>
      <c:perspective val="0"/>
    </c:view3D>
    <c:floor>
      <c:thickness val="0"/>
    </c:floor>
    <c:sideWall>
      <c:thickness val="0"/>
    </c:sideWall>
    <c:backWall>
      <c:thickness val="0"/>
    </c:backWall>
    <c:plotArea>
      <c:layout>
        <c:manualLayout>
          <c:layoutTarget val="inner"/>
          <c:xMode val="edge"/>
          <c:yMode val="edge"/>
          <c:x val="0.5433076088325165"/>
          <c:y val="0.58333630033518646"/>
          <c:w val="0.23228368783420394"/>
          <c:h val="0.24479291174781859"/>
        </c:manualLayout>
      </c:layout>
      <c:pie3DChart>
        <c:varyColors val="1"/>
        <c:ser>
          <c:idx val="0"/>
          <c:order val="0"/>
          <c:spPr>
            <a:solidFill>
              <a:srgbClr val="9999FF"/>
            </a:solidFill>
            <a:ln w="12700">
              <a:solidFill>
                <a:srgbClr val="000000"/>
              </a:solidFill>
              <a:prstDash val="solid"/>
            </a:ln>
          </c:spPr>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0-54A1-49A2-A81B-9DE17D384E3C}"/>
              </c:ext>
            </c:extLst>
          </c:dPt>
          <c:dLbls>
            <c:spPr>
              <a:noFill/>
              <a:ln w="25400">
                <a:noFill/>
              </a:ln>
            </c:spPr>
            <c:txPr>
              <a:bodyPr/>
              <a:lstStyle/>
              <a:p>
                <a:pPr>
                  <a:defRPr sz="8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1"/>
            <c:extLst>
              <c:ext xmlns:c15="http://schemas.microsoft.com/office/drawing/2012/chart" uri="{CE6537A1-D6FC-4f65-9D91-7224C49458BB}"/>
            </c:extLst>
          </c:dLbls>
          <c:cat>
            <c:strRef>
              <c:f>('prod e dest rifiuti'!$A$77,'prod e dest rifiuti'!$A$83)</c:f>
              <c:strCache>
                <c:ptCount val="2"/>
                <c:pt idx="0">
                  <c:v>Rifiuti destinati a recupero (%)</c:v>
                </c:pt>
                <c:pt idx="1">
                  <c:v>Rifiuti destinati a smaltimento (%)</c:v>
                </c:pt>
              </c:strCache>
            </c:strRef>
          </c:cat>
          <c:val>
            <c:numRef>
              <c:f>('prod e dest rifiuti'!#REF!,'prod e dest rifiuti'!#REF!)</c:f>
              <c:numCache>
                <c:formatCode>General</c:formatCode>
                <c:ptCount val="1"/>
                <c:pt idx="0">
                  <c:v>1</c:v>
                </c:pt>
              </c:numCache>
            </c:numRef>
          </c:val>
          <c:extLst>
            <c:ext xmlns:c16="http://schemas.microsoft.com/office/drawing/2014/chart" uri="{C3380CC4-5D6E-409C-BE32-E72D297353CC}">
              <c16:uniqueId val="{00000001-54A1-49A2-A81B-9DE17D384E3C}"/>
            </c:ext>
          </c:extLst>
        </c:ser>
        <c:dLbls>
          <c:showLegendKey val="0"/>
          <c:showVal val="0"/>
          <c:showCatName val="0"/>
          <c:showSerName val="0"/>
          <c:showPercent val="0"/>
          <c:showBubbleSize val="0"/>
          <c:showLeaderLines val="1"/>
        </c:dLbls>
      </c:pie3DChart>
      <c:spPr>
        <a:noFill/>
        <a:ln w="25400">
          <a:noFill/>
        </a:ln>
      </c:spPr>
    </c:plotArea>
    <c:legend>
      <c:legendPos val="r"/>
      <c:layout>
        <c:manualLayout>
          <c:xMode val="edge"/>
          <c:yMode val="edge"/>
          <c:x val="0.21653563973796264"/>
          <c:y val="0.14583388013998291"/>
          <c:w val="0.32086634839940592"/>
          <c:h val="0.3541683070866308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it-IT"/>
        </a:p>
      </c:txPr>
    </c:legend>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it-IT"/>
              <a:t>RIFIUTI 2006</a:t>
            </a:r>
          </a:p>
        </c:rich>
      </c:tx>
      <c:layout>
        <c:manualLayout>
          <c:xMode val="edge"/>
          <c:yMode val="edge"/>
          <c:x val="0.64192132172083594"/>
          <c:y val="6.3492618978184034E-2"/>
        </c:manualLayout>
      </c:layout>
      <c:overlay val="0"/>
      <c:spPr>
        <a:noFill/>
        <a:ln w="25400">
          <a:noFill/>
        </a:ln>
      </c:spPr>
    </c:title>
    <c:autoTitleDeleted val="0"/>
    <c:view3D>
      <c:rotX val="15"/>
      <c:rotY val="70"/>
      <c:rAngAx val="0"/>
      <c:perspective val="0"/>
    </c:view3D>
    <c:floor>
      <c:thickness val="0"/>
    </c:floor>
    <c:sideWall>
      <c:thickness val="0"/>
    </c:sideWall>
    <c:backWall>
      <c:thickness val="0"/>
    </c:backWall>
    <c:plotArea>
      <c:layout>
        <c:manualLayout>
          <c:layoutTarget val="inner"/>
          <c:xMode val="edge"/>
          <c:yMode val="edge"/>
          <c:x val="0.52848722986239105"/>
          <c:y val="0.52381223034593227"/>
          <c:w val="0.31434184675834981"/>
          <c:h val="0.33862608830451302"/>
        </c:manualLayout>
      </c:layout>
      <c:pie3DChart>
        <c:varyColors val="1"/>
        <c:ser>
          <c:idx val="0"/>
          <c:order val="0"/>
          <c:spPr>
            <a:solidFill>
              <a:srgbClr val="9999FF"/>
            </a:solidFill>
            <a:ln w="12700">
              <a:solidFill>
                <a:srgbClr val="000000"/>
              </a:solidFill>
              <a:prstDash val="solid"/>
            </a:ln>
          </c:spPr>
          <c:explosion val="25"/>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0-073F-45BE-B3C7-0A0A7C2C7978}"/>
              </c:ext>
            </c:extLst>
          </c:dPt>
          <c:dLbls>
            <c:spPr>
              <a:noFill/>
              <a:ln w="25400">
                <a:noFill/>
              </a:ln>
            </c:spPr>
            <c:txPr>
              <a:bodyPr/>
              <a:lstStyle/>
              <a:p>
                <a:pPr>
                  <a:defRPr sz="12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1"/>
            <c:extLst>
              <c:ext xmlns:c15="http://schemas.microsoft.com/office/drawing/2012/chart" uri="{CE6537A1-D6FC-4f65-9D91-7224C49458BB}"/>
            </c:extLst>
          </c:dLbls>
          <c:cat>
            <c:strRef>
              <c:f>('prod e dest rifiuti'!$A$77,'prod e dest rifiuti'!$A$83)</c:f>
              <c:strCache>
                <c:ptCount val="2"/>
                <c:pt idx="0">
                  <c:v>Rifiuti destinati a recupero (%)</c:v>
                </c:pt>
                <c:pt idx="1">
                  <c:v>Rifiuti destinati a smaltimento (%)</c:v>
                </c:pt>
              </c:strCache>
            </c:strRef>
          </c:cat>
          <c:val>
            <c:numRef>
              <c:f>('prod e dest rifiuti'!#REF!,'prod e dest rifiuti'!#REF!)</c:f>
              <c:numCache>
                <c:formatCode>General</c:formatCode>
                <c:ptCount val="1"/>
                <c:pt idx="0">
                  <c:v>1</c:v>
                </c:pt>
              </c:numCache>
            </c:numRef>
          </c:val>
          <c:extLst>
            <c:ext xmlns:c16="http://schemas.microsoft.com/office/drawing/2014/chart" uri="{C3380CC4-5D6E-409C-BE32-E72D297353CC}">
              <c16:uniqueId val="{00000001-073F-45BE-B3C7-0A0A7C2C7978}"/>
            </c:ext>
          </c:extLst>
        </c:ser>
        <c:dLbls>
          <c:showLegendKey val="0"/>
          <c:showVal val="1"/>
          <c:showCatName val="0"/>
          <c:showSerName val="0"/>
          <c:showPercent val="0"/>
          <c:showBubbleSize val="0"/>
          <c:showLeaderLines val="1"/>
        </c:dLbls>
      </c:pie3DChart>
      <c:spPr>
        <a:noFill/>
        <a:ln w="25400">
          <a:noFill/>
        </a:ln>
      </c:spPr>
    </c:plotArea>
    <c:legend>
      <c:legendPos val="r"/>
      <c:layout>
        <c:manualLayout>
          <c:xMode val="edge"/>
          <c:yMode val="edge"/>
          <c:x val="0.18860510805500991"/>
          <c:y val="5.8201613687177946E-2"/>
          <c:w val="0.28094302554027495"/>
          <c:h val="0.3597900262467192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it-IT"/>
        </a:p>
      </c:txPr>
    </c:legend>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it-IT"/>
              <a:t>RIFIUTI 2008 ESCLUDENDO IL CER 15 01 03 "IMBALLAGGI IN LEGNO"</a:t>
            </a:r>
          </a:p>
        </c:rich>
      </c:tx>
      <c:layout>
        <c:manualLayout>
          <c:xMode val="edge"/>
          <c:yMode val="edge"/>
          <c:x val="0.2008733093039205"/>
          <c:y val="4.6632124352332112E-2"/>
        </c:manualLayout>
      </c:layout>
      <c:overlay val="0"/>
      <c:spPr>
        <a:noFill/>
        <a:ln w="25400">
          <a:noFill/>
        </a:ln>
      </c:spPr>
    </c:title>
    <c:autoTitleDeleted val="0"/>
    <c:view3D>
      <c:rotX val="15"/>
      <c:rotY val="30"/>
      <c:rAngAx val="0"/>
      <c:perspective val="0"/>
    </c:view3D>
    <c:floor>
      <c:thickness val="0"/>
    </c:floor>
    <c:sideWall>
      <c:thickness val="0"/>
    </c:sideWall>
    <c:backWall>
      <c:thickness val="0"/>
    </c:backWall>
    <c:plotArea>
      <c:layout>
        <c:manualLayout>
          <c:layoutTarget val="inner"/>
          <c:xMode val="edge"/>
          <c:yMode val="edge"/>
          <c:x val="0.55402750491159169"/>
          <c:y val="0.58549370925179856"/>
          <c:w val="0.22200392927307167"/>
          <c:h val="0.22797985139008711"/>
        </c:manualLayout>
      </c:layout>
      <c:pie3DChart>
        <c:varyColors val="1"/>
        <c:ser>
          <c:idx val="0"/>
          <c:order val="0"/>
          <c:spPr>
            <a:solidFill>
              <a:srgbClr val="9999FF"/>
            </a:solidFill>
            <a:ln w="12700">
              <a:solidFill>
                <a:srgbClr val="000000"/>
              </a:solidFill>
              <a:prstDash val="solid"/>
            </a:ln>
          </c:spPr>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0-69B6-4487-98AD-A12EF2E7A0D8}"/>
              </c:ext>
            </c:extLst>
          </c:dPt>
          <c:dLbls>
            <c:spPr>
              <a:noFill/>
              <a:ln w="25400">
                <a:noFill/>
              </a:ln>
            </c:spPr>
            <c:txPr>
              <a:bodyPr/>
              <a:lstStyle/>
              <a:p>
                <a:pPr>
                  <a:defRPr sz="8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extLst>
          </c:dLbls>
          <c:cat>
            <c:strRef>
              <c:f>('prod e dest rifiuti'!$A$77,'prod e dest rifiuti'!$A$83)</c:f>
              <c:strCache>
                <c:ptCount val="2"/>
                <c:pt idx="0">
                  <c:v>Rifiuti destinati a recupero (%)</c:v>
                </c:pt>
                <c:pt idx="1">
                  <c:v>Rifiuti destinati a smaltimento (%)</c:v>
                </c:pt>
              </c:strCache>
            </c:strRef>
          </c:cat>
          <c:val>
            <c:numRef>
              <c:f>('prod e dest rifiuti'!#REF!,'prod e dest rifiuti'!#REF!)</c:f>
              <c:numCache>
                <c:formatCode>General</c:formatCode>
                <c:ptCount val="1"/>
                <c:pt idx="0">
                  <c:v>1</c:v>
                </c:pt>
              </c:numCache>
            </c:numRef>
          </c:val>
          <c:extLst>
            <c:ext xmlns:c16="http://schemas.microsoft.com/office/drawing/2014/chart" uri="{C3380CC4-5D6E-409C-BE32-E72D297353CC}">
              <c16:uniqueId val="{00000001-69B6-4487-98AD-A12EF2E7A0D8}"/>
            </c:ext>
          </c:extLst>
        </c:ser>
        <c:ser>
          <c:idx val="1"/>
          <c:order val="1"/>
          <c:spPr>
            <a:solidFill>
              <a:srgbClr val="993366"/>
            </a:solidFill>
            <a:ln w="12700">
              <a:solidFill>
                <a:srgbClr val="000000"/>
              </a:solidFill>
              <a:prstDash val="solid"/>
            </a:ln>
          </c:spPr>
          <c:dPt>
            <c:idx val="0"/>
            <c:bubble3D val="0"/>
            <c:spPr>
              <a:solidFill>
                <a:srgbClr val="9999FF"/>
              </a:solidFill>
              <a:ln w="12700">
                <a:solidFill>
                  <a:srgbClr val="000000"/>
                </a:solidFill>
                <a:prstDash val="solid"/>
              </a:ln>
            </c:spPr>
            <c:extLst>
              <c:ext xmlns:c16="http://schemas.microsoft.com/office/drawing/2014/chart" uri="{C3380CC4-5D6E-409C-BE32-E72D297353CC}">
                <c16:uniqueId val="{00000002-69B6-4487-98AD-A12EF2E7A0D8}"/>
              </c:ext>
            </c:extLst>
          </c:dPt>
          <c:cat>
            <c:strRef>
              <c:f>('prod e dest rifiuti'!$A$77,'prod e dest rifiuti'!$A$83)</c:f>
              <c:strCache>
                <c:ptCount val="2"/>
                <c:pt idx="0">
                  <c:v>Rifiuti destinati a recupero (%)</c:v>
                </c:pt>
                <c:pt idx="1">
                  <c:v>Rifiuti destinati a smaltimento (%)</c:v>
                </c:pt>
              </c:strCache>
            </c:strRef>
          </c:cat>
          <c:val>
            <c:numRef>
              <c:f>'prod e dest rifiuti'!#REF!</c:f>
              <c:numCache>
                <c:formatCode>General</c:formatCode>
                <c:ptCount val="1"/>
                <c:pt idx="0">
                  <c:v>1</c:v>
                </c:pt>
              </c:numCache>
            </c:numRef>
          </c:val>
          <c:extLst>
            <c:ext xmlns:c16="http://schemas.microsoft.com/office/drawing/2014/chart" uri="{C3380CC4-5D6E-409C-BE32-E72D297353CC}">
              <c16:uniqueId val="{00000003-69B6-4487-98AD-A12EF2E7A0D8}"/>
            </c:ext>
          </c:extLst>
        </c:ser>
        <c:ser>
          <c:idx val="2"/>
          <c:order val="2"/>
          <c:spPr>
            <a:solidFill>
              <a:srgbClr val="FFFFCC"/>
            </a:solidFill>
            <a:ln w="12700">
              <a:solidFill>
                <a:srgbClr val="000000"/>
              </a:solidFill>
              <a:prstDash val="solid"/>
            </a:ln>
          </c:spPr>
          <c:dPt>
            <c:idx val="0"/>
            <c:bubble3D val="0"/>
            <c:spPr>
              <a:solidFill>
                <a:srgbClr val="9999FF"/>
              </a:solidFill>
              <a:ln w="12700">
                <a:solidFill>
                  <a:srgbClr val="000000"/>
                </a:solidFill>
                <a:prstDash val="solid"/>
              </a:ln>
            </c:spPr>
            <c:extLst>
              <c:ext xmlns:c16="http://schemas.microsoft.com/office/drawing/2014/chart" uri="{C3380CC4-5D6E-409C-BE32-E72D297353CC}">
                <c16:uniqueId val="{00000004-69B6-4487-98AD-A12EF2E7A0D8}"/>
              </c:ext>
            </c:extLst>
          </c:dPt>
          <c:cat>
            <c:strRef>
              <c:f>('prod e dest rifiuti'!$A$77,'prod e dest rifiuti'!$A$83)</c:f>
              <c:strCache>
                <c:ptCount val="2"/>
                <c:pt idx="0">
                  <c:v>Rifiuti destinati a recupero (%)</c:v>
                </c:pt>
                <c:pt idx="1">
                  <c:v>Rifiuti destinati a smaltimento (%)</c:v>
                </c:pt>
              </c:strCache>
            </c:strRef>
          </c:cat>
          <c:val>
            <c:numRef>
              <c:f>'prod e dest rifiuti'!#REF!</c:f>
              <c:numCache>
                <c:formatCode>General</c:formatCode>
                <c:ptCount val="1"/>
                <c:pt idx="0">
                  <c:v>1</c:v>
                </c:pt>
              </c:numCache>
            </c:numRef>
          </c:val>
          <c:extLst>
            <c:ext xmlns:c16="http://schemas.microsoft.com/office/drawing/2014/chart" uri="{C3380CC4-5D6E-409C-BE32-E72D297353CC}">
              <c16:uniqueId val="{00000005-69B6-4487-98AD-A12EF2E7A0D8}"/>
            </c:ext>
          </c:extLst>
        </c:ser>
        <c:ser>
          <c:idx val="3"/>
          <c:order val="3"/>
          <c:spPr>
            <a:solidFill>
              <a:srgbClr val="CCFFFF"/>
            </a:solidFill>
            <a:ln w="12700">
              <a:solidFill>
                <a:srgbClr val="000000"/>
              </a:solidFill>
              <a:prstDash val="solid"/>
            </a:ln>
          </c:spPr>
          <c:dPt>
            <c:idx val="0"/>
            <c:bubble3D val="0"/>
            <c:spPr>
              <a:solidFill>
                <a:srgbClr val="9999FF"/>
              </a:solidFill>
              <a:ln w="12700">
                <a:solidFill>
                  <a:srgbClr val="000000"/>
                </a:solidFill>
                <a:prstDash val="solid"/>
              </a:ln>
            </c:spPr>
            <c:extLst>
              <c:ext xmlns:c16="http://schemas.microsoft.com/office/drawing/2014/chart" uri="{C3380CC4-5D6E-409C-BE32-E72D297353CC}">
                <c16:uniqueId val="{00000006-69B6-4487-98AD-A12EF2E7A0D8}"/>
              </c:ext>
            </c:extLst>
          </c:dPt>
          <c:cat>
            <c:strRef>
              <c:f>('prod e dest rifiuti'!$A$77,'prod e dest rifiuti'!$A$83)</c:f>
              <c:strCache>
                <c:ptCount val="2"/>
                <c:pt idx="0">
                  <c:v>Rifiuti destinati a recupero (%)</c:v>
                </c:pt>
                <c:pt idx="1">
                  <c:v>Rifiuti destinati a smaltimento (%)</c:v>
                </c:pt>
              </c:strCache>
            </c:strRef>
          </c:cat>
          <c:val>
            <c:numRef>
              <c:f>'prod e dest rifiuti'!$A$83</c:f>
              <c:numCache>
                <c:formatCode>General</c:formatCode>
                <c:ptCount val="1"/>
                <c:pt idx="0">
                  <c:v>0</c:v>
                </c:pt>
              </c:numCache>
            </c:numRef>
          </c:val>
          <c:extLst>
            <c:ext xmlns:c16="http://schemas.microsoft.com/office/drawing/2014/chart" uri="{C3380CC4-5D6E-409C-BE32-E72D297353CC}">
              <c16:uniqueId val="{00000007-69B6-4487-98AD-A12EF2E7A0D8}"/>
            </c:ext>
          </c:extLst>
        </c:ser>
        <c:dLbls>
          <c:showLegendKey val="0"/>
          <c:showVal val="0"/>
          <c:showCatName val="0"/>
          <c:showSerName val="0"/>
          <c:showPercent val="0"/>
          <c:showBubbleSize val="0"/>
          <c:showLeaderLines val="0"/>
        </c:dLbls>
      </c:pie3DChart>
      <c:spPr>
        <a:noFill/>
        <a:ln w="25400">
          <a:noFill/>
        </a:ln>
      </c:spPr>
    </c:plotArea>
    <c:legend>
      <c:legendPos val="r"/>
      <c:layout>
        <c:manualLayout>
          <c:xMode val="edge"/>
          <c:yMode val="edge"/>
          <c:x val="8.2514734774066845E-2"/>
          <c:y val="0.31088137298906326"/>
          <c:w val="0.3143418467583563"/>
          <c:h val="0.35233269416453838"/>
        </c:manualLayout>
      </c:layout>
      <c:overlay val="0"/>
      <c:spPr>
        <a:solidFill>
          <a:srgbClr val="FFFF99"/>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it-IT"/>
        </a:p>
      </c:txPr>
    </c:legend>
    <c:plotVisOnly val="1"/>
    <c:dispBlanksAs val="zero"/>
    <c:showDLblsOverMax val="0"/>
  </c:chart>
  <c:spPr>
    <a:solidFill>
      <a:srgbClr val="FFCC99"/>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it-IT"/>
              <a:t>TREND RIFIUTI A RECUPERO ESCLUDENDO IL           CER 15 01 03 "IMBALLAGGI IN LEGNO"</a:t>
            </a:r>
          </a:p>
        </c:rich>
      </c:tx>
      <c:layout>
        <c:manualLayout>
          <c:xMode val="edge"/>
          <c:yMode val="edge"/>
          <c:x val="0.18398305474973844"/>
          <c:y val="3.7162162162162192E-2"/>
        </c:manualLayout>
      </c:layout>
      <c:overlay val="0"/>
      <c:spPr>
        <a:noFill/>
        <a:ln w="25400">
          <a:noFill/>
        </a:ln>
      </c:spPr>
    </c:title>
    <c:autoTitleDeleted val="0"/>
    <c:view3D>
      <c:rotX val="50"/>
      <c:hPercent val="44"/>
      <c:rotY val="30"/>
      <c:depthPercent val="100"/>
      <c:rAngAx val="1"/>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0.12475657277309647"/>
          <c:y val="0.21959459459461148"/>
          <c:w val="0.64132675691162"/>
          <c:h val="0.52027027027027062"/>
        </c:manualLayout>
      </c:layout>
      <c:bar3DChart>
        <c:barDir val="col"/>
        <c:grouping val="clustered"/>
        <c:varyColors val="0"/>
        <c:ser>
          <c:idx val="0"/>
          <c:order val="0"/>
          <c:spPr>
            <a:solidFill>
              <a:srgbClr val="9999FF"/>
            </a:solidFill>
            <a:ln w="12700">
              <a:solidFill>
                <a:srgbClr val="000000"/>
              </a:solidFill>
              <a:prstDash val="solid"/>
            </a:ln>
          </c:spPr>
          <c:invertIfNegative val="0"/>
          <c:dLbls>
            <c:spPr>
              <a:noFill/>
              <a:ln w="25400">
                <a:noFill/>
              </a:ln>
            </c:spPr>
            <c:txPr>
              <a:bodyPr/>
              <a:lstStyle/>
              <a:p>
                <a:pPr>
                  <a:defRPr sz="8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'prod e dest rifiuti'!#REF!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'prod e dest rifiuti'!#REF!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'prod e dest rifiuti'!#REF!</c15:sqref>
                        </c15:formulaRef>
                      </c:ext>
                    </c:extLst>
                  </c:multiLvlStrRef>
                </c15:cat>
              </c15:filteredCategoryTitle>
            </c:ext>
            <c:ext xmlns:c16="http://schemas.microsoft.com/office/drawing/2014/chart" uri="{C3380CC4-5D6E-409C-BE32-E72D297353CC}">
              <c16:uniqueId val="{00000000-C48E-481D-B2DF-B1EEA3622CF1}"/>
            </c:ext>
          </c:extLst>
        </c:ser>
        <c:ser>
          <c:idx val="1"/>
          <c:order val="1"/>
          <c:spPr>
            <a:solidFill>
              <a:srgbClr val="993366"/>
            </a:solidFill>
            <a:ln w="12700">
              <a:solidFill>
                <a:srgbClr val="000000"/>
              </a:solidFill>
              <a:prstDash val="solid"/>
            </a:ln>
          </c:spPr>
          <c:invertIfNegative val="0"/>
          <c:dLbls>
            <c:spPr>
              <a:noFill/>
              <a:ln w="25400">
                <a:noFill/>
              </a:ln>
            </c:spPr>
            <c:txPr>
              <a:bodyPr/>
              <a:lstStyle/>
              <a:p>
                <a:pPr>
                  <a:defRPr sz="8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'prod e dest rifiuti'!#REF!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'prod e dest rifiuti'!#REF!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'prod e dest rifiuti'!#REF!</c15:sqref>
                        </c15:formulaRef>
                      </c:ext>
                    </c:extLst>
                  </c:multiLvlStrRef>
                </c15:cat>
              </c15:filteredCategoryTitle>
            </c:ext>
            <c:ext xmlns:c16="http://schemas.microsoft.com/office/drawing/2014/chart" uri="{C3380CC4-5D6E-409C-BE32-E72D297353CC}">
              <c16:uniqueId val="{00000001-C48E-481D-B2DF-B1EEA3622CF1}"/>
            </c:ext>
          </c:extLst>
        </c:ser>
        <c:ser>
          <c:idx val="2"/>
          <c:order val="2"/>
          <c:spPr>
            <a:solidFill>
              <a:srgbClr val="FFFFCC"/>
            </a:solidFill>
            <a:ln w="12700">
              <a:solidFill>
                <a:srgbClr val="000000"/>
              </a:solidFill>
              <a:prstDash val="solid"/>
            </a:ln>
          </c:spPr>
          <c:invertIfNegative val="0"/>
          <c:dLbls>
            <c:spPr>
              <a:noFill/>
              <a:ln w="25400">
                <a:noFill/>
              </a:ln>
            </c:spPr>
            <c:txPr>
              <a:bodyPr/>
              <a:lstStyle/>
              <a:p>
                <a:pPr>
                  <a:defRPr sz="8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'prod e dest rifiuti'!#REF!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'prod e dest rifiuti'!#REF!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'prod e dest rifiuti'!#REF!</c15:sqref>
                        </c15:formulaRef>
                      </c:ext>
                    </c:extLst>
                  </c:multiLvlStrRef>
                </c15:cat>
              </c15:filteredCategoryTitle>
            </c:ext>
            <c:ext xmlns:c16="http://schemas.microsoft.com/office/drawing/2014/chart" uri="{C3380CC4-5D6E-409C-BE32-E72D297353CC}">
              <c16:uniqueId val="{00000002-C48E-481D-B2DF-B1EEA3622CF1}"/>
            </c:ext>
          </c:extLst>
        </c:ser>
        <c:ser>
          <c:idx val="3"/>
          <c:order val="3"/>
          <c:spPr>
            <a:solidFill>
              <a:srgbClr val="CCFFFF"/>
            </a:solidFill>
            <a:ln w="12700">
              <a:solidFill>
                <a:srgbClr val="000000"/>
              </a:solidFill>
              <a:prstDash val="solid"/>
            </a:ln>
          </c:spPr>
          <c:invertIfNegative val="0"/>
          <c:dLbls>
            <c:spPr>
              <a:noFill/>
              <a:ln w="25400">
                <a:noFill/>
              </a:ln>
            </c:spPr>
            <c:txPr>
              <a:bodyPr/>
              <a:lstStyle/>
              <a:p>
                <a:pPr>
                  <a:defRPr sz="8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'prod e dest rifiuti'!#REF!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'prod e dest rifiuti'!#REF!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'prod e dest rifiuti'!#REF!</c15:sqref>
                        </c15:formulaRef>
                      </c:ext>
                    </c:extLst>
                  </c:multiLvlStrRef>
                </c15:cat>
              </c15:filteredCategoryTitle>
            </c:ext>
            <c:ext xmlns:c16="http://schemas.microsoft.com/office/drawing/2014/chart" uri="{C3380CC4-5D6E-409C-BE32-E72D297353CC}">
              <c16:uniqueId val="{00000003-C48E-481D-B2DF-B1EEA3622CF1}"/>
            </c:ext>
          </c:extLst>
        </c:ser>
        <c:ser>
          <c:idx val="4"/>
          <c:order val="4"/>
          <c:spPr>
            <a:solidFill>
              <a:srgbClr val="660066"/>
            </a:solidFill>
            <a:ln w="12700">
              <a:solidFill>
                <a:srgbClr val="000000"/>
              </a:solidFill>
              <a:prstDash val="solid"/>
            </a:ln>
          </c:spPr>
          <c:invertIfNegative val="0"/>
          <c:dLbls>
            <c:spPr>
              <a:noFill/>
              <a:ln w="25400">
                <a:noFill/>
              </a:ln>
            </c:spPr>
            <c:txPr>
              <a:bodyPr/>
              <a:lstStyle/>
              <a:p>
                <a:pPr>
                  <a:defRPr sz="8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'prod e dest rifiuti'!#REF!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'prod e dest rifiuti'!#REF!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'prod e dest rifiuti'!#REF!</c15:sqref>
                        </c15:formulaRef>
                      </c:ext>
                    </c:extLst>
                  </c:multiLvlStrRef>
                </c15:cat>
              </c15:filteredCategoryTitle>
            </c:ext>
            <c:ext xmlns:c16="http://schemas.microsoft.com/office/drawing/2014/chart" uri="{C3380CC4-5D6E-409C-BE32-E72D297353CC}">
              <c16:uniqueId val="{00000004-C48E-481D-B2DF-B1EEA3622CF1}"/>
            </c:ext>
          </c:extLst>
        </c:ser>
        <c:ser>
          <c:idx val="5"/>
          <c:order val="5"/>
          <c:spPr>
            <a:solidFill>
              <a:srgbClr val="FF8080"/>
            </a:solidFill>
            <a:ln w="12700">
              <a:solidFill>
                <a:srgbClr val="000000"/>
              </a:solidFill>
              <a:prstDash val="solid"/>
            </a:ln>
          </c:spPr>
          <c:invertIfNegative val="0"/>
          <c:dLbls>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'prod e dest rifiuti'!#REF!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'prod e dest rifiuti'!#REF!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'prod e dest rifiuti'!#REF!</c15:sqref>
                        </c15:formulaRef>
                      </c:ext>
                    </c:extLst>
                  </c:multiLvlStrRef>
                </c15:cat>
              </c15:filteredCategoryTitle>
            </c:ext>
            <c:ext xmlns:c16="http://schemas.microsoft.com/office/drawing/2014/chart" uri="{C3380CC4-5D6E-409C-BE32-E72D297353CC}">
              <c16:uniqueId val="{00000005-C48E-481D-B2DF-B1EEA3622CF1}"/>
            </c:ext>
          </c:extLst>
        </c:ser>
        <c:dLbls>
          <c:showLegendKey val="0"/>
          <c:showVal val="1"/>
          <c:showCatName val="0"/>
          <c:showSerName val="0"/>
          <c:showPercent val="0"/>
          <c:showBubbleSize val="0"/>
        </c:dLbls>
        <c:gapWidth val="150"/>
        <c:shape val="box"/>
        <c:axId val="346224896"/>
        <c:axId val="346243456"/>
        <c:axId val="0"/>
      </c:bar3DChart>
      <c:catAx>
        <c:axId val="346224896"/>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it-IT"/>
                  <a:t>TEMPO</a:t>
                </a:r>
              </a:p>
            </c:rich>
          </c:tx>
          <c:layout>
            <c:manualLayout>
              <c:xMode val="edge"/>
              <c:yMode val="edge"/>
              <c:x val="0.38209615610914138"/>
              <c:y val="0.81159821238566165"/>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it-IT"/>
          </a:p>
        </c:txPr>
        <c:crossAx val="346243456"/>
        <c:crosses val="autoZero"/>
        <c:auto val="1"/>
        <c:lblAlgn val="ctr"/>
        <c:lblOffset val="100"/>
        <c:tickLblSkip val="1"/>
        <c:tickMarkSkip val="1"/>
        <c:noMultiLvlLbl val="0"/>
      </c:catAx>
      <c:valAx>
        <c:axId val="346243456"/>
        <c:scaling>
          <c:orientation val="minMax"/>
        </c:scaling>
        <c:delete val="0"/>
        <c:axPos val="l"/>
        <c:majorGridlines>
          <c:spPr>
            <a:ln w="3175">
              <a:solidFill>
                <a:srgbClr val="000000"/>
              </a:solidFill>
              <a:prstDash val="solid"/>
            </a:ln>
          </c:spPr>
        </c:majorGridlines>
        <c:title>
          <c:tx>
            <c:rich>
              <a:bodyPr rot="0" vert="horz"/>
              <a:lstStyle/>
              <a:p>
                <a:pPr algn="ctr">
                  <a:defRPr sz="800" b="1" i="0" u="none" strike="noStrike" baseline="0">
                    <a:solidFill>
                      <a:srgbClr val="000000"/>
                    </a:solidFill>
                    <a:latin typeface="Arial"/>
                    <a:ea typeface="Arial"/>
                    <a:cs typeface="Arial"/>
                  </a:defRPr>
                </a:pPr>
                <a:r>
                  <a:rPr lang="it-IT"/>
                  <a:t>%</a:t>
                </a:r>
              </a:p>
            </c:rich>
          </c:tx>
          <c:layout>
            <c:manualLayout>
              <c:xMode val="edge"/>
              <c:yMode val="edge"/>
              <c:x val="0.12445426777793279"/>
              <c:y val="0.4541083209193483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it-IT"/>
          </a:p>
        </c:txPr>
        <c:crossAx val="346224896"/>
        <c:crosses val="autoZero"/>
        <c:crossBetween val="between"/>
      </c:valAx>
      <c:spPr>
        <a:noFill/>
        <a:ln w="25400">
          <a:noFill/>
        </a:ln>
      </c:spPr>
    </c:plotArea>
    <c:legend>
      <c:legendPos val="r"/>
      <c:layout>
        <c:manualLayout>
          <c:xMode val="edge"/>
          <c:yMode val="edge"/>
          <c:x val="0.79532306999630009"/>
          <c:y val="0.37500000000000488"/>
          <c:w val="0.17348968805800491"/>
          <c:h val="0.32432432432438058"/>
        </c:manualLayout>
      </c:layout>
      <c:overlay val="0"/>
      <c:spPr>
        <a:solidFill>
          <a:srgbClr val="FFFF99"/>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it-IT"/>
        </a:p>
      </c:txPr>
    </c:legend>
    <c:plotVisOnly val="1"/>
    <c:dispBlanksAs val="gap"/>
    <c:showDLblsOverMax val="0"/>
  </c:chart>
  <c:spPr>
    <a:solidFill>
      <a:srgbClr val="FFCC99"/>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it-IT"/>
              <a:t>Rifiuto 08 04 16 (rifiuti liquidi acquosi…) vs. farina confezionata Kg/t</a:t>
            </a:r>
          </a:p>
        </c:rich>
      </c:tx>
      <c:layout>
        <c:manualLayout>
          <c:xMode val="edge"/>
          <c:yMode val="edge"/>
          <c:x val="0.17083361961953517"/>
          <c:y val="2.1739130434782612E-2"/>
        </c:manualLayout>
      </c:layout>
      <c:overlay val="0"/>
      <c:spPr>
        <a:noFill/>
        <a:ln w="25400">
          <a:noFill/>
        </a:ln>
      </c:spPr>
    </c:title>
    <c:autoTitleDeleted val="0"/>
    <c:plotArea>
      <c:layout>
        <c:manualLayout>
          <c:layoutTarget val="inner"/>
          <c:xMode val="edge"/>
          <c:yMode val="edge"/>
          <c:x val="7.8534165259198541E-2"/>
          <c:y val="0.24347826086957094"/>
          <c:w val="0.56544598986619998"/>
          <c:h val="0.56086956521739129"/>
        </c:manualLayout>
      </c:layout>
      <c:lineChart>
        <c:grouping val="standard"/>
        <c:varyColors val="0"/>
        <c:ser>
          <c:idx val="0"/>
          <c:order val="0"/>
          <c:spPr>
            <a:ln w="12700">
              <a:solidFill>
                <a:srgbClr val="000080"/>
              </a:solidFill>
              <a:prstDash val="solid"/>
            </a:ln>
          </c:spPr>
          <c:marker>
            <c:symbol val="none"/>
          </c:marker>
          <c:val>
            <c:numRef>
              <c:f>(#REF!,#REF!)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#RIF!</c:v>
                      </c:pt>
                    </c:strCache>
                  </c:strRef>
                </c15:tx>
              </c15:filteredSeriesTitle>
            </c:ext>
            <c:ext xmlns:c15="http://schemas.microsoft.com/office/drawing/2012/chart" uri="{02D57815-91ED-43cb-92C2-25804820EDAC}">
              <c15:filteredCategoryTitle>
                <c15:cat>
                  <c:numRef>
                    <c:extLst>
                      <c:ext uri="{02D57815-91ED-43cb-92C2-25804820EDAC}">
                        <c15:formulaRef>
                          <c15:sqref>(#REF!,#REF!)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DA6E-4AFC-A6F2-1788833B3BA4}"/>
            </c:ext>
          </c:extLst>
        </c:ser>
        <c:dLbls>
          <c:showLegendKey val="0"/>
          <c:showVal val="0"/>
          <c:showCatName val="0"/>
          <c:showSerName val="0"/>
          <c:showPercent val="0"/>
          <c:showBubbleSize val="0"/>
        </c:dLbls>
        <c:smooth val="0"/>
        <c:axId val="346268416"/>
        <c:axId val="346269952"/>
      </c:lineChart>
      <c:catAx>
        <c:axId val="346268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it-IT"/>
          </a:p>
        </c:txPr>
        <c:crossAx val="346269952"/>
        <c:crosses val="autoZero"/>
        <c:auto val="1"/>
        <c:lblAlgn val="ctr"/>
        <c:lblOffset val="100"/>
        <c:tickLblSkip val="1"/>
        <c:tickMarkSkip val="1"/>
        <c:noMultiLvlLbl val="0"/>
      </c:catAx>
      <c:valAx>
        <c:axId val="346269952"/>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it-IT"/>
          </a:p>
        </c:txPr>
        <c:crossAx val="346268416"/>
        <c:crosses val="autoZero"/>
        <c:crossBetween val="between"/>
      </c:valAx>
      <c:spPr>
        <a:solidFill>
          <a:srgbClr val="C0C0C0"/>
        </a:solidFill>
        <a:ln w="12700">
          <a:solidFill>
            <a:srgbClr val="808080"/>
          </a:solidFill>
          <a:prstDash val="solid"/>
        </a:ln>
      </c:spPr>
    </c:plotArea>
    <c:legend>
      <c:legendPos val="r"/>
      <c:layout>
        <c:manualLayout>
          <c:xMode val="edge"/>
          <c:yMode val="edge"/>
          <c:x val="0.86038540993894086"/>
          <c:y val="0.47826086956525077"/>
          <c:w val="0.11692862999454978"/>
          <c:h val="9.5652173913044244E-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it-IT"/>
        </a:p>
      </c:txPr>
    </c:legend>
    <c:plotVisOnly val="1"/>
    <c:dispBlanksAs val="gap"/>
    <c:showDLblsOverMax val="0"/>
  </c:chart>
  <c:spPr>
    <a:solidFill>
      <a:srgbClr val="FFFFCC"/>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it-IT"/>
              <a:t>RIFIUTI 2012
</a:t>
            </a:r>
          </a:p>
        </c:rich>
      </c:tx>
      <c:layout>
        <c:manualLayout>
          <c:xMode val="edge"/>
          <c:yMode val="edge"/>
          <c:x val="0.53465513975701451"/>
          <c:y val="6.3106657122405194E-2"/>
        </c:manualLayout>
      </c:layout>
      <c:overlay val="0"/>
      <c:spPr>
        <a:noFill/>
        <a:ln w="25400">
          <a:noFill/>
        </a:ln>
      </c:spPr>
    </c:title>
    <c:autoTitleDeleted val="0"/>
    <c:view3D>
      <c:rotX val="15"/>
      <c:rotY val="30"/>
      <c:rAngAx val="0"/>
      <c:perspective val="0"/>
    </c:view3D>
    <c:floor>
      <c:thickness val="0"/>
    </c:floor>
    <c:sideWall>
      <c:thickness val="0"/>
    </c:sideWall>
    <c:backWall>
      <c:thickness val="0"/>
    </c:backWall>
    <c:plotArea>
      <c:layout>
        <c:manualLayout>
          <c:layoutTarget val="inner"/>
          <c:xMode val="edge"/>
          <c:yMode val="edge"/>
          <c:x val="0.46605078743125788"/>
          <c:y val="0.54010836216463221"/>
          <c:w val="0.33333433803029588"/>
          <c:h val="0.22459951693974767"/>
        </c:manualLayout>
      </c:layout>
      <c:pie3DChart>
        <c:varyColors val="1"/>
        <c:ser>
          <c:idx val="0"/>
          <c:order val="0"/>
          <c:spPr>
            <a:solidFill>
              <a:srgbClr val="9999FF"/>
            </a:solidFill>
            <a:ln w="12700">
              <a:solidFill>
                <a:srgbClr val="000000"/>
              </a:solidFill>
              <a:prstDash val="solid"/>
            </a:ln>
          </c:spPr>
          <c:explosion val="25"/>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0-1A6B-4BB0-B152-C7B684341298}"/>
              </c:ext>
            </c:extLst>
          </c:dPt>
          <c:dLbls>
            <c:spPr>
              <a:noFill/>
              <a:ln w="25400">
                <a:noFill/>
              </a:ln>
            </c:spPr>
            <c:txPr>
              <a:bodyPr/>
              <a:lstStyle/>
              <a:p>
                <a:pPr>
                  <a:defRPr sz="8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1"/>
            <c:extLst>
              <c:ext xmlns:c15="http://schemas.microsoft.com/office/drawing/2012/chart" uri="{CE6537A1-D6FC-4f65-9D91-7224C49458BB}"/>
            </c:extLst>
          </c:dLbls>
          <c:cat>
            <c:strRef>
              <c:f>('prod e dest rifiuti'!$A$77,'prod e dest rifiuti'!$A$83)</c:f>
              <c:strCache>
                <c:ptCount val="2"/>
                <c:pt idx="0">
                  <c:v>Rifiuti destinati a recupero (%)</c:v>
                </c:pt>
                <c:pt idx="1">
                  <c:v>Rifiuti destinati a smaltimento (%)</c:v>
                </c:pt>
              </c:strCache>
            </c:strRef>
          </c:cat>
          <c:val>
            <c:numRef>
              <c:f>('prod e dest rifiuti'!#REF!,'prod e dest rifiuti'!#REF!)</c:f>
              <c:numCache>
                <c:formatCode>General</c:formatCode>
                <c:ptCount val="1"/>
                <c:pt idx="0">
                  <c:v>1</c:v>
                </c:pt>
              </c:numCache>
            </c:numRef>
          </c:val>
          <c:extLst>
            <c:ext xmlns:c16="http://schemas.microsoft.com/office/drawing/2014/chart" uri="{C3380CC4-5D6E-409C-BE32-E72D297353CC}">
              <c16:uniqueId val="{00000001-1A6B-4BB0-B152-C7B684341298}"/>
            </c:ext>
          </c:extLst>
        </c:ser>
        <c:dLbls>
          <c:showLegendKey val="0"/>
          <c:showVal val="1"/>
          <c:showCatName val="0"/>
          <c:showSerName val="0"/>
          <c:showPercent val="0"/>
          <c:showBubbleSize val="0"/>
          <c:showLeaderLines val="1"/>
        </c:dLbls>
      </c:pie3DChart>
      <c:spPr>
        <a:noFill/>
        <a:ln w="25400">
          <a:noFill/>
        </a:ln>
      </c:spPr>
    </c:plotArea>
    <c:legend>
      <c:legendPos val="r"/>
      <c:layout>
        <c:manualLayout>
          <c:xMode val="edge"/>
          <c:yMode val="edge"/>
          <c:x val="0.19072192006926969"/>
          <c:y val="0.10160427807486642"/>
          <c:w val="0.26030954893524932"/>
          <c:h val="0.38502786082226892"/>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it-IT"/>
        </a:p>
      </c:txPr>
    </c:legend>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paperSize="9"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it-IT"/>
              <a:t>RIFIUTI 2013
</a:t>
            </a:r>
          </a:p>
        </c:rich>
      </c:tx>
      <c:layout>
        <c:manualLayout>
          <c:xMode val="edge"/>
          <c:yMode val="edge"/>
          <c:x val="0.53465525035591865"/>
          <c:y val="6.3106606355056924E-2"/>
        </c:manualLayout>
      </c:layout>
      <c:overlay val="0"/>
      <c:spPr>
        <a:noFill/>
        <a:ln w="25400">
          <a:noFill/>
        </a:ln>
      </c:spPr>
    </c:title>
    <c:autoTitleDeleted val="0"/>
    <c:view3D>
      <c:rotX val="15"/>
      <c:rotY val="30"/>
      <c:rAngAx val="0"/>
      <c:perspective val="0"/>
    </c:view3D>
    <c:floor>
      <c:thickness val="0"/>
    </c:floor>
    <c:sideWall>
      <c:thickness val="0"/>
    </c:sideWall>
    <c:backWall>
      <c:thickness val="0"/>
    </c:backWall>
    <c:plotArea>
      <c:layout>
        <c:manualLayout>
          <c:layoutTarget val="inner"/>
          <c:xMode val="edge"/>
          <c:yMode val="edge"/>
          <c:x val="0.46461608265637416"/>
          <c:y val="0.5478723404255319"/>
          <c:w val="0.32923126386911594"/>
          <c:h val="0.22340425531914893"/>
        </c:manualLayout>
      </c:layout>
      <c:pie3DChart>
        <c:varyColors val="1"/>
        <c:ser>
          <c:idx val="0"/>
          <c:order val="0"/>
          <c:spPr>
            <a:solidFill>
              <a:srgbClr val="9999FF"/>
            </a:solidFill>
            <a:ln w="12700">
              <a:solidFill>
                <a:srgbClr val="000000"/>
              </a:solidFill>
              <a:prstDash val="solid"/>
            </a:ln>
          </c:spPr>
          <c:explosion val="25"/>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0-7E41-455A-9155-156AE7E3C2B1}"/>
              </c:ext>
            </c:extLst>
          </c:dPt>
          <c:dLbls>
            <c:spPr>
              <a:noFill/>
              <a:ln w="25400">
                <a:noFill/>
              </a:ln>
            </c:spPr>
            <c:txPr>
              <a:bodyPr/>
              <a:lstStyle/>
              <a:p>
                <a:pPr>
                  <a:defRPr sz="800" b="0" i="0" u="none" strike="noStrike" baseline="0">
                    <a:solidFill>
                      <a:srgbClr val="000000"/>
                    </a:solidFill>
                    <a:latin typeface="Arial"/>
                    <a:ea typeface="Arial"/>
                    <a:cs typeface="Arial"/>
                  </a:defRPr>
                </a:pPr>
                <a:endParaRPr lang="it-IT"/>
              </a:p>
            </c:txPr>
            <c:showLegendKey val="0"/>
            <c:showVal val="1"/>
            <c:showCatName val="0"/>
            <c:showSerName val="0"/>
            <c:showPercent val="0"/>
            <c:showBubbleSize val="0"/>
            <c:showLeaderLines val="1"/>
            <c:extLst>
              <c:ext xmlns:c15="http://schemas.microsoft.com/office/drawing/2012/chart" uri="{CE6537A1-D6FC-4f65-9D91-7224C49458BB}"/>
            </c:extLst>
          </c:dLbls>
          <c:cat>
            <c:strRef>
              <c:f>('prod e dest rifiuti'!$A$77,'prod e dest rifiuti'!$A$83)</c:f>
              <c:strCache>
                <c:ptCount val="2"/>
                <c:pt idx="0">
                  <c:v>Rifiuti destinati a recupero (%)</c:v>
                </c:pt>
                <c:pt idx="1">
                  <c:v>Rifiuti destinati a smaltimento (%)</c:v>
                </c:pt>
              </c:strCache>
            </c:strRef>
          </c:cat>
          <c:val>
            <c:numRef>
              <c:f>('prod e dest rifiuti'!#REF!,'prod e dest rifiuti'!#REF!)</c:f>
              <c:numCache>
                <c:formatCode>General</c:formatCode>
                <c:ptCount val="1"/>
                <c:pt idx="0">
                  <c:v>1</c:v>
                </c:pt>
              </c:numCache>
            </c:numRef>
          </c:val>
          <c:extLst>
            <c:ext xmlns:c16="http://schemas.microsoft.com/office/drawing/2014/chart" uri="{C3380CC4-5D6E-409C-BE32-E72D297353CC}">
              <c16:uniqueId val="{00000001-7E41-455A-9155-156AE7E3C2B1}"/>
            </c:ext>
          </c:extLst>
        </c:ser>
        <c:dLbls>
          <c:showLegendKey val="0"/>
          <c:showVal val="1"/>
          <c:showCatName val="0"/>
          <c:showSerName val="0"/>
          <c:showPercent val="0"/>
          <c:showBubbleSize val="0"/>
          <c:showLeaderLines val="1"/>
        </c:dLbls>
      </c:pie3DChart>
      <c:spPr>
        <a:noFill/>
        <a:ln w="25400">
          <a:noFill/>
        </a:ln>
      </c:spPr>
    </c:plotArea>
    <c:legend>
      <c:legendPos val="r"/>
      <c:layout>
        <c:manualLayout>
          <c:xMode val="edge"/>
          <c:yMode val="edge"/>
          <c:x val="0.18508997429305912"/>
          <c:y val="9.5744680851063843E-2"/>
          <c:w val="0.25964010282776367"/>
          <c:h val="0.38297872340430955"/>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it-IT"/>
        </a:p>
      </c:txPr>
    </c:legend>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it-IT"/>
              <a:t>quantitativi (kg) annui </a:t>
            </a:r>
            <a:r>
              <a:rPr lang="it-IT" baseline="0"/>
              <a:t>CER 13 02 05*</a:t>
            </a:r>
            <a:endParaRPr lang="it-IT"/>
          </a:p>
        </c:rich>
      </c:tx>
      <c:layout>
        <c:manualLayout>
          <c:xMode val="edge"/>
          <c:yMode val="edge"/>
          <c:x val="2.7236001749781281E-2"/>
          <c:y val="2.7799221038100255E-2"/>
        </c:manualLayout>
      </c:layout>
      <c:overlay val="0"/>
    </c:title>
    <c:autoTitleDeleted val="0"/>
    <c:plotArea>
      <c:layout>
        <c:manualLayout>
          <c:layoutTarget val="inner"/>
          <c:xMode val="edge"/>
          <c:yMode val="edge"/>
          <c:x val="9.1733476280944623E-2"/>
          <c:y val="0.19495389415282482"/>
          <c:w val="0.62231042580344531"/>
          <c:h val="0.6324286304250456"/>
        </c:manualLayout>
      </c:layout>
      <c:lineChart>
        <c:grouping val="standard"/>
        <c:varyColors val="0"/>
        <c:ser>
          <c:idx val="0"/>
          <c:order val="0"/>
          <c:tx>
            <c:v>CER 13 02 05*</c:v>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'prod e dest rifiuti'!#REF!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'prod e dest rifiuti'!#REF!</c15:sqref>
                        </c15:formulaRef>
                      </c:ext>
                    </c:extLst>
                  </c:multiLvlStrRef>
                </c15:cat>
              </c15:filteredCategoryTitle>
            </c:ext>
            <c:ext xmlns:c16="http://schemas.microsoft.com/office/drawing/2014/chart" uri="{C3380CC4-5D6E-409C-BE32-E72D297353CC}">
              <c16:uniqueId val="{00000000-327E-45BB-A62B-D8999079A9BF}"/>
            </c:ext>
          </c:extLst>
        </c:ser>
        <c:dLbls>
          <c:showLegendKey val="0"/>
          <c:showVal val="0"/>
          <c:showCatName val="0"/>
          <c:showSerName val="0"/>
          <c:showPercent val="0"/>
          <c:showBubbleSize val="0"/>
        </c:dLbls>
        <c:marker val="1"/>
        <c:smooth val="0"/>
        <c:axId val="346363392"/>
        <c:axId val="346364928"/>
      </c:lineChart>
      <c:catAx>
        <c:axId val="346363392"/>
        <c:scaling>
          <c:orientation val="minMax"/>
        </c:scaling>
        <c:delete val="0"/>
        <c:axPos val="b"/>
        <c:numFmt formatCode="General" sourceLinked="0"/>
        <c:majorTickMark val="out"/>
        <c:minorTickMark val="none"/>
        <c:tickLblPos val="nextTo"/>
        <c:crossAx val="346364928"/>
        <c:crosses val="autoZero"/>
        <c:auto val="1"/>
        <c:lblAlgn val="ctr"/>
        <c:lblOffset val="100"/>
        <c:noMultiLvlLbl val="0"/>
      </c:catAx>
      <c:valAx>
        <c:axId val="346364928"/>
        <c:scaling>
          <c:orientation val="minMax"/>
        </c:scaling>
        <c:delete val="0"/>
        <c:axPos val="l"/>
        <c:numFmt formatCode="General" sourceLinked="1"/>
        <c:majorTickMark val="out"/>
        <c:minorTickMark val="none"/>
        <c:tickLblPos val="nextTo"/>
        <c:crossAx val="346363392"/>
        <c:crosses val="autoZero"/>
        <c:crossBetween val="between"/>
      </c:valAx>
    </c:plotArea>
    <c:legend>
      <c:legendPos val="r"/>
      <c:layout>
        <c:manualLayout>
          <c:xMode val="edge"/>
          <c:yMode val="edge"/>
          <c:x val="0.54880336871921098"/>
          <c:y val="0.36307059542867104"/>
          <c:w val="0.21556563807450521"/>
          <c:h val="8.3781817704236733E-2"/>
        </c:manualLayout>
      </c:layout>
      <c:overlay val="0"/>
    </c:legend>
    <c:plotVisOnly val="1"/>
    <c:dispBlanksAs val="gap"/>
    <c:showDLblsOverMax val="0"/>
  </c:chart>
  <c:printSettings>
    <c:headerFooter/>
    <c:pageMargins b="0.75000000000000178" l="0.70000000000000062" r="0.70000000000000062" t="0.75000000000000178"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quantitativi</a:t>
            </a:r>
            <a:r>
              <a:rPr lang="en-US" baseline="0"/>
              <a:t> (Kg) annui CER 13 03 07*</a:t>
            </a:r>
            <a:r>
              <a:rPr lang="en-US"/>
              <a:t> </a:t>
            </a:r>
          </a:p>
        </c:rich>
      </c:tx>
      <c:overlay val="0"/>
    </c:title>
    <c:autoTitleDeleted val="0"/>
    <c:plotArea>
      <c:layout/>
      <c:lineChart>
        <c:grouping val="standard"/>
        <c:varyColors val="0"/>
        <c:ser>
          <c:idx val="0"/>
          <c:order val="0"/>
          <c:tx>
            <c:v>CER 13 03 07*</c:v>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'prod e dest rifiuti'!#REF!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'prod e dest rifiuti'!#REF!</c15:sqref>
                        </c15:formulaRef>
                      </c:ext>
                    </c:extLst>
                  </c:multiLvlStrRef>
                </c15:cat>
              </c15:filteredCategoryTitle>
            </c:ext>
            <c:ext xmlns:c16="http://schemas.microsoft.com/office/drawing/2014/chart" uri="{C3380CC4-5D6E-409C-BE32-E72D297353CC}">
              <c16:uniqueId val="{00000000-6EB4-4D38-ABD8-985BDE017490}"/>
            </c:ext>
          </c:extLst>
        </c:ser>
        <c:dLbls>
          <c:showLegendKey val="0"/>
          <c:showVal val="0"/>
          <c:showCatName val="0"/>
          <c:showSerName val="0"/>
          <c:showPercent val="0"/>
          <c:showBubbleSize val="0"/>
        </c:dLbls>
        <c:marker val="1"/>
        <c:smooth val="0"/>
        <c:axId val="346385792"/>
        <c:axId val="346399872"/>
      </c:lineChart>
      <c:catAx>
        <c:axId val="346385792"/>
        <c:scaling>
          <c:orientation val="minMax"/>
        </c:scaling>
        <c:delete val="0"/>
        <c:axPos val="b"/>
        <c:numFmt formatCode="General" sourceLinked="0"/>
        <c:majorTickMark val="none"/>
        <c:minorTickMark val="none"/>
        <c:tickLblPos val="nextTo"/>
        <c:crossAx val="346399872"/>
        <c:crosses val="autoZero"/>
        <c:auto val="1"/>
        <c:lblAlgn val="ctr"/>
        <c:lblOffset val="100"/>
        <c:noMultiLvlLbl val="0"/>
      </c:catAx>
      <c:valAx>
        <c:axId val="346399872"/>
        <c:scaling>
          <c:orientation val="minMax"/>
        </c:scaling>
        <c:delete val="0"/>
        <c:axPos val="l"/>
        <c:majorGridlines/>
        <c:numFmt formatCode="General" sourceLinked="1"/>
        <c:majorTickMark val="none"/>
        <c:minorTickMark val="none"/>
        <c:tickLblPos val="nextTo"/>
        <c:spPr>
          <a:ln w="9525">
            <a:noFill/>
          </a:ln>
        </c:spPr>
        <c:crossAx val="346385792"/>
        <c:crosses val="autoZero"/>
        <c:crossBetween val="between"/>
      </c:valAx>
    </c:plotArea>
    <c:legend>
      <c:legendPos val="b"/>
      <c:overlay val="0"/>
    </c:legend>
    <c:plotVisOnly val="1"/>
    <c:dispBlanksAs val="gap"/>
    <c:showDLblsOverMax val="0"/>
  </c:chart>
  <c:printSettings>
    <c:headerFooter/>
    <c:pageMargins b="0.75000000000000167" l="0.70000000000000062" r="0.70000000000000062" t="0.75000000000000167"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it-IT"/>
              <a:t>quantitativi (Kg)</a:t>
            </a:r>
            <a:r>
              <a:rPr lang="it-IT" baseline="0"/>
              <a:t> annui </a:t>
            </a:r>
            <a:r>
              <a:rPr lang="it-IT"/>
              <a:t>CER 15 01 11*</a:t>
            </a:r>
          </a:p>
        </c:rich>
      </c:tx>
      <c:overlay val="0"/>
    </c:title>
    <c:autoTitleDeleted val="0"/>
    <c:plotArea>
      <c:layout>
        <c:manualLayout>
          <c:layoutTarget val="inner"/>
          <c:xMode val="edge"/>
          <c:yMode val="edge"/>
          <c:x val="8.4850612423447228E-2"/>
          <c:y val="0.19480351414406533"/>
          <c:w val="0.80730205599300087"/>
          <c:h val="0.56136628754738949"/>
        </c:manualLayout>
      </c:layout>
      <c:lineChart>
        <c:grouping val="standard"/>
        <c:varyColors val="0"/>
        <c:ser>
          <c:idx val="0"/>
          <c:order val="0"/>
          <c:tx>
            <c:v>CER 15 01 11*</c:v>
          </c:tx>
          <c:marker>
            <c:symbol val="none"/>
          </c:marke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'prod e dest rifiuti'!#REF!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'prod e dest rifiuti'!#REF!</c15:sqref>
                        </c15:formulaRef>
                      </c:ext>
                    </c:extLst>
                  </c:multiLvlStrRef>
                </c15:cat>
              </c15:filteredCategoryTitle>
            </c:ext>
            <c:ext xmlns:c16="http://schemas.microsoft.com/office/drawing/2014/chart" uri="{C3380CC4-5D6E-409C-BE32-E72D297353CC}">
              <c16:uniqueId val="{00000000-DE4D-49D8-96F1-5A26D659875D}"/>
            </c:ext>
          </c:extLst>
        </c:ser>
        <c:dLbls>
          <c:showLegendKey val="0"/>
          <c:showVal val="0"/>
          <c:showCatName val="0"/>
          <c:showSerName val="0"/>
          <c:showPercent val="0"/>
          <c:showBubbleSize val="0"/>
        </c:dLbls>
        <c:smooth val="0"/>
        <c:axId val="346433024"/>
        <c:axId val="346434560"/>
      </c:lineChart>
      <c:catAx>
        <c:axId val="346433024"/>
        <c:scaling>
          <c:orientation val="minMax"/>
        </c:scaling>
        <c:delete val="0"/>
        <c:axPos val="b"/>
        <c:numFmt formatCode="General" sourceLinked="0"/>
        <c:majorTickMark val="out"/>
        <c:minorTickMark val="none"/>
        <c:tickLblPos val="nextTo"/>
        <c:crossAx val="346434560"/>
        <c:crosses val="autoZero"/>
        <c:auto val="1"/>
        <c:lblAlgn val="ctr"/>
        <c:lblOffset val="100"/>
        <c:noMultiLvlLbl val="0"/>
      </c:catAx>
      <c:valAx>
        <c:axId val="346434560"/>
        <c:scaling>
          <c:orientation val="minMax"/>
        </c:scaling>
        <c:delete val="0"/>
        <c:axPos val="l"/>
        <c:majorGridlines/>
        <c:numFmt formatCode="General" sourceLinked="1"/>
        <c:majorTickMark val="out"/>
        <c:minorTickMark val="none"/>
        <c:tickLblPos val="nextTo"/>
        <c:crossAx val="346433024"/>
        <c:crosses val="autoZero"/>
        <c:crossBetween val="between"/>
      </c:valAx>
    </c:plotArea>
    <c:legend>
      <c:legendPos val="r"/>
      <c:layout>
        <c:manualLayout>
          <c:xMode val="edge"/>
          <c:yMode val="edge"/>
          <c:x val="0.49493044619422588"/>
          <c:y val="0.90484288422280545"/>
          <c:w val="0.24395844269466377"/>
          <c:h val="8.3717191601050026E-2"/>
        </c:manualLayout>
      </c:layout>
      <c:overlay val="0"/>
    </c:legend>
    <c:plotVisOnly val="1"/>
    <c:dispBlanksAs val="gap"/>
    <c:showDLblsOverMax val="0"/>
  </c:chart>
  <c:printSettings>
    <c:headerFooter/>
    <c:pageMargins b="0.75000000000000167" l="0.70000000000000062" r="0.70000000000000062" t="0.75000000000000167"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it-IT"/>
              <a:t>RENDIMENTO IMPIANTO TERMICO N° 1 - MENSA/SPOGLIATOIO     (95,3 KW - RIELLO)</a:t>
            </a:r>
          </a:p>
        </c:rich>
      </c:tx>
      <c:layout>
        <c:manualLayout>
          <c:xMode val="edge"/>
          <c:yMode val="edge"/>
          <c:x val="0.15116267918433271"/>
          <c:y val="1.8939393939393936E-2"/>
        </c:manualLayout>
      </c:layout>
      <c:overlay val="0"/>
      <c:spPr>
        <a:noFill/>
        <a:ln w="25400">
          <a:noFill/>
        </a:ln>
      </c:spPr>
    </c:title>
    <c:autoTitleDeleted val="0"/>
    <c:plotArea>
      <c:layout>
        <c:manualLayout>
          <c:layoutTarget val="inner"/>
          <c:xMode val="edge"/>
          <c:yMode val="edge"/>
          <c:x val="0.19471153846153846"/>
          <c:y val="0.26515249597724544"/>
          <c:w val="0.49038461538470784"/>
          <c:h val="0.56060813435183265"/>
        </c:manualLayout>
      </c:layout>
      <c:barChart>
        <c:barDir val="col"/>
        <c:grouping val="clustered"/>
        <c:varyColors val="0"/>
        <c:ser>
          <c:idx val="0"/>
          <c:order val="0"/>
          <c:tx>
            <c:strRef>
              <c:f>'Impianti riscaldamento'!$D$26:$F$26</c:f>
              <c:strCache>
                <c:ptCount val="1"/>
                <c:pt idx="0">
                  <c:v>Anno 2004</c:v>
                </c:pt>
              </c:strCache>
            </c:strRef>
          </c:tx>
          <c:spPr>
            <a:solidFill>
              <a:srgbClr val="9999FF"/>
            </a:solidFill>
            <a:ln w="12700">
              <a:solidFill>
                <a:srgbClr val="000000"/>
              </a:solidFill>
              <a:prstDash val="solid"/>
            </a:ln>
          </c:spPr>
          <c:invertIfNegative val="0"/>
          <c:cat>
            <c:strLit>
              <c:ptCount val="1"/>
              <c:pt idx="0">
                <c:v>ANNO</c:v>
              </c:pt>
            </c:strLit>
          </c:cat>
          <c:val>
            <c:numRef>
              <c:f>'Impianti riscaldamento'!$F$28</c:f>
              <c:numCache>
                <c:formatCode>General</c:formatCode>
                <c:ptCount val="1"/>
                <c:pt idx="0">
                  <c:v>93.6</c:v>
                </c:pt>
              </c:numCache>
            </c:numRef>
          </c:val>
          <c:extLst>
            <c:ext xmlns:c16="http://schemas.microsoft.com/office/drawing/2014/chart" uri="{C3380CC4-5D6E-409C-BE32-E72D297353CC}">
              <c16:uniqueId val="{00000000-DC67-4F2B-B971-F0FC4B092E7F}"/>
            </c:ext>
          </c:extLst>
        </c:ser>
        <c:ser>
          <c:idx val="1"/>
          <c:order val="1"/>
          <c:tx>
            <c:strRef>
              <c:f>'Impianti riscaldamento'!$G$26:$I$26</c:f>
              <c:strCache>
                <c:ptCount val="1"/>
                <c:pt idx="0">
                  <c:v>Anno 2005</c:v>
                </c:pt>
              </c:strCache>
            </c:strRef>
          </c:tx>
          <c:spPr>
            <a:solidFill>
              <a:srgbClr val="993366"/>
            </a:solidFill>
            <a:ln w="12700">
              <a:solidFill>
                <a:srgbClr val="000000"/>
              </a:solidFill>
              <a:prstDash val="solid"/>
            </a:ln>
          </c:spPr>
          <c:invertIfNegative val="0"/>
          <c:cat>
            <c:strLit>
              <c:ptCount val="1"/>
              <c:pt idx="0">
                <c:v>ANNO</c:v>
              </c:pt>
            </c:strLit>
          </c:cat>
          <c:val>
            <c:numRef>
              <c:f>'Impianti riscaldamento'!$I$28</c:f>
              <c:numCache>
                <c:formatCode>General</c:formatCode>
                <c:ptCount val="1"/>
                <c:pt idx="0">
                  <c:v>92.3</c:v>
                </c:pt>
              </c:numCache>
            </c:numRef>
          </c:val>
          <c:extLst>
            <c:ext xmlns:c16="http://schemas.microsoft.com/office/drawing/2014/chart" uri="{C3380CC4-5D6E-409C-BE32-E72D297353CC}">
              <c16:uniqueId val="{00000001-DC67-4F2B-B971-F0FC4B092E7F}"/>
            </c:ext>
          </c:extLst>
        </c:ser>
        <c:ser>
          <c:idx val="2"/>
          <c:order val="2"/>
          <c:tx>
            <c:strRef>
              <c:f>'Impianti riscaldamento'!$J$26:$L$26</c:f>
              <c:strCache>
                <c:ptCount val="1"/>
                <c:pt idx="0">
                  <c:v>Anno 2006</c:v>
                </c:pt>
              </c:strCache>
            </c:strRef>
          </c:tx>
          <c:spPr>
            <a:solidFill>
              <a:srgbClr val="FFFFCC"/>
            </a:solidFill>
            <a:ln w="12700">
              <a:solidFill>
                <a:srgbClr val="000000"/>
              </a:solidFill>
              <a:prstDash val="solid"/>
            </a:ln>
          </c:spPr>
          <c:invertIfNegative val="0"/>
          <c:cat>
            <c:strLit>
              <c:ptCount val="1"/>
              <c:pt idx="0">
                <c:v>ANNO</c:v>
              </c:pt>
            </c:strLit>
          </c:cat>
          <c:val>
            <c:numRef>
              <c:f>'Impianti riscaldamento'!$L$28</c:f>
              <c:numCache>
                <c:formatCode>General</c:formatCode>
                <c:ptCount val="1"/>
                <c:pt idx="0">
                  <c:v>93.7</c:v>
                </c:pt>
              </c:numCache>
            </c:numRef>
          </c:val>
          <c:extLst>
            <c:ext xmlns:c16="http://schemas.microsoft.com/office/drawing/2014/chart" uri="{C3380CC4-5D6E-409C-BE32-E72D297353CC}">
              <c16:uniqueId val="{00000002-DC67-4F2B-B971-F0FC4B092E7F}"/>
            </c:ext>
          </c:extLst>
        </c:ser>
        <c:ser>
          <c:idx val="3"/>
          <c:order val="3"/>
          <c:tx>
            <c:strRef>
              <c:f>'Impianti riscaldamento'!$M$26:$O$26</c:f>
              <c:strCache>
                <c:ptCount val="1"/>
                <c:pt idx="0">
                  <c:v>Anno 2007</c:v>
                </c:pt>
              </c:strCache>
            </c:strRef>
          </c:tx>
          <c:spPr>
            <a:solidFill>
              <a:srgbClr val="CCFFFF"/>
            </a:solidFill>
            <a:ln w="12700">
              <a:solidFill>
                <a:srgbClr val="000000"/>
              </a:solidFill>
              <a:prstDash val="solid"/>
            </a:ln>
          </c:spPr>
          <c:invertIfNegative val="0"/>
          <c:cat>
            <c:strLit>
              <c:ptCount val="1"/>
              <c:pt idx="0">
                <c:v>ANNO</c:v>
              </c:pt>
            </c:strLit>
          </c:cat>
          <c:val>
            <c:numRef>
              <c:f>'Impianti riscaldamento'!$O$28</c:f>
              <c:numCache>
                <c:formatCode>General</c:formatCode>
                <c:ptCount val="1"/>
                <c:pt idx="0">
                  <c:v>91.9</c:v>
                </c:pt>
              </c:numCache>
            </c:numRef>
          </c:val>
          <c:extLst>
            <c:ext xmlns:c16="http://schemas.microsoft.com/office/drawing/2014/chart" uri="{C3380CC4-5D6E-409C-BE32-E72D297353CC}">
              <c16:uniqueId val="{00000003-DC67-4F2B-B971-F0FC4B092E7F}"/>
            </c:ext>
          </c:extLst>
        </c:ser>
        <c:ser>
          <c:idx val="4"/>
          <c:order val="4"/>
          <c:tx>
            <c:strRef>
              <c:f>'Impianti riscaldamento'!$P$26:$R$26</c:f>
              <c:strCache>
                <c:ptCount val="1"/>
                <c:pt idx="0">
                  <c:v>Anno 2008</c:v>
                </c:pt>
              </c:strCache>
            </c:strRef>
          </c:tx>
          <c:spPr>
            <a:solidFill>
              <a:srgbClr val="660066"/>
            </a:solidFill>
            <a:ln w="12700">
              <a:solidFill>
                <a:srgbClr val="000000"/>
              </a:solidFill>
              <a:prstDash val="solid"/>
            </a:ln>
          </c:spPr>
          <c:invertIfNegative val="0"/>
          <c:cat>
            <c:strLit>
              <c:ptCount val="1"/>
              <c:pt idx="0">
                <c:v>ANNO</c:v>
              </c:pt>
            </c:strLit>
          </c:cat>
          <c:val>
            <c:numRef>
              <c:f>'Impianti riscaldamento'!$R$28</c:f>
              <c:numCache>
                <c:formatCode>General</c:formatCode>
                <c:ptCount val="1"/>
                <c:pt idx="0">
                  <c:v>92.2</c:v>
                </c:pt>
              </c:numCache>
            </c:numRef>
          </c:val>
          <c:extLst>
            <c:ext xmlns:c16="http://schemas.microsoft.com/office/drawing/2014/chart" uri="{C3380CC4-5D6E-409C-BE32-E72D297353CC}">
              <c16:uniqueId val="{00000004-DC67-4F2B-B971-F0FC4B092E7F}"/>
            </c:ext>
          </c:extLst>
        </c:ser>
        <c:ser>
          <c:idx val="5"/>
          <c:order val="5"/>
          <c:tx>
            <c:strRef>
              <c:f>'Impianti riscaldamento'!$S$26:$U$26</c:f>
              <c:strCache>
                <c:ptCount val="1"/>
                <c:pt idx="0">
                  <c:v>Anno 2009</c:v>
                </c:pt>
              </c:strCache>
            </c:strRef>
          </c:tx>
          <c:spPr>
            <a:solidFill>
              <a:srgbClr val="FF8080"/>
            </a:solidFill>
            <a:ln w="12700">
              <a:solidFill>
                <a:srgbClr val="000000"/>
              </a:solidFill>
              <a:prstDash val="solid"/>
            </a:ln>
          </c:spPr>
          <c:invertIfNegative val="0"/>
          <c:cat>
            <c:strLit>
              <c:ptCount val="1"/>
              <c:pt idx="0">
                <c:v>ANNO</c:v>
              </c:pt>
            </c:strLit>
          </c:cat>
          <c:val>
            <c:numRef>
              <c:f>'Impianti riscaldamento'!$U$28</c:f>
              <c:numCache>
                <c:formatCode>General</c:formatCode>
                <c:ptCount val="1"/>
                <c:pt idx="0">
                  <c:v>92.3</c:v>
                </c:pt>
              </c:numCache>
            </c:numRef>
          </c:val>
          <c:extLst>
            <c:ext xmlns:c16="http://schemas.microsoft.com/office/drawing/2014/chart" uri="{C3380CC4-5D6E-409C-BE32-E72D297353CC}">
              <c16:uniqueId val="{00000005-DC67-4F2B-B971-F0FC4B092E7F}"/>
            </c:ext>
          </c:extLst>
        </c:ser>
        <c:dLbls>
          <c:showLegendKey val="0"/>
          <c:showVal val="0"/>
          <c:showCatName val="0"/>
          <c:showSerName val="0"/>
          <c:showPercent val="0"/>
          <c:showBubbleSize val="0"/>
        </c:dLbls>
        <c:gapWidth val="150"/>
        <c:axId val="349357952"/>
        <c:axId val="349359488"/>
      </c:barChart>
      <c:catAx>
        <c:axId val="349357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it-IT"/>
          </a:p>
        </c:txPr>
        <c:crossAx val="349359488"/>
        <c:crosses val="autoZero"/>
        <c:auto val="1"/>
        <c:lblAlgn val="ctr"/>
        <c:lblOffset val="100"/>
        <c:tickLblSkip val="1"/>
        <c:tickMarkSkip val="1"/>
        <c:noMultiLvlLbl val="0"/>
      </c:catAx>
      <c:valAx>
        <c:axId val="349359488"/>
        <c:scaling>
          <c:orientation val="minMax"/>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it-IT"/>
                  <a:t>Rendimento %</a:t>
                </a:r>
              </a:p>
            </c:rich>
          </c:tx>
          <c:layout>
            <c:manualLayout>
              <c:xMode val="edge"/>
              <c:yMode val="edge"/>
              <c:x val="5.2325610740965103E-2"/>
              <c:y val="0.3863652270739246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it-IT"/>
          </a:p>
        </c:txPr>
        <c:crossAx val="349357952"/>
        <c:crosses val="autoZero"/>
        <c:crossBetween val="between"/>
      </c:valAx>
      <c:spPr>
        <a:solidFill>
          <a:srgbClr val="C0C0C0"/>
        </a:solidFill>
        <a:ln w="12700">
          <a:solidFill>
            <a:srgbClr val="808080"/>
          </a:solidFill>
          <a:prstDash val="solid"/>
        </a:ln>
      </c:spPr>
    </c:plotArea>
    <c:legend>
      <c:legendPos val="r"/>
      <c:layout>
        <c:manualLayout>
          <c:xMode val="edge"/>
          <c:yMode val="edge"/>
          <c:x val="0.73557692307692257"/>
          <c:y val="0.31439513242662825"/>
          <c:w val="0.21875000000000044"/>
          <c:h val="0.50378986717569463"/>
        </c:manualLayout>
      </c:layout>
      <c:overlay val="0"/>
      <c:spPr>
        <a:solidFill>
          <a:srgbClr val="FFFFFF"/>
        </a:solidFill>
        <a:ln w="3175">
          <a:solidFill>
            <a:srgbClr val="000000"/>
          </a:solidFill>
          <a:prstDash val="solid"/>
        </a:ln>
      </c:spPr>
      <c:txPr>
        <a:bodyPr/>
        <a:lstStyle/>
        <a:p>
          <a:pPr>
            <a:defRPr sz="860" b="0" i="0" u="none" strike="noStrike" baseline="0">
              <a:solidFill>
                <a:srgbClr val="000000"/>
              </a:solidFill>
              <a:latin typeface="Arial"/>
              <a:ea typeface="Arial"/>
              <a:cs typeface="Arial"/>
            </a:defRPr>
          </a:pPr>
          <a:endParaRPr lang="it-IT"/>
        </a:p>
      </c:txPr>
    </c:legend>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it-IT"/>
              <a:t>RENDIMENTO IMPIANTO TERMICO N° 2-  UFFICI                                  (60,58 KW)</a:t>
            </a:r>
          </a:p>
        </c:rich>
      </c:tx>
      <c:layout>
        <c:manualLayout>
          <c:xMode val="edge"/>
          <c:yMode val="edge"/>
          <c:x val="0.15492987320248044"/>
          <c:y val="1.6393550806149241E-2"/>
        </c:manualLayout>
      </c:layout>
      <c:overlay val="0"/>
      <c:spPr>
        <a:noFill/>
        <a:ln w="25400">
          <a:noFill/>
        </a:ln>
      </c:spPr>
    </c:title>
    <c:autoTitleDeleted val="0"/>
    <c:plotArea>
      <c:layout>
        <c:manualLayout>
          <c:layoutTarget val="inner"/>
          <c:xMode val="edge"/>
          <c:yMode val="edge"/>
          <c:x val="0.22535242263482427"/>
          <c:y val="0.24857142857144943"/>
          <c:w val="0.47605699281607688"/>
          <c:h val="0.53142857142860001"/>
        </c:manualLayout>
      </c:layout>
      <c:barChart>
        <c:barDir val="col"/>
        <c:grouping val="clustered"/>
        <c:varyColors val="0"/>
        <c:ser>
          <c:idx val="0"/>
          <c:order val="0"/>
          <c:spPr>
            <a:solidFill>
              <a:srgbClr val="9999FF"/>
            </a:solidFill>
            <a:ln w="12700">
              <a:solidFill>
                <a:srgbClr val="000000"/>
              </a:solidFill>
              <a:prstDash val="solid"/>
            </a:ln>
          </c:spPr>
          <c:invertIfNegative val="0"/>
          <c:val>
            <c:numRef>
              <c:f>'Impianti riscaldamento'!$F$30</c:f>
              <c:numCache>
                <c:formatCode>General</c:formatCode>
                <c:ptCount val="1"/>
                <c:pt idx="0">
                  <c:v>93.8</c:v>
                </c:pt>
              </c:numCache>
            </c:numRef>
          </c:val>
          <c:extLst>
            <c:ext xmlns:c16="http://schemas.microsoft.com/office/drawing/2014/chart" uri="{C3380CC4-5D6E-409C-BE32-E72D297353CC}">
              <c16:uniqueId val="{00000000-054C-4292-BC2A-146ED41C9E90}"/>
            </c:ext>
          </c:extLst>
        </c:ser>
        <c:ser>
          <c:idx val="1"/>
          <c:order val="1"/>
          <c:spPr>
            <a:solidFill>
              <a:srgbClr val="993366"/>
            </a:solidFill>
            <a:ln w="12700">
              <a:solidFill>
                <a:srgbClr val="000000"/>
              </a:solidFill>
              <a:prstDash val="solid"/>
            </a:ln>
          </c:spPr>
          <c:invertIfNegative val="0"/>
          <c:val>
            <c:numRef>
              <c:f>'Impianti riscaldamento'!$I$30</c:f>
              <c:numCache>
                <c:formatCode>General</c:formatCode>
                <c:ptCount val="1"/>
                <c:pt idx="0">
                  <c:v>93.1</c:v>
                </c:pt>
              </c:numCache>
            </c:numRef>
          </c:val>
          <c:extLst>
            <c:ext xmlns:c16="http://schemas.microsoft.com/office/drawing/2014/chart" uri="{C3380CC4-5D6E-409C-BE32-E72D297353CC}">
              <c16:uniqueId val="{00000001-054C-4292-BC2A-146ED41C9E90}"/>
            </c:ext>
          </c:extLst>
        </c:ser>
        <c:ser>
          <c:idx val="2"/>
          <c:order val="2"/>
          <c:spPr>
            <a:solidFill>
              <a:srgbClr val="FFFFCC"/>
            </a:solidFill>
            <a:ln w="12700">
              <a:solidFill>
                <a:srgbClr val="000000"/>
              </a:solidFill>
              <a:prstDash val="solid"/>
            </a:ln>
          </c:spPr>
          <c:invertIfNegative val="0"/>
          <c:val>
            <c:numRef>
              <c:f>'Impianti riscaldamento'!$L$30</c:f>
              <c:numCache>
                <c:formatCode>General</c:formatCode>
                <c:ptCount val="1"/>
                <c:pt idx="0">
                  <c:v>93.6</c:v>
                </c:pt>
              </c:numCache>
            </c:numRef>
          </c:val>
          <c:extLst>
            <c:ext xmlns:c16="http://schemas.microsoft.com/office/drawing/2014/chart" uri="{C3380CC4-5D6E-409C-BE32-E72D297353CC}">
              <c16:uniqueId val="{00000002-054C-4292-BC2A-146ED41C9E90}"/>
            </c:ext>
          </c:extLst>
        </c:ser>
        <c:ser>
          <c:idx val="3"/>
          <c:order val="3"/>
          <c:spPr>
            <a:solidFill>
              <a:srgbClr val="CCFFFF"/>
            </a:solidFill>
            <a:ln w="12700">
              <a:solidFill>
                <a:srgbClr val="000000"/>
              </a:solidFill>
              <a:prstDash val="solid"/>
            </a:ln>
          </c:spPr>
          <c:invertIfNegative val="0"/>
          <c:val>
            <c:numRef>
              <c:f>'Impianti riscaldamento'!$O$30</c:f>
              <c:numCache>
                <c:formatCode>General</c:formatCode>
                <c:ptCount val="1"/>
                <c:pt idx="0">
                  <c:v>91.8</c:v>
                </c:pt>
              </c:numCache>
            </c:numRef>
          </c:val>
          <c:extLst>
            <c:ext xmlns:c16="http://schemas.microsoft.com/office/drawing/2014/chart" uri="{C3380CC4-5D6E-409C-BE32-E72D297353CC}">
              <c16:uniqueId val="{00000003-054C-4292-BC2A-146ED41C9E90}"/>
            </c:ext>
          </c:extLst>
        </c:ser>
        <c:ser>
          <c:idx val="4"/>
          <c:order val="4"/>
          <c:spPr>
            <a:solidFill>
              <a:srgbClr val="660066"/>
            </a:solidFill>
            <a:ln w="12700">
              <a:solidFill>
                <a:srgbClr val="000000"/>
              </a:solidFill>
              <a:prstDash val="solid"/>
            </a:ln>
          </c:spPr>
          <c:invertIfNegative val="0"/>
          <c:val>
            <c:numRef>
              <c:f>'Impianti riscaldamento'!$R$30</c:f>
              <c:numCache>
                <c:formatCode>General</c:formatCode>
                <c:ptCount val="1"/>
                <c:pt idx="0">
                  <c:v>92.9</c:v>
                </c:pt>
              </c:numCache>
            </c:numRef>
          </c:val>
          <c:extLst>
            <c:ext xmlns:c16="http://schemas.microsoft.com/office/drawing/2014/chart" uri="{C3380CC4-5D6E-409C-BE32-E72D297353CC}">
              <c16:uniqueId val="{00000004-054C-4292-BC2A-146ED41C9E90}"/>
            </c:ext>
          </c:extLst>
        </c:ser>
        <c:ser>
          <c:idx val="5"/>
          <c:order val="5"/>
          <c:spPr>
            <a:solidFill>
              <a:srgbClr val="FF8080"/>
            </a:solidFill>
            <a:ln w="12700">
              <a:solidFill>
                <a:srgbClr val="000000"/>
              </a:solidFill>
              <a:prstDash val="solid"/>
            </a:ln>
          </c:spPr>
          <c:invertIfNegative val="0"/>
          <c:val>
            <c:numRef>
              <c:f>'Impianti riscaldamento'!$U$30</c:f>
              <c:numCache>
                <c:formatCode>General</c:formatCode>
                <c:ptCount val="1"/>
                <c:pt idx="0">
                  <c:v>92</c:v>
                </c:pt>
              </c:numCache>
            </c:numRef>
          </c:val>
          <c:extLst>
            <c:ext xmlns:c16="http://schemas.microsoft.com/office/drawing/2014/chart" uri="{C3380CC4-5D6E-409C-BE32-E72D297353CC}">
              <c16:uniqueId val="{00000005-054C-4292-BC2A-146ED41C9E90}"/>
            </c:ext>
          </c:extLst>
        </c:ser>
        <c:ser>
          <c:idx val="6"/>
          <c:order val="6"/>
          <c:spPr>
            <a:solidFill>
              <a:srgbClr val="0066CC"/>
            </a:solidFill>
            <a:ln w="12700">
              <a:solidFill>
                <a:srgbClr val="000000"/>
              </a:solidFill>
              <a:prstDash val="solid"/>
            </a:ln>
          </c:spPr>
          <c:invertIfNegative val="0"/>
          <c:val>
            <c:numRef>
              <c:f>'Impianti riscaldamento'!$X$30</c:f>
              <c:numCache>
                <c:formatCode>General</c:formatCode>
                <c:ptCount val="1"/>
                <c:pt idx="0">
                  <c:v>93</c:v>
                </c:pt>
              </c:numCache>
            </c:numRef>
          </c:val>
          <c:extLst>
            <c:ext xmlns:c16="http://schemas.microsoft.com/office/drawing/2014/chart" uri="{C3380CC4-5D6E-409C-BE32-E72D297353CC}">
              <c16:uniqueId val="{00000006-054C-4292-BC2A-146ED41C9E90}"/>
            </c:ext>
          </c:extLst>
        </c:ser>
        <c:ser>
          <c:idx val="7"/>
          <c:order val="7"/>
          <c:spPr>
            <a:solidFill>
              <a:srgbClr val="CCCCFF"/>
            </a:solidFill>
            <a:ln w="12700">
              <a:solidFill>
                <a:srgbClr val="000000"/>
              </a:solidFill>
              <a:prstDash val="solid"/>
            </a:ln>
          </c:spPr>
          <c:invertIfNegative val="0"/>
          <c:val>
            <c:numRef>
              <c:f>'Impianti riscaldamento'!$AA$30</c:f>
              <c:numCache>
                <c:formatCode>General</c:formatCode>
                <c:ptCount val="1"/>
                <c:pt idx="0">
                  <c:v>92.1</c:v>
                </c:pt>
              </c:numCache>
            </c:numRef>
          </c:val>
          <c:extLst>
            <c:ext xmlns:c16="http://schemas.microsoft.com/office/drawing/2014/chart" uri="{C3380CC4-5D6E-409C-BE32-E72D297353CC}">
              <c16:uniqueId val="{00000007-054C-4292-BC2A-146ED41C9E90}"/>
            </c:ext>
          </c:extLst>
        </c:ser>
        <c:dLbls>
          <c:showLegendKey val="0"/>
          <c:showVal val="0"/>
          <c:showCatName val="0"/>
          <c:showSerName val="0"/>
          <c:showPercent val="0"/>
          <c:showBubbleSize val="0"/>
        </c:dLbls>
        <c:gapWidth val="150"/>
        <c:axId val="346825088"/>
        <c:axId val="346827008"/>
      </c:barChart>
      <c:catAx>
        <c:axId val="346825088"/>
        <c:scaling>
          <c:orientation val="minMax"/>
        </c:scaling>
        <c:delete val="0"/>
        <c:axPos val="b"/>
        <c:title>
          <c:tx>
            <c:rich>
              <a:bodyPr/>
              <a:lstStyle/>
              <a:p>
                <a:pPr>
                  <a:defRPr sz="1025" b="1" i="0" u="none" strike="noStrike" baseline="0">
                    <a:solidFill>
                      <a:srgbClr val="000000"/>
                    </a:solidFill>
                    <a:latin typeface="Arial"/>
                    <a:ea typeface="Arial"/>
                    <a:cs typeface="Arial"/>
                  </a:defRPr>
                </a:pPr>
                <a:r>
                  <a:rPr lang="it-IT"/>
                  <a:t>ANNO</a:t>
                </a:r>
              </a:p>
            </c:rich>
          </c:tx>
          <c:layout>
            <c:manualLayout>
              <c:xMode val="edge"/>
              <c:yMode val="edge"/>
              <c:x val="0.40000059147536132"/>
              <c:y val="0.8590164229471315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it-IT"/>
          </a:p>
        </c:txPr>
        <c:crossAx val="346827008"/>
        <c:crosses val="autoZero"/>
        <c:auto val="1"/>
        <c:lblAlgn val="ctr"/>
        <c:lblOffset val="100"/>
        <c:tickLblSkip val="1"/>
        <c:tickMarkSkip val="1"/>
        <c:noMultiLvlLbl val="0"/>
      </c:catAx>
      <c:valAx>
        <c:axId val="346827008"/>
        <c:scaling>
          <c:orientation val="minMax"/>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it-IT"/>
                  <a:t>Rendimento %</a:t>
                </a:r>
              </a:p>
            </c:rich>
          </c:tx>
          <c:layout>
            <c:manualLayout>
              <c:xMode val="edge"/>
              <c:yMode val="edge"/>
              <c:x val="4.5070422535211423E-2"/>
              <c:y val="0.3540982377202849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it-IT"/>
          </a:p>
        </c:txPr>
        <c:crossAx val="346825088"/>
        <c:crosses val="autoZero"/>
        <c:crossBetween val="between"/>
      </c:valAx>
      <c:spPr>
        <a:solidFill>
          <a:srgbClr val="C0C0C0"/>
        </a:solidFill>
        <a:ln w="12700">
          <a:solidFill>
            <a:srgbClr val="808080"/>
          </a:solidFill>
          <a:prstDash val="solid"/>
        </a:ln>
      </c:spPr>
    </c:plotArea>
    <c:legend>
      <c:legendPos val="r"/>
      <c:layout>
        <c:manualLayout>
          <c:xMode val="edge"/>
          <c:yMode val="edge"/>
          <c:x val="0.8028180843592001"/>
          <c:y val="0.34571428571431806"/>
          <c:w val="0.17746508447008996"/>
          <c:h val="0.38000000000001088"/>
        </c:manualLayout>
      </c:layout>
      <c:overlay val="0"/>
      <c:spPr>
        <a:solidFill>
          <a:srgbClr val="FFFFFF"/>
        </a:solidFill>
        <a:ln w="3175">
          <a:solidFill>
            <a:srgbClr val="000000"/>
          </a:solidFill>
          <a:prstDash val="solid"/>
        </a:ln>
      </c:spPr>
      <c:txPr>
        <a:bodyPr/>
        <a:lstStyle/>
        <a:p>
          <a:pPr>
            <a:defRPr sz="905" b="0" i="0" u="none" strike="noStrike" baseline="0">
              <a:solidFill>
                <a:srgbClr val="000000"/>
              </a:solidFill>
              <a:latin typeface="Arial"/>
              <a:ea typeface="Arial"/>
              <a:cs typeface="Arial"/>
            </a:defRPr>
          </a:pPr>
          <a:endParaRPr lang="it-IT"/>
        </a:p>
      </c:txPr>
    </c:legend>
    <c:plotVisOnly val="1"/>
    <c:dispBlanksAs val="gap"/>
    <c:showDLblsOverMax val="0"/>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paperSize="9" orientation="landscape"/>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it-IT"/>
              <a:t>RENDIMENTO IMPIANTO TERMICO     N° 3 AD OLIO DIATERMICO            (1710,31 KW)</a:t>
            </a:r>
          </a:p>
        </c:rich>
      </c:tx>
      <c:layout>
        <c:manualLayout>
          <c:xMode val="edge"/>
          <c:yMode val="edge"/>
          <c:x val="0.13586956521739141"/>
          <c:y val="4.1198501872659166E-2"/>
        </c:manualLayout>
      </c:layout>
      <c:overlay val="0"/>
      <c:spPr>
        <a:noFill/>
        <a:ln w="25400">
          <a:noFill/>
        </a:ln>
      </c:spPr>
    </c:title>
    <c:autoTitleDeleted val="0"/>
    <c:plotArea>
      <c:layout>
        <c:manualLayout>
          <c:layoutTarget val="inner"/>
          <c:xMode val="edge"/>
          <c:yMode val="edge"/>
          <c:x val="0.22282608695652173"/>
          <c:y val="0.33333455251694388"/>
          <c:w val="0.48369565217391303"/>
          <c:h val="0.3857692012275129"/>
        </c:manualLayout>
      </c:layout>
      <c:barChart>
        <c:barDir val="col"/>
        <c:grouping val="clustered"/>
        <c:varyColors val="0"/>
        <c:ser>
          <c:idx val="0"/>
          <c:order val="0"/>
          <c:tx>
            <c:strRef>
              <c:f>'Impianti riscaldamento'!$M$26:$O$26</c:f>
              <c:strCache>
                <c:ptCount val="1"/>
                <c:pt idx="0">
                  <c:v>Anno 2007</c:v>
                </c:pt>
              </c:strCache>
            </c:strRef>
          </c:tx>
          <c:spPr>
            <a:solidFill>
              <a:srgbClr val="9999FF"/>
            </a:solidFill>
            <a:ln w="12700">
              <a:solidFill>
                <a:srgbClr val="000000"/>
              </a:solidFill>
              <a:prstDash val="solid"/>
            </a:ln>
          </c:spPr>
          <c:invertIfNegative val="0"/>
          <c:cat>
            <c:strRef>
              <c:f>('Impianti riscaldamento'!$F$32,'Impianti riscaldamento'!$I$32,'Impianti riscaldamento'!$L$32,'Impianti riscaldamento'!$O$32,'Impianti riscaldamento'!$R$32,'Impianti riscaldamento'!$U$32,'Impianti riscaldamento'!$X$32,'Impianti riscaldamento'!$AA$32,'Impianti riscaldamento'!$AD$32,'Impianti riscaldamento'!$AG$32,'Impianti riscaldamento'!$AJ$32,'Impianti riscaldamento'!$AM$32,'Impianti riscaldamento'!$AP$32,'Impianti riscaldamento'!$AT$32,'Impianti riscaldamento'!$AX$32,'Impianti riscaldamento'!$BB$32)</c:f>
              <c:strCache>
                <c:ptCount val="16"/>
                <c:pt idx="0">
                  <c:v>/</c:v>
                </c:pt>
                <c:pt idx="1">
                  <c:v>/</c:v>
                </c:pt>
                <c:pt idx="2">
                  <c:v>/</c:v>
                </c:pt>
                <c:pt idx="3">
                  <c:v>93,2</c:v>
                </c:pt>
                <c:pt idx="4">
                  <c:v>92,4</c:v>
                </c:pt>
                <c:pt idx="5">
                  <c:v>92</c:v>
                </c:pt>
                <c:pt idx="6">
                  <c:v>93,4</c:v>
                </c:pt>
                <c:pt idx="7">
                  <c:v>93,3</c:v>
                </c:pt>
                <c:pt idx="8">
                  <c:v>94,4</c:v>
                </c:pt>
                <c:pt idx="9">
                  <c:v>94,8</c:v>
                </c:pt>
                <c:pt idx="10">
                  <c:v>93,5</c:v>
                </c:pt>
                <c:pt idx="11">
                  <c:v>94,2 + 2</c:v>
                </c:pt>
                <c:pt idx="12">
                  <c:v>93,9</c:v>
                </c:pt>
                <c:pt idx="13">
                  <c:v>94,9</c:v>
                </c:pt>
                <c:pt idx="14">
                  <c:v>98,4</c:v>
                </c:pt>
                <c:pt idx="15">
                  <c:v>94,6</c:v>
                </c:pt>
              </c:strCache>
            </c:strRef>
          </c:cat>
          <c:val>
            <c:numRef>
              <c:f>'Impianti riscaldamento'!$O$32</c:f>
              <c:numCache>
                <c:formatCode>General</c:formatCode>
                <c:ptCount val="1"/>
                <c:pt idx="0">
                  <c:v>93.2</c:v>
                </c:pt>
              </c:numCache>
            </c:numRef>
          </c:val>
          <c:extLst>
            <c:ext xmlns:c16="http://schemas.microsoft.com/office/drawing/2014/chart" uri="{C3380CC4-5D6E-409C-BE32-E72D297353CC}">
              <c16:uniqueId val="{00000000-1424-438F-9A1C-F7BA2A3CE768}"/>
            </c:ext>
          </c:extLst>
        </c:ser>
        <c:ser>
          <c:idx val="1"/>
          <c:order val="1"/>
          <c:tx>
            <c:strRef>
              <c:f>'Impianti riscaldamento'!$P$26:$R$26</c:f>
              <c:strCache>
                <c:ptCount val="1"/>
                <c:pt idx="0">
                  <c:v>Anno 2008</c:v>
                </c:pt>
              </c:strCache>
            </c:strRef>
          </c:tx>
          <c:spPr>
            <a:solidFill>
              <a:srgbClr val="993366"/>
            </a:solidFill>
            <a:ln w="12700">
              <a:solidFill>
                <a:srgbClr val="000000"/>
              </a:solidFill>
              <a:prstDash val="solid"/>
            </a:ln>
          </c:spPr>
          <c:invertIfNegative val="0"/>
          <c:cat>
            <c:strRef>
              <c:f>('Impianti riscaldamento'!$F$32,'Impianti riscaldamento'!$I$32,'Impianti riscaldamento'!$L$32,'Impianti riscaldamento'!$O$32,'Impianti riscaldamento'!$R$32,'Impianti riscaldamento'!$U$32,'Impianti riscaldamento'!$X$32,'Impianti riscaldamento'!$AA$32,'Impianti riscaldamento'!$AD$32,'Impianti riscaldamento'!$AG$32,'Impianti riscaldamento'!$AJ$32,'Impianti riscaldamento'!$AM$32,'Impianti riscaldamento'!$AP$32,'Impianti riscaldamento'!$AT$32,'Impianti riscaldamento'!$AX$32,'Impianti riscaldamento'!$BB$32)</c:f>
              <c:strCache>
                <c:ptCount val="16"/>
                <c:pt idx="0">
                  <c:v>/</c:v>
                </c:pt>
                <c:pt idx="1">
                  <c:v>/</c:v>
                </c:pt>
                <c:pt idx="2">
                  <c:v>/</c:v>
                </c:pt>
                <c:pt idx="3">
                  <c:v>93,2</c:v>
                </c:pt>
                <c:pt idx="4">
                  <c:v>92,4</c:v>
                </c:pt>
                <c:pt idx="5">
                  <c:v>92</c:v>
                </c:pt>
                <c:pt idx="6">
                  <c:v>93,4</c:v>
                </c:pt>
                <c:pt idx="7">
                  <c:v>93,3</c:v>
                </c:pt>
                <c:pt idx="8">
                  <c:v>94,4</c:v>
                </c:pt>
                <c:pt idx="9">
                  <c:v>94,8</c:v>
                </c:pt>
                <c:pt idx="10">
                  <c:v>93,5</c:v>
                </c:pt>
                <c:pt idx="11">
                  <c:v>94,2 + 2</c:v>
                </c:pt>
                <c:pt idx="12">
                  <c:v>93,9</c:v>
                </c:pt>
                <c:pt idx="13">
                  <c:v>94,9</c:v>
                </c:pt>
                <c:pt idx="14">
                  <c:v>98,4</c:v>
                </c:pt>
                <c:pt idx="15">
                  <c:v>94,6</c:v>
                </c:pt>
              </c:strCache>
            </c:strRef>
          </c:cat>
          <c:val>
            <c:numRef>
              <c:f>'Impianti riscaldamento'!$R$32</c:f>
              <c:numCache>
                <c:formatCode>General</c:formatCode>
                <c:ptCount val="1"/>
                <c:pt idx="0">
                  <c:v>92.4</c:v>
                </c:pt>
              </c:numCache>
            </c:numRef>
          </c:val>
          <c:extLst>
            <c:ext xmlns:c16="http://schemas.microsoft.com/office/drawing/2014/chart" uri="{C3380CC4-5D6E-409C-BE32-E72D297353CC}">
              <c16:uniqueId val="{00000001-1424-438F-9A1C-F7BA2A3CE768}"/>
            </c:ext>
          </c:extLst>
        </c:ser>
        <c:ser>
          <c:idx val="2"/>
          <c:order val="2"/>
          <c:tx>
            <c:strRef>
              <c:f>'Impianti riscaldamento'!$V$26:$X$26</c:f>
              <c:strCache>
                <c:ptCount val="1"/>
                <c:pt idx="0">
                  <c:v>Anno 2010</c:v>
                </c:pt>
              </c:strCache>
            </c:strRef>
          </c:tx>
          <c:spPr>
            <a:solidFill>
              <a:srgbClr val="FFFFCC"/>
            </a:solidFill>
            <a:ln w="12700">
              <a:solidFill>
                <a:srgbClr val="000000"/>
              </a:solidFill>
              <a:prstDash val="solid"/>
            </a:ln>
          </c:spPr>
          <c:invertIfNegative val="0"/>
          <c:cat>
            <c:strRef>
              <c:f>('Impianti riscaldamento'!$F$32,'Impianti riscaldamento'!$I$32,'Impianti riscaldamento'!$L$32,'Impianti riscaldamento'!$O$32,'Impianti riscaldamento'!$R$32,'Impianti riscaldamento'!$U$32,'Impianti riscaldamento'!$X$32,'Impianti riscaldamento'!$AA$32,'Impianti riscaldamento'!$AD$32,'Impianti riscaldamento'!$AG$32,'Impianti riscaldamento'!$AJ$32,'Impianti riscaldamento'!$AM$32,'Impianti riscaldamento'!$AP$32,'Impianti riscaldamento'!$AT$32,'Impianti riscaldamento'!$AX$32,'Impianti riscaldamento'!$BB$32)</c:f>
              <c:strCache>
                <c:ptCount val="16"/>
                <c:pt idx="0">
                  <c:v>/</c:v>
                </c:pt>
                <c:pt idx="1">
                  <c:v>/</c:v>
                </c:pt>
                <c:pt idx="2">
                  <c:v>/</c:v>
                </c:pt>
                <c:pt idx="3">
                  <c:v>93,2</c:v>
                </c:pt>
                <c:pt idx="4">
                  <c:v>92,4</c:v>
                </c:pt>
                <c:pt idx="5">
                  <c:v>92</c:v>
                </c:pt>
                <c:pt idx="6">
                  <c:v>93,4</c:v>
                </c:pt>
                <c:pt idx="7">
                  <c:v>93,3</c:v>
                </c:pt>
                <c:pt idx="8">
                  <c:v>94,4</c:v>
                </c:pt>
                <c:pt idx="9">
                  <c:v>94,8</c:v>
                </c:pt>
                <c:pt idx="10">
                  <c:v>93,5</c:v>
                </c:pt>
                <c:pt idx="11">
                  <c:v>94,2 + 2</c:v>
                </c:pt>
                <c:pt idx="12">
                  <c:v>93,9</c:v>
                </c:pt>
                <c:pt idx="13">
                  <c:v>94,9</c:v>
                </c:pt>
                <c:pt idx="14">
                  <c:v>98,4</c:v>
                </c:pt>
                <c:pt idx="15">
                  <c:v>94,6</c:v>
                </c:pt>
              </c:strCache>
            </c:strRef>
          </c:cat>
          <c:val>
            <c:numRef>
              <c:f>'Impianti riscaldamento'!$X$32</c:f>
              <c:numCache>
                <c:formatCode>General</c:formatCode>
                <c:ptCount val="1"/>
                <c:pt idx="0">
                  <c:v>93.4</c:v>
                </c:pt>
              </c:numCache>
            </c:numRef>
          </c:val>
          <c:extLst>
            <c:ext xmlns:c16="http://schemas.microsoft.com/office/drawing/2014/chart" uri="{C3380CC4-5D6E-409C-BE32-E72D297353CC}">
              <c16:uniqueId val="{00000002-1424-438F-9A1C-F7BA2A3CE768}"/>
            </c:ext>
          </c:extLst>
        </c:ser>
        <c:ser>
          <c:idx val="3"/>
          <c:order val="3"/>
          <c:tx>
            <c:strRef>
              <c:f>'Impianti riscaldamento'!$AZ$26:$BC$26</c:f>
              <c:strCache>
                <c:ptCount val="1"/>
                <c:pt idx="0">
                  <c:v>Anno 2019</c:v>
                </c:pt>
              </c:strCache>
            </c:strRef>
          </c:tx>
          <c:invertIfNegative val="0"/>
          <c:val>
            <c:numLit>
              <c:formatCode>General</c:formatCode>
              <c:ptCount val="1"/>
              <c:pt idx="0">
                <c:v>1</c:v>
              </c:pt>
            </c:numLit>
          </c:val>
          <c:extLst>
            <c:ext xmlns:c16="http://schemas.microsoft.com/office/drawing/2014/chart" uri="{C3380CC4-5D6E-409C-BE32-E72D297353CC}">
              <c16:uniqueId val="{00000003-1424-438F-9A1C-F7BA2A3CE768}"/>
            </c:ext>
          </c:extLst>
        </c:ser>
        <c:dLbls>
          <c:showLegendKey val="0"/>
          <c:showVal val="0"/>
          <c:showCatName val="0"/>
          <c:showSerName val="0"/>
          <c:showPercent val="0"/>
          <c:showBubbleSize val="0"/>
        </c:dLbls>
        <c:gapWidth val="150"/>
        <c:axId val="349337856"/>
        <c:axId val="348000640"/>
      </c:barChart>
      <c:catAx>
        <c:axId val="349337856"/>
        <c:scaling>
          <c:orientation val="minMax"/>
        </c:scaling>
        <c:delete val="0"/>
        <c:axPos val="b"/>
        <c:title>
          <c:tx>
            <c:rich>
              <a:bodyPr/>
              <a:lstStyle/>
              <a:p>
                <a:pPr>
                  <a:defRPr sz="1050" b="1" i="0" u="none" strike="noStrike" baseline="0">
                    <a:solidFill>
                      <a:srgbClr val="000000"/>
                    </a:solidFill>
                    <a:latin typeface="Arial"/>
                    <a:ea typeface="Arial"/>
                    <a:cs typeface="Arial"/>
                  </a:defRPr>
                </a:pPr>
                <a:r>
                  <a:rPr lang="it-IT"/>
                  <a:t>ANNO</a:t>
                </a:r>
              </a:p>
            </c:rich>
          </c:tx>
          <c:layout>
            <c:manualLayout>
              <c:xMode val="edge"/>
              <c:yMode val="edge"/>
              <c:x val="0.40489130434782838"/>
              <c:y val="0.8426997748876916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it-IT"/>
          </a:p>
        </c:txPr>
        <c:crossAx val="348000640"/>
        <c:crosses val="autoZero"/>
        <c:auto val="1"/>
        <c:lblAlgn val="ctr"/>
        <c:lblOffset val="100"/>
        <c:tickLblSkip val="1"/>
        <c:tickMarkSkip val="1"/>
        <c:noMultiLvlLbl val="0"/>
      </c:catAx>
      <c:valAx>
        <c:axId val="348000640"/>
        <c:scaling>
          <c:orientation val="minMax"/>
        </c:scaling>
        <c:delete val="0"/>
        <c:axPos val="l"/>
        <c:majorGridlines>
          <c:spPr>
            <a:ln w="3175">
              <a:solidFill>
                <a:srgbClr val="000000"/>
              </a:solidFill>
              <a:prstDash val="solid"/>
            </a:ln>
          </c:spPr>
        </c:majorGridlines>
        <c:title>
          <c:tx>
            <c:rich>
              <a:bodyPr/>
              <a:lstStyle/>
              <a:p>
                <a:pPr>
                  <a:defRPr sz="1050" b="1" i="0" u="none" strike="noStrike" baseline="0">
                    <a:solidFill>
                      <a:srgbClr val="000000"/>
                    </a:solidFill>
                    <a:latin typeface="Arial"/>
                    <a:ea typeface="Arial"/>
                    <a:cs typeface="Arial"/>
                  </a:defRPr>
                </a:pPr>
                <a:r>
                  <a:rPr lang="it-IT"/>
                  <a:t>Rendimento %</a:t>
                </a:r>
              </a:p>
            </c:rich>
          </c:tx>
          <c:layout>
            <c:manualLayout>
              <c:xMode val="edge"/>
              <c:yMode val="edge"/>
              <c:x val="4.8913043478260865E-2"/>
              <c:y val="0.3333345129611803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it-IT"/>
          </a:p>
        </c:txPr>
        <c:crossAx val="349337856"/>
        <c:crosses val="autoZero"/>
        <c:crossBetween val="between"/>
      </c:valAx>
      <c:spPr>
        <a:solidFill>
          <a:srgbClr val="C0C0C0"/>
        </a:solidFill>
        <a:ln w="12700">
          <a:solidFill>
            <a:srgbClr val="808080"/>
          </a:solidFill>
          <a:prstDash val="solid"/>
        </a:ln>
      </c:spPr>
    </c:plotArea>
    <c:legend>
      <c:legendPos val="r"/>
      <c:layout>
        <c:manualLayout>
          <c:xMode val="edge"/>
          <c:yMode val="edge"/>
          <c:x val="0.73097826086956563"/>
          <c:y val="0.73408514946867665"/>
          <c:w val="0.17355718936872541"/>
          <c:h val="0.26591520146003256"/>
        </c:manualLayout>
      </c:layout>
      <c:overlay val="0"/>
      <c:spPr>
        <a:solidFill>
          <a:srgbClr val="FFFFFF"/>
        </a:solidFill>
        <a:ln w="3175">
          <a:solidFill>
            <a:srgbClr val="000000"/>
          </a:solidFill>
          <a:prstDash val="solid"/>
        </a:ln>
      </c:spPr>
      <c:txPr>
        <a:bodyPr/>
        <a:lstStyle/>
        <a:p>
          <a:pPr>
            <a:defRPr sz="885" b="0" i="0" u="none" strike="noStrike" baseline="0">
              <a:solidFill>
                <a:srgbClr val="000000"/>
              </a:solidFill>
              <a:latin typeface="Arial"/>
              <a:ea typeface="Arial"/>
              <a:cs typeface="Arial"/>
            </a:defRPr>
          </a:pPr>
          <a:endParaRPr lang="it-IT"/>
        </a:p>
      </c:txPr>
    </c:legend>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it-IT"/>
              <a:t>RENDIMENTO IMPIANTO TERMICO N° 1 - MENSA/SPOGLIATOIO                              (31 KW - ACCORRONI)</a:t>
            </a:r>
          </a:p>
        </c:rich>
      </c:tx>
      <c:layout>
        <c:manualLayout>
          <c:xMode val="edge"/>
          <c:yMode val="edge"/>
          <c:x val="0.16497488575349994"/>
          <c:y val="1.7241352293649863E-2"/>
        </c:manualLayout>
      </c:layout>
      <c:overlay val="0"/>
      <c:spPr>
        <a:noFill/>
        <a:ln w="25400">
          <a:noFill/>
        </a:ln>
      </c:spPr>
    </c:title>
    <c:autoTitleDeleted val="0"/>
    <c:plotArea>
      <c:layout>
        <c:manualLayout>
          <c:layoutTarget val="inner"/>
          <c:xMode val="edge"/>
          <c:yMode val="edge"/>
          <c:x val="0.19035556585546609"/>
          <c:y val="0.23582089552238841"/>
          <c:w val="0.43654876436191742"/>
          <c:h val="0.62686567164186213"/>
        </c:manualLayout>
      </c:layout>
      <c:barChart>
        <c:barDir val="col"/>
        <c:grouping val="clustered"/>
        <c:varyColors val="0"/>
        <c:ser>
          <c:idx val="0"/>
          <c:order val="0"/>
          <c:tx>
            <c:strRef>
              <c:f>'Impianti riscaldamento'!$G$26:$I$26</c:f>
              <c:strCache>
                <c:ptCount val="1"/>
                <c:pt idx="0">
                  <c:v>Anno 2005</c:v>
                </c:pt>
              </c:strCache>
            </c:strRef>
          </c:tx>
          <c:spPr>
            <a:solidFill>
              <a:srgbClr val="9999FF"/>
            </a:solidFill>
            <a:ln w="12700">
              <a:solidFill>
                <a:srgbClr val="000000"/>
              </a:solidFill>
              <a:prstDash val="solid"/>
            </a:ln>
          </c:spPr>
          <c:invertIfNegative val="0"/>
          <c:cat>
            <c:strRef>
              <c:f>'Impianti riscaldamento'!$F$29</c:f>
              <c:strCache>
                <c:ptCount val="1"/>
                <c:pt idx="0">
                  <c:v>/</c:v>
                </c:pt>
              </c:strCache>
            </c:strRef>
          </c:cat>
          <c:val>
            <c:numRef>
              <c:f>'Impianti riscaldamento'!$I$29</c:f>
              <c:numCache>
                <c:formatCode>General</c:formatCode>
                <c:ptCount val="1"/>
                <c:pt idx="0">
                  <c:v>88.3</c:v>
                </c:pt>
              </c:numCache>
            </c:numRef>
          </c:val>
          <c:extLst>
            <c:ext xmlns:c16="http://schemas.microsoft.com/office/drawing/2014/chart" uri="{C3380CC4-5D6E-409C-BE32-E72D297353CC}">
              <c16:uniqueId val="{00000000-7007-4458-9F08-B12020A34914}"/>
            </c:ext>
          </c:extLst>
        </c:ser>
        <c:ser>
          <c:idx val="1"/>
          <c:order val="1"/>
          <c:tx>
            <c:strRef>
              <c:f>'Impianti riscaldamento'!$J$26:$L$26</c:f>
              <c:strCache>
                <c:ptCount val="1"/>
                <c:pt idx="0">
                  <c:v>Anno 2006</c:v>
                </c:pt>
              </c:strCache>
            </c:strRef>
          </c:tx>
          <c:spPr>
            <a:solidFill>
              <a:srgbClr val="993366"/>
            </a:solidFill>
            <a:ln w="12700">
              <a:solidFill>
                <a:srgbClr val="000000"/>
              </a:solidFill>
              <a:prstDash val="solid"/>
            </a:ln>
          </c:spPr>
          <c:invertIfNegative val="0"/>
          <c:cat>
            <c:strRef>
              <c:f>'Impianti riscaldamento'!$F$29</c:f>
              <c:strCache>
                <c:ptCount val="1"/>
                <c:pt idx="0">
                  <c:v>/</c:v>
                </c:pt>
              </c:strCache>
            </c:strRef>
          </c:cat>
          <c:val>
            <c:numRef>
              <c:f>'Impianti riscaldamento'!$L$29</c:f>
              <c:numCache>
                <c:formatCode>General</c:formatCode>
                <c:ptCount val="1"/>
                <c:pt idx="0">
                  <c:v>89</c:v>
                </c:pt>
              </c:numCache>
            </c:numRef>
          </c:val>
          <c:extLst>
            <c:ext xmlns:c16="http://schemas.microsoft.com/office/drawing/2014/chart" uri="{C3380CC4-5D6E-409C-BE32-E72D297353CC}">
              <c16:uniqueId val="{00000001-7007-4458-9F08-B12020A34914}"/>
            </c:ext>
          </c:extLst>
        </c:ser>
        <c:ser>
          <c:idx val="2"/>
          <c:order val="2"/>
          <c:tx>
            <c:strRef>
              <c:f>'Impianti riscaldamento'!$M$26:$O$26</c:f>
              <c:strCache>
                <c:ptCount val="1"/>
                <c:pt idx="0">
                  <c:v>Anno 2007</c:v>
                </c:pt>
              </c:strCache>
            </c:strRef>
          </c:tx>
          <c:spPr>
            <a:solidFill>
              <a:srgbClr val="FFFFCC"/>
            </a:solidFill>
            <a:ln w="12700">
              <a:solidFill>
                <a:srgbClr val="000000"/>
              </a:solidFill>
              <a:prstDash val="solid"/>
            </a:ln>
          </c:spPr>
          <c:invertIfNegative val="0"/>
          <c:cat>
            <c:strRef>
              <c:f>'Impianti riscaldamento'!$F$29</c:f>
              <c:strCache>
                <c:ptCount val="1"/>
                <c:pt idx="0">
                  <c:v>/</c:v>
                </c:pt>
              </c:strCache>
            </c:strRef>
          </c:cat>
          <c:val>
            <c:numRef>
              <c:f>'Impianti riscaldamento'!$O$29</c:f>
              <c:numCache>
                <c:formatCode>General</c:formatCode>
                <c:ptCount val="1"/>
                <c:pt idx="0">
                  <c:v>83.5</c:v>
                </c:pt>
              </c:numCache>
            </c:numRef>
          </c:val>
          <c:extLst>
            <c:ext xmlns:c16="http://schemas.microsoft.com/office/drawing/2014/chart" uri="{C3380CC4-5D6E-409C-BE32-E72D297353CC}">
              <c16:uniqueId val="{00000002-7007-4458-9F08-B12020A34914}"/>
            </c:ext>
          </c:extLst>
        </c:ser>
        <c:ser>
          <c:idx val="3"/>
          <c:order val="3"/>
          <c:tx>
            <c:strRef>
              <c:f>'Impianti riscaldamento'!$P$26:$R$26</c:f>
              <c:strCache>
                <c:ptCount val="1"/>
                <c:pt idx="0">
                  <c:v>Anno 2008</c:v>
                </c:pt>
              </c:strCache>
            </c:strRef>
          </c:tx>
          <c:spPr>
            <a:solidFill>
              <a:srgbClr val="CCFFFF"/>
            </a:solidFill>
            <a:ln w="12700">
              <a:solidFill>
                <a:srgbClr val="000000"/>
              </a:solidFill>
              <a:prstDash val="solid"/>
            </a:ln>
          </c:spPr>
          <c:invertIfNegative val="0"/>
          <c:cat>
            <c:strRef>
              <c:f>'Impianti riscaldamento'!$F$29</c:f>
              <c:strCache>
                <c:ptCount val="1"/>
                <c:pt idx="0">
                  <c:v>/</c:v>
                </c:pt>
              </c:strCache>
            </c:strRef>
          </c:cat>
          <c:val>
            <c:numRef>
              <c:f>'Impianti riscaldamento'!$R$29</c:f>
              <c:numCache>
                <c:formatCode>General</c:formatCode>
                <c:ptCount val="1"/>
                <c:pt idx="0">
                  <c:v>85.6</c:v>
                </c:pt>
              </c:numCache>
            </c:numRef>
          </c:val>
          <c:extLst>
            <c:ext xmlns:c16="http://schemas.microsoft.com/office/drawing/2014/chart" uri="{C3380CC4-5D6E-409C-BE32-E72D297353CC}">
              <c16:uniqueId val="{00000003-7007-4458-9F08-B12020A34914}"/>
            </c:ext>
          </c:extLst>
        </c:ser>
        <c:ser>
          <c:idx val="4"/>
          <c:order val="4"/>
          <c:tx>
            <c:strRef>
              <c:f>'Impianti riscaldamento'!$S$26:$U$26</c:f>
              <c:strCache>
                <c:ptCount val="1"/>
                <c:pt idx="0">
                  <c:v>Anno 2009</c:v>
                </c:pt>
              </c:strCache>
            </c:strRef>
          </c:tx>
          <c:spPr>
            <a:solidFill>
              <a:srgbClr val="660066"/>
            </a:solidFill>
            <a:ln w="12700">
              <a:solidFill>
                <a:srgbClr val="000000"/>
              </a:solidFill>
              <a:prstDash val="solid"/>
            </a:ln>
          </c:spPr>
          <c:invertIfNegative val="0"/>
          <c:cat>
            <c:strRef>
              <c:f>'Impianti riscaldamento'!$F$29</c:f>
              <c:strCache>
                <c:ptCount val="1"/>
                <c:pt idx="0">
                  <c:v>/</c:v>
                </c:pt>
              </c:strCache>
            </c:strRef>
          </c:cat>
          <c:val>
            <c:numRef>
              <c:f>'Impianti riscaldamento'!$U$29</c:f>
              <c:numCache>
                <c:formatCode>General</c:formatCode>
                <c:ptCount val="1"/>
                <c:pt idx="0">
                  <c:v>84.2</c:v>
                </c:pt>
              </c:numCache>
            </c:numRef>
          </c:val>
          <c:extLst>
            <c:ext xmlns:c16="http://schemas.microsoft.com/office/drawing/2014/chart" uri="{C3380CC4-5D6E-409C-BE32-E72D297353CC}">
              <c16:uniqueId val="{00000004-7007-4458-9F08-B12020A34914}"/>
            </c:ext>
          </c:extLst>
        </c:ser>
        <c:dLbls>
          <c:showLegendKey val="0"/>
          <c:showVal val="0"/>
          <c:showCatName val="0"/>
          <c:showSerName val="0"/>
          <c:showPercent val="0"/>
          <c:showBubbleSize val="0"/>
        </c:dLbls>
        <c:gapWidth val="150"/>
        <c:axId val="349332992"/>
        <c:axId val="349334528"/>
      </c:barChart>
      <c:catAx>
        <c:axId val="3493329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150" b="0" i="0" u="none" strike="noStrike" baseline="0">
                <a:solidFill>
                  <a:srgbClr val="000000"/>
                </a:solidFill>
                <a:latin typeface="Arial"/>
                <a:ea typeface="Arial"/>
                <a:cs typeface="Arial"/>
              </a:defRPr>
            </a:pPr>
            <a:endParaRPr lang="it-IT"/>
          </a:p>
        </c:txPr>
        <c:crossAx val="349334528"/>
        <c:crosses val="autoZero"/>
        <c:auto val="1"/>
        <c:lblAlgn val="ctr"/>
        <c:lblOffset val="100"/>
        <c:tickLblSkip val="1"/>
        <c:tickMarkSkip val="1"/>
        <c:noMultiLvlLbl val="0"/>
      </c:catAx>
      <c:valAx>
        <c:axId val="349334528"/>
        <c:scaling>
          <c:orientation val="minMax"/>
        </c:scaling>
        <c:delete val="0"/>
        <c:axPos val="l"/>
        <c:majorGridlines>
          <c:spPr>
            <a:ln w="3175">
              <a:solidFill>
                <a:srgbClr val="000000"/>
              </a:solidFill>
              <a:prstDash val="solid"/>
            </a:ln>
          </c:spPr>
        </c:majorGridlines>
        <c:title>
          <c:tx>
            <c:rich>
              <a:bodyPr/>
              <a:lstStyle/>
              <a:p>
                <a:pPr>
                  <a:defRPr sz="1125" b="1" i="0" u="none" strike="noStrike" baseline="0">
                    <a:solidFill>
                      <a:srgbClr val="000000"/>
                    </a:solidFill>
                    <a:latin typeface="Arial"/>
                    <a:ea typeface="Arial"/>
                    <a:cs typeface="Arial"/>
                  </a:defRPr>
                </a:pPr>
                <a:r>
                  <a:rPr lang="it-IT"/>
                  <a:t>Rendimento %</a:t>
                </a:r>
              </a:p>
            </c:rich>
          </c:tx>
          <c:layout>
            <c:manualLayout>
              <c:xMode val="edge"/>
              <c:yMode val="edge"/>
              <c:x val="4.5685279187817264E-2"/>
              <c:y val="0.362069024953970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50" b="0" i="0" u="none" strike="noStrike" baseline="0">
                <a:solidFill>
                  <a:srgbClr val="000000"/>
                </a:solidFill>
                <a:latin typeface="Arial"/>
                <a:ea typeface="Arial"/>
                <a:cs typeface="Arial"/>
              </a:defRPr>
            </a:pPr>
            <a:endParaRPr lang="it-IT"/>
          </a:p>
        </c:txPr>
        <c:crossAx val="349332992"/>
        <c:crosses val="autoZero"/>
        <c:crossBetween val="between"/>
      </c:valAx>
      <c:spPr>
        <a:solidFill>
          <a:srgbClr val="C0C0C0"/>
        </a:solidFill>
        <a:ln w="12700">
          <a:solidFill>
            <a:srgbClr val="808080"/>
          </a:solidFill>
          <a:prstDash val="solid"/>
        </a:ln>
      </c:spPr>
    </c:plotArea>
    <c:legend>
      <c:legendPos val="r"/>
      <c:layout>
        <c:manualLayout>
          <c:xMode val="edge"/>
          <c:yMode val="edge"/>
          <c:x val="0.73857947959558201"/>
          <c:y val="0.57611940298512065"/>
          <c:w val="0.23350280453521641"/>
          <c:h val="0.34626865671641471"/>
        </c:manualLayout>
      </c:layout>
      <c:overlay val="0"/>
      <c:spPr>
        <a:solidFill>
          <a:srgbClr val="FFFFFF"/>
        </a:solidFill>
        <a:ln w="3175">
          <a:solidFill>
            <a:srgbClr val="000000"/>
          </a:solidFill>
          <a:prstDash val="solid"/>
        </a:ln>
      </c:spPr>
      <c:txPr>
        <a:bodyPr/>
        <a:lstStyle/>
        <a:p>
          <a:pPr>
            <a:defRPr sz="970" b="0" i="0" u="none" strike="noStrike" baseline="0">
              <a:solidFill>
                <a:srgbClr val="000000"/>
              </a:solidFill>
              <a:latin typeface="Arial"/>
              <a:ea typeface="Arial"/>
              <a:cs typeface="Arial"/>
            </a:defRPr>
          </a:pPr>
          <a:endParaRPr lang="it-IT"/>
        </a:p>
      </c:txPr>
    </c:legend>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a:ea typeface="Arial"/>
          <a:cs typeface="Arial"/>
        </a:defRPr>
      </a:pPr>
      <a:endParaRPr lang="it-IT"/>
    </a:p>
  </c:txPr>
  <c:printSettings>
    <c:headerFooter alignWithMargins="0"/>
    <c:pageMargins b="1" l="0.75000000000001465" r="0.75000000000001465" t="1"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8</xdr:row>
      <xdr:rowOff>103716</xdr:rowOff>
    </xdr:from>
    <xdr:to>
      <xdr:col>12</xdr:col>
      <xdr:colOff>352220</xdr:colOff>
      <xdr:row>63</xdr:row>
      <xdr:rowOff>76199</xdr:rowOff>
    </xdr:to>
    <xdr:pic>
      <xdr:nvPicPr>
        <xdr:cNvPr id="2" name="Immagine 1" descr="210519_AG_stima acido.jpg">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stretch>
          <a:fillRect/>
        </a:stretch>
      </xdr:blipFill>
      <xdr:spPr>
        <a:xfrm>
          <a:off x="0" y="1694391"/>
          <a:ext cx="13277645" cy="94022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5</xdr:row>
      <xdr:rowOff>47625</xdr:rowOff>
    </xdr:from>
    <xdr:to>
      <xdr:col>0</xdr:col>
      <xdr:colOff>0</xdr:colOff>
      <xdr:row>5</xdr:row>
      <xdr:rowOff>123825</xdr:rowOff>
    </xdr:to>
    <xdr:grpSp>
      <xdr:nvGrpSpPr>
        <xdr:cNvPr id="6559508" name="Group 6">
          <a:extLst>
            <a:ext uri="{FF2B5EF4-FFF2-40B4-BE49-F238E27FC236}">
              <a16:creationId xmlns:a16="http://schemas.microsoft.com/office/drawing/2014/main" id="{00000000-0008-0000-0500-000014176400}"/>
            </a:ext>
          </a:extLst>
        </xdr:cNvPr>
        <xdr:cNvGrpSpPr>
          <a:grpSpLocks/>
        </xdr:cNvGrpSpPr>
      </xdr:nvGrpSpPr>
      <xdr:grpSpPr bwMode="auto">
        <a:xfrm>
          <a:off x="0" y="977265"/>
          <a:ext cx="0" cy="76200"/>
          <a:chOff x="26" y="193"/>
          <a:chExt cx="43" cy="8"/>
        </a:xfrm>
      </xdr:grpSpPr>
      <xdr:sp macro="" textlink="">
        <xdr:nvSpPr>
          <xdr:cNvPr id="6559589" name="Rectangle 7">
            <a:extLst>
              <a:ext uri="{FF2B5EF4-FFF2-40B4-BE49-F238E27FC236}">
                <a16:creationId xmlns:a16="http://schemas.microsoft.com/office/drawing/2014/main" id="{00000000-0008-0000-0500-000065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90" name="Rectangle 8">
            <a:extLst>
              <a:ext uri="{FF2B5EF4-FFF2-40B4-BE49-F238E27FC236}">
                <a16:creationId xmlns:a16="http://schemas.microsoft.com/office/drawing/2014/main" id="{00000000-0008-0000-0500-000066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91" name="Rectangle 9">
            <a:extLst>
              <a:ext uri="{FF2B5EF4-FFF2-40B4-BE49-F238E27FC236}">
                <a16:creationId xmlns:a16="http://schemas.microsoft.com/office/drawing/2014/main" id="{00000000-0008-0000-0500-000067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6</xdr:row>
      <xdr:rowOff>0</xdr:rowOff>
    </xdr:from>
    <xdr:to>
      <xdr:col>0</xdr:col>
      <xdr:colOff>0</xdr:colOff>
      <xdr:row>6</xdr:row>
      <xdr:rowOff>0</xdr:rowOff>
    </xdr:to>
    <xdr:grpSp>
      <xdr:nvGrpSpPr>
        <xdr:cNvPr id="6559509" name="Group 10">
          <a:extLst>
            <a:ext uri="{FF2B5EF4-FFF2-40B4-BE49-F238E27FC236}">
              <a16:creationId xmlns:a16="http://schemas.microsoft.com/office/drawing/2014/main" id="{00000000-0008-0000-0500-000015176400}"/>
            </a:ext>
          </a:extLst>
        </xdr:cNvPr>
        <xdr:cNvGrpSpPr>
          <a:grpSpLocks/>
        </xdr:cNvGrpSpPr>
      </xdr:nvGrpSpPr>
      <xdr:grpSpPr bwMode="auto">
        <a:xfrm>
          <a:off x="0" y="1135380"/>
          <a:ext cx="0" cy="0"/>
          <a:chOff x="26" y="193"/>
          <a:chExt cx="43" cy="8"/>
        </a:xfrm>
      </xdr:grpSpPr>
      <xdr:sp macro="" textlink="">
        <xdr:nvSpPr>
          <xdr:cNvPr id="6559586" name="Rectangle 11">
            <a:extLst>
              <a:ext uri="{FF2B5EF4-FFF2-40B4-BE49-F238E27FC236}">
                <a16:creationId xmlns:a16="http://schemas.microsoft.com/office/drawing/2014/main" id="{00000000-0008-0000-0500-000062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87" name="Rectangle 12">
            <a:extLst>
              <a:ext uri="{FF2B5EF4-FFF2-40B4-BE49-F238E27FC236}">
                <a16:creationId xmlns:a16="http://schemas.microsoft.com/office/drawing/2014/main" id="{00000000-0008-0000-0500-000063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88" name="Rectangle 13">
            <a:extLst>
              <a:ext uri="{FF2B5EF4-FFF2-40B4-BE49-F238E27FC236}">
                <a16:creationId xmlns:a16="http://schemas.microsoft.com/office/drawing/2014/main" id="{00000000-0008-0000-0500-000064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6</xdr:row>
      <xdr:rowOff>0</xdr:rowOff>
    </xdr:from>
    <xdr:to>
      <xdr:col>0</xdr:col>
      <xdr:colOff>0</xdr:colOff>
      <xdr:row>6</xdr:row>
      <xdr:rowOff>0</xdr:rowOff>
    </xdr:to>
    <xdr:grpSp>
      <xdr:nvGrpSpPr>
        <xdr:cNvPr id="6559510" name="Group 14">
          <a:extLst>
            <a:ext uri="{FF2B5EF4-FFF2-40B4-BE49-F238E27FC236}">
              <a16:creationId xmlns:a16="http://schemas.microsoft.com/office/drawing/2014/main" id="{00000000-0008-0000-0500-000016176400}"/>
            </a:ext>
          </a:extLst>
        </xdr:cNvPr>
        <xdr:cNvGrpSpPr>
          <a:grpSpLocks/>
        </xdr:cNvGrpSpPr>
      </xdr:nvGrpSpPr>
      <xdr:grpSpPr bwMode="auto">
        <a:xfrm>
          <a:off x="0" y="1135380"/>
          <a:ext cx="0" cy="0"/>
          <a:chOff x="26" y="193"/>
          <a:chExt cx="43" cy="8"/>
        </a:xfrm>
      </xdr:grpSpPr>
      <xdr:sp macro="" textlink="">
        <xdr:nvSpPr>
          <xdr:cNvPr id="6559583" name="Rectangle 15">
            <a:extLst>
              <a:ext uri="{FF2B5EF4-FFF2-40B4-BE49-F238E27FC236}">
                <a16:creationId xmlns:a16="http://schemas.microsoft.com/office/drawing/2014/main" id="{00000000-0008-0000-0500-00005F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84" name="Rectangle 16">
            <a:extLst>
              <a:ext uri="{FF2B5EF4-FFF2-40B4-BE49-F238E27FC236}">
                <a16:creationId xmlns:a16="http://schemas.microsoft.com/office/drawing/2014/main" id="{00000000-0008-0000-0500-000060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85" name="Rectangle 17">
            <a:extLst>
              <a:ext uri="{FF2B5EF4-FFF2-40B4-BE49-F238E27FC236}">
                <a16:creationId xmlns:a16="http://schemas.microsoft.com/office/drawing/2014/main" id="{00000000-0008-0000-0500-000061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6</xdr:row>
      <xdr:rowOff>47625</xdr:rowOff>
    </xdr:from>
    <xdr:to>
      <xdr:col>0</xdr:col>
      <xdr:colOff>0</xdr:colOff>
      <xdr:row>6</xdr:row>
      <xdr:rowOff>123825</xdr:rowOff>
    </xdr:to>
    <xdr:grpSp>
      <xdr:nvGrpSpPr>
        <xdr:cNvPr id="6559511" name="Group 18">
          <a:extLst>
            <a:ext uri="{FF2B5EF4-FFF2-40B4-BE49-F238E27FC236}">
              <a16:creationId xmlns:a16="http://schemas.microsoft.com/office/drawing/2014/main" id="{00000000-0008-0000-0500-000017176400}"/>
            </a:ext>
          </a:extLst>
        </xdr:cNvPr>
        <xdr:cNvGrpSpPr>
          <a:grpSpLocks/>
        </xdr:cNvGrpSpPr>
      </xdr:nvGrpSpPr>
      <xdr:grpSpPr bwMode="auto">
        <a:xfrm>
          <a:off x="0" y="1183005"/>
          <a:ext cx="0" cy="76200"/>
          <a:chOff x="26" y="193"/>
          <a:chExt cx="43" cy="8"/>
        </a:xfrm>
      </xdr:grpSpPr>
      <xdr:sp macro="" textlink="">
        <xdr:nvSpPr>
          <xdr:cNvPr id="6559580" name="Rectangle 19">
            <a:extLst>
              <a:ext uri="{FF2B5EF4-FFF2-40B4-BE49-F238E27FC236}">
                <a16:creationId xmlns:a16="http://schemas.microsoft.com/office/drawing/2014/main" id="{00000000-0008-0000-0500-00005C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81" name="Rectangle 20">
            <a:extLst>
              <a:ext uri="{FF2B5EF4-FFF2-40B4-BE49-F238E27FC236}">
                <a16:creationId xmlns:a16="http://schemas.microsoft.com/office/drawing/2014/main" id="{00000000-0008-0000-0500-00005D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82" name="Rectangle 21">
            <a:extLst>
              <a:ext uri="{FF2B5EF4-FFF2-40B4-BE49-F238E27FC236}">
                <a16:creationId xmlns:a16="http://schemas.microsoft.com/office/drawing/2014/main" id="{00000000-0008-0000-0500-00005E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7</xdr:row>
      <xdr:rowOff>0</xdr:rowOff>
    </xdr:from>
    <xdr:to>
      <xdr:col>0</xdr:col>
      <xdr:colOff>0</xdr:colOff>
      <xdr:row>7</xdr:row>
      <xdr:rowOff>0</xdr:rowOff>
    </xdr:to>
    <xdr:grpSp>
      <xdr:nvGrpSpPr>
        <xdr:cNvPr id="6559512" name="Group 22">
          <a:extLst>
            <a:ext uri="{FF2B5EF4-FFF2-40B4-BE49-F238E27FC236}">
              <a16:creationId xmlns:a16="http://schemas.microsoft.com/office/drawing/2014/main" id="{00000000-0008-0000-0500-000018176400}"/>
            </a:ext>
          </a:extLst>
        </xdr:cNvPr>
        <xdr:cNvGrpSpPr>
          <a:grpSpLocks/>
        </xdr:cNvGrpSpPr>
      </xdr:nvGrpSpPr>
      <xdr:grpSpPr bwMode="auto">
        <a:xfrm>
          <a:off x="0" y="1341120"/>
          <a:ext cx="0" cy="0"/>
          <a:chOff x="26" y="193"/>
          <a:chExt cx="43" cy="8"/>
        </a:xfrm>
      </xdr:grpSpPr>
      <xdr:sp macro="" textlink="">
        <xdr:nvSpPr>
          <xdr:cNvPr id="6559577" name="Rectangle 23">
            <a:extLst>
              <a:ext uri="{FF2B5EF4-FFF2-40B4-BE49-F238E27FC236}">
                <a16:creationId xmlns:a16="http://schemas.microsoft.com/office/drawing/2014/main" id="{00000000-0008-0000-0500-000059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78" name="Rectangle 24">
            <a:extLst>
              <a:ext uri="{FF2B5EF4-FFF2-40B4-BE49-F238E27FC236}">
                <a16:creationId xmlns:a16="http://schemas.microsoft.com/office/drawing/2014/main" id="{00000000-0008-0000-0500-00005A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79" name="Rectangle 25">
            <a:extLst>
              <a:ext uri="{FF2B5EF4-FFF2-40B4-BE49-F238E27FC236}">
                <a16:creationId xmlns:a16="http://schemas.microsoft.com/office/drawing/2014/main" id="{00000000-0008-0000-0500-00005B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7</xdr:row>
      <xdr:rowOff>0</xdr:rowOff>
    </xdr:from>
    <xdr:to>
      <xdr:col>0</xdr:col>
      <xdr:colOff>0</xdr:colOff>
      <xdr:row>7</xdr:row>
      <xdr:rowOff>0</xdr:rowOff>
    </xdr:to>
    <xdr:grpSp>
      <xdr:nvGrpSpPr>
        <xdr:cNvPr id="6559513" name="Group 26">
          <a:extLst>
            <a:ext uri="{FF2B5EF4-FFF2-40B4-BE49-F238E27FC236}">
              <a16:creationId xmlns:a16="http://schemas.microsoft.com/office/drawing/2014/main" id="{00000000-0008-0000-0500-000019176400}"/>
            </a:ext>
          </a:extLst>
        </xdr:cNvPr>
        <xdr:cNvGrpSpPr>
          <a:grpSpLocks/>
        </xdr:cNvGrpSpPr>
      </xdr:nvGrpSpPr>
      <xdr:grpSpPr bwMode="auto">
        <a:xfrm>
          <a:off x="0" y="1341120"/>
          <a:ext cx="0" cy="0"/>
          <a:chOff x="26" y="193"/>
          <a:chExt cx="43" cy="8"/>
        </a:xfrm>
      </xdr:grpSpPr>
      <xdr:sp macro="" textlink="">
        <xdr:nvSpPr>
          <xdr:cNvPr id="6559574" name="Rectangle 27">
            <a:extLst>
              <a:ext uri="{FF2B5EF4-FFF2-40B4-BE49-F238E27FC236}">
                <a16:creationId xmlns:a16="http://schemas.microsoft.com/office/drawing/2014/main" id="{00000000-0008-0000-0500-000056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75" name="Rectangle 28">
            <a:extLst>
              <a:ext uri="{FF2B5EF4-FFF2-40B4-BE49-F238E27FC236}">
                <a16:creationId xmlns:a16="http://schemas.microsoft.com/office/drawing/2014/main" id="{00000000-0008-0000-0500-000057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76" name="Rectangle 29">
            <a:extLst>
              <a:ext uri="{FF2B5EF4-FFF2-40B4-BE49-F238E27FC236}">
                <a16:creationId xmlns:a16="http://schemas.microsoft.com/office/drawing/2014/main" id="{00000000-0008-0000-0500-000058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7</xdr:row>
      <xdr:rowOff>0</xdr:rowOff>
    </xdr:from>
    <xdr:to>
      <xdr:col>0</xdr:col>
      <xdr:colOff>0</xdr:colOff>
      <xdr:row>7</xdr:row>
      <xdr:rowOff>0</xdr:rowOff>
    </xdr:to>
    <xdr:grpSp>
      <xdr:nvGrpSpPr>
        <xdr:cNvPr id="6559514" name="Group 30">
          <a:extLst>
            <a:ext uri="{FF2B5EF4-FFF2-40B4-BE49-F238E27FC236}">
              <a16:creationId xmlns:a16="http://schemas.microsoft.com/office/drawing/2014/main" id="{00000000-0008-0000-0500-00001A176400}"/>
            </a:ext>
          </a:extLst>
        </xdr:cNvPr>
        <xdr:cNvGrpSpPr>
          <a:grpSpLocks/>
        </xdr:cNvGrpSpPr>
      </xdr:nvGrpSpPr>
      <xdr:grpSpPr bwMode="auto">
        <a:xfrm>
          <a:off x="0" y="1341120"/>
          <a:ext cx="0" cy="0"/>
          <a:chOff x="26" y="193"/>
          <a:chExt cx="43" cy="8"/>
        </a:xfrm>
      </xdr:grpSpPr>
      <xdr:sp macro="" textlink="">
        <xdr:nvSpPr>
          <xdr:cNvPr id="6559571" name="Rectangle 31">
            <a:extLst>
              <a:ext uri="{FF2B5EF4-FFF2-40B4-BE49-F238E27FC236}">
                <a16:creationId xmlns:a16="http://schemas.microsoft.com/office/drawing/2014/main" id="{00000000-0008-0000-0500-000053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72" name="Rectangle 32">
            <a:extLst>
              <a:ext uri="{FF2B5EF4-FFF2-40B4-BE49-F238E27FC236}">
                <a16:creationId xmlns:a16="http://schemas.microsoft.com/office/drawing/2014/main" id="{00000000-0008-0000-0500-000054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73" name="Rectangle 33">
            <a:extLst>
              <a:ext uri="{FF2B5EF4-FFF2-40B4-BE49-F238E27FC236}">
                <a16:creationId xmlns:a16="http://schemas.microsoft.com/office/drawing/2014/main" id="{00000000-0008-0000-0500-000055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7</xdr:row>
      <xdr:rowOff>0</xdr:rowOff>
    </xdr:from>
    <xdr:to>
      <xdr:col>0</xdr:col>
      <xdr:colOff>0</xdr:colOff>
      <xdr:row>7</xdr:row>
      <xdr:rowOff>0</xdr:rowOff>
    </xdr:to>
    <xdr:grpSp>
      <xdr:nvGrpSpPr>
        <xdr:cNvPr id="6559515" name="Group 34">
          <a:extLst>
            <a:ext uri="{FF2B5EF4-FFF2-40B4-BE49-F238E27FC236}">
              <a16:creationId xmlns:a16="http://schemas.microsoft.com/office/drawing/2014/main" id="{00000000-0008-0000-0500-00001B176400}"/>
            </a:ext>
          </a:extLst>
        </xdr:cNvPr>
        <xdr:cNvGrpSpPr>
          <a:grpSpLocks/>
        </xdr:cNvGrpSpPr>
      </xdr:nvGrpSpPr>
      <xdr:grpSpPr bwMode="auto">
        <a:xfrm>
          <a:off x="0" y="1341120"/>
          <a:ext cx="0" cy="0"/>
          <a:chOff x="26" y="193"/>
          <a:chExt cx="43" cy="8"/>
        </a:xfrm>
      </xdr:grpSpPr>
      <xdr:sp macro="" textlink="">
        <xdr:nvSpPr>
          <xdr:cNvPr id="6559568" name="Rectangle 35">
            <a:extLst>
              <a:ext uri="{FF2B5EF4-FFF2-40B4-BE49-F238E27FC236}">
                <a16:creationId xmlns:a16="http://schemas.microsoft.com/office/drawing/2014/main" id="{00000000-0008-0000-0500-000050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69" name="Rectangle 36">
            <a:extLst>
              <a:ext uri="{FF2B5EF4-FFF2-40B4-BE49-F238E27FC236}">
                <a16:creationId xmlns:a16="http://schemas.microsoft.com/office/drawing/2014/main" id="{00000000-0008-0000-0500-000051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70" name="Rectangle 37">
            <a:extLst>
              <a:ext uri="{FF2B5EF4-FFF2-40B4-BE49-F238E27FC236}">
                <a16:creationId xmlns:a16="http://schemas.microsoft.com/office/drawing/2014/main" id="{00000000-0008-0000-0500-000052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7</xdr:row>
      <xdr:rowOff>0</xdr:rowOff>
    </xdr:from>
    <xdr:to>
      <xdr:col>0</xdr:col>
      <xdr:colOff>0</xdr:colOff>
      <xdr:row>7</xdr:row>
      <xdr:rowOff>0</xdr:rowOff>
    </xdr:to>
    <xdr:grpSp>
      <xdr:nvGrpSpPr>
        <xdr:cNvPr id="6559516" name="Group 42">
          <a:extLst>
            <a:ext uri="{FF2B5EF4-FFF2-40B4-BE49-F238E27FC236}">
              <a16:creationId xmlns:a16="http://schemas.microsoft.com/office/drawing/2014/main" id="{00000000-0008-0000-0500-00001C176400}"/>
            </a:ext>
          </a:extLst>
        </xdr:cNvPr>
        <xdr:cNvGrpSpPr>
          <a:grpSpLocks/>
        </xdr:cNvGrpSpPr>
      </xdr:nvGrpSpPr>
      <xdr:grpSpPr bwMode="auto">
        <a:xfrm>
          <a:off x="0" y="1341120"/>
          <a:ext cx="0" cy="0"/>
          <a:chOff x="26" y="193"/>
          <a:chExt cx="43" cy="8"/>
        </a:xfrm>
      </xdr:grpSpPr>
      <xdr:sp macro="" textlink="">
        <xdr:nvSpPr>
          <xdr:cNvPr id="6559565" name="Rectangle 43">
            <a:extLst>
              <a:ext uri="{FF2B5EF4-FFF2-40B4-BE49-F238E27FC236}">
                <a16:creationId xmlns:a16="http://schemas.microsoft.com/office/drawing/2014/main" id="{00000000-0008-0000-0500-00004D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66" name="Rectangle 44">
            <a:extLst>
              <a:ext uri="{FF2B5EF4-FFF2-40B4-BE49-F238E27FC236}">
                <a16:creationId xmlns:a16="http://schemas.microsoft.com/office/drawing/2014/main" id="{00000000-0008-0000-0500-00004E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67" name="Rectangle 45">
            <a:extLst>
              <a:ext uri="{FF2B5EF4-FFF2-40B4-BE49-F238E27FC236}">
                <a16:creationId xmlns:a16="http://schemas.microsoft.com/office/drawing/2014/main" id="{00000000-0008-0000-0500-00004F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7</xdr:row>
      <xdr:rowOff>0</xdr:rowOff>
    </xdr:from>
    <xdr:to>
      <xdr:col>0</xdr:col>
      <xdr:colOff>0</xdr:colOff>
      <xdr:row>7</xdr:row>
      <xdr:rowOff>0</xdr:rowOff>
    </xdr:to>
    <xdr:grpSp>
      <xdr:nvGrpSpPr>
        <xdr:cNvPr id="6559517" name="Group 50">
          <a:extLst>
            <a:ext uri="{FF2B5EF4-FFF2-40B4-BE49-F238E27FC236}">
              <a16:creationId xmlns:a16="http://schemas.microsoft.com/office/drawing/2014/main" id="{00000000-0008-0000-0500-00001D176400}"/>
            </a:ext>
          </a:extLst>
        </xdr:cNvPr>
        <xdr:cNvGrpSpPr>
          <a:grpSpLocks/>
        </xdr:cNvGrpSpPr>
      </xdr:nvGrpSpPr>
      <xdr:grpSpPr bwMode="auto">
        <a:xfrm>
          <a:off x="0" y="1341120"/>
          <a:ext cx="0" cy="0"/>
          <a:chOff x="26" y="193"/>
          <a:chExt cx="43" cy="8"/>
        </a:xfrm>
      </xdr:grpSpPr>
      <xdr:sp macro="" textlink="">
        <xdr:nvSpPr>
          <xdr:cNvPr id="6559562" name="Rectangle 51">
            <a:extLst>
              <a:ext uri="{FF2B5EF4-FFF2-40B4-BE49-F238E27FC236}">
                <a16:creationId xmlns:a16="http://schemas.microsoft.com/office/drawing/2014/main" id="{00000000-0008-0000-0500-00004A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63" name="Rectangle 52">
            <a:extLst>
              <a:ext uri="{FF2B5EF4-FFF2-40B4-BE49-F238E27FC236}">
                <a16:creationId xmlns:a16="http://schemas.microsoft.com/office/drawing/2014/main" id="{00000000-0008-0000-0500-00004B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64" name="Rectangle 53">
            <a:extLst>
              <a:ext uri="{FF2B5EF4-FFF2-40B4-BE49-F238E27FC236}">
                <a16:creationId xmlns:a16="http://schemas.microsoft.com/office/drawing/2014/main" id="{00000000-0008-0000-0500-00004C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7</xdr:row>
      <xdr:rowOff>0</xdr:rowOff>
    </xdr:from>
    <xdr:to>
      <xdr:col>0</xdr:col>
      <xdr:colOff>0</xdr:colOff>
      <xdr:row>7</xdr:row>
      <xdr:rowOff>0</xdr:rowOff>
    </xdr:to>
    <xdr:grpSp>
      <xdr:nvGrpSpPr>
        <xdr:cNvPr id="6559518" name="Group 54">
          <a:extLst>
            <a:ext uri="{FF2B5EF4-FFF2-40B4-BE49-F238E27FC236}">
              <a16:creationId xmlns:a16="http://schemas.microsoft.com/office/drawing/2014/main" id="{00000000-0008-0000-0500-00001E176400}"/>
            </a:ext>
          </a:extLst>
        </xdr:cNvPr>
        <xdr:cNvGrpSpPr>
          <a:grpSpLocks/>
        </xdr:cNvGrpSpPr>
      </xdr:nvGrpSpPr>
      <xdr:grpSpPr bwMode="auto">
        <a:xfrm>
          <a:off x="0" y="1341120"/>
          <a:ext cx="0" cy="0"/>
          <a:chOff x="26" y="193"/>
          <a:chExt cx="43" cy="8"/>
        </a:xfrm>
      </xdr:grpSpPr>
      <xdr:sp macro="" textlink="">
        <xdr:nvSpPr>
          <xdr:cNvPr id="6559559" name="Rectangle 55">
            <a:extLst>
              <a:ext uri="{FF2B5EF4-FFF2-40B4-BE49-F238E27FC236}">
                <a16:creationId xmlns:a16="http://schemas.microsoft.com/office/drawing/2014/main" id="{00000000-0008-0000-0500-000047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60" name="Rectangle 56">
            <a:extLst>
              <a:ext uri="{FF2B5EF4-FFF2-40B4-BE49-F238E27FC236}">
                <a16:creationId xmlns:a16="http://schemas.microsoft.com/office/drawing/2014/main" id="{00000000-0008-0000-0500-000048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61" name="Rectangle 57">
            <a:extLst>
              <a:ext uri="{FF2B5EF4-FFF2-40B4-BE49-F238E27FC236}">
                <a16:creationId xmlns:a16="http://schemas.microsoft.com/office/drawing/2014/main" id="{00000000-0008-0000-0500-000049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7</xdr:row>
      <xdr:rowOff>0</xdr:rowOff>
    </xdr:from>
    <xdr:to>
      <xdr:col>0</xdr:col>
      <xdr:colOff>0</xdr:colOff>
      <xdr:row>7</xdr:row>
      <xdr:rowOff>0</xdr:rowOff>
    </xdr:to>
    <xdr:grpSp>
      <xdr:nvGrpSpPr>
        <xdr:cNvPr id="6559519" name="Group 66">
          <a:extLst>
            <a:ext uri="{FF2B5EF4-FFF2-40B4-BE49-F238E27FC236}">
              <a16:creationId xmlns:a16="http://schemas.microsoft.com/office/drawing/2014/main" id="{00000000-0008-0000-0500-00001F176400}"/>
            </a:ext>
          </a:extLst>
        </xdr:cNvPr>
        <xdr:cNvGrpSpPr>
          <a:grpSpLocks/>
        </xdr:cNvGrpSpPr>
      </xdr:nvGrpSpPr>
      <xdr:grpSpPr bwMode="auto">
        <a:xfrm>
          <a:off x="0" y="1341120"/>
          <a:ext cx="0" cy="0"/>
          <a:chOff x="26" y="193"/>
          <a:chExt cx="43" cy="8"/>
        </a:xfrm>
      </xdr:grpSpPr>
      <xdr:sp macro="" textlink="">
        <xdr:nvSpPr>
          <xdr:cNvPr id="6559556" name="Rectangle 67">
            <a:extLst>
              <a:ext uri="{FF2B5EF4-FFF2-40B4-BE49-F238E27FC236}">
                <a16:creationId xmlns:a16="http://schemas.microsoft.com/office/drawing/2014/main" id="{00000000-0008-0000-0500-000044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57" name="Rectangle 68">
            <a:extLst>
              <a:ext uri="{FF2B5EF4-FFF2-40B4-BE49-F238E27FC236}">
                <a16:creationId xmlns:a16="http://schemas.microsoft.com/office/drawing/2014/main" id="{00000000-0008-0000-0500-000045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58" name="Rectangle 69">
            <a:extLst>
              <a:ext uri="{FF2B5EF4-FFF2-40B4-BE49-F238E27FC236}">
                <a16:creationId xmlns:a16="http://schemas.microsoft.com/office/drawing/2014/main" id="{00000000-0008-0000-0500-000046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7</xdr:row>
      <xdr:rowOff>0</xdr:rowOff>
    </xdr:from>
    <xdr:to>
      <xdr:col>0</xdr:col>
      <xdr:colOff>0</xdr:colOff>
      <xdr:row>7</xdr:row>
      <xdr:rowOff>0</xdr:rowOff>
    </xdr:to>
    <xdr:grpSp>
      <xdr:nvGrpSpPr>
        <xdr:cNvPr id="6559520" name="Group 70">
          <a:extLst>
            <a:ext uri="{FF2B5EF4-FFF2-40B4-BE49-F238E27FC236}">
              <a16:creationId xmlns:a16="http://schemas.microsoft.com/office/drawing/2014/main" id="{00000000-0008-0000-0500-000020176400}"/>
            </a:ext>
          </a:extLst>
        </xdr:cNvPr>
        <xdr:cNvGrpSpPr>
          <a:grpSpLocks/>
        </xdr:cNvGrpSpPr>
      </xdr:nvGrpSpPr>
      <xdr:grpSpPr bwMode="auto">
        <a:xfrm>
          <a:off x="0" y="1341120"/>
          <a:ext cx="0" cy="0"/>
          <a:chOff x="26" y="193"/>
          <a:chExt cx="43" cy="8"/>
        </a:xfrm>
      </xdr:grpSpPr>
      <xdr:sp macro="" textlink="">
        <xdr:nvSpPr>
          <xdr:cNvPr id="6559553" name="Rectangle 71">
            <a:extLst>
              <a:ext uri="{FF2B5EF4-FFF2-40B4-BE49-F238E27FC236}">
                <a16:creationId xmlns:a16="http://schemas.microsoft.com/office/drawing/2014/main" id="{00000000-0008-0000-0500-000041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54" name="Rectangle 72">
            <a:extLst>
              <a:ext uri="{FF2B5EF4-FFF2-40B4-BE49-F238E27FC236}">
                <a16:creationId xmlns:a16="http://schemas.microsoft.com/office/drawing/2014/main" id="{00000000-0008-0000-0500-000042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55" name="Rectangle 73">
            <a:extLst>
              <a:ext uri="{FF2B5EF4-FFF2-40B4-BE49-F238E27FC236}">
                <a16:creationId xmlns:a16="http://schemas.microsoft.com/office/drawing/2014/main" id="{00000000-0008-0000-0500-000043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7</xdr:row>
      <xdr:rowOff>0</xdr:rowOff>
    </xdr:from>
    <xdr:to>
      <xdr:col>0</xdr:col>
      <xdr:colOff>0</xdr:colOff>
      <xdr:row>7</xdr:row>
      <xdr:rowOff>0</xdr:rowOff>
    </xdr:to>
    <xdr:grpSp>
      <xdr:nvGrpSpPr>
        <xdr:cNvPr id="6559521" name="Group 74">
          <a:extLst>
            <a:ext uri="{FF2B5EF4-FFF2-40B4-BE49-F238E27FC236}">
              <a16:creationId xmlns:a16="http://schemas.microsoft.com/office/drawing/2014/main" id="{00000000-0008-0000-0500-000021176400}"/>
            </a:ext>
          </a:extLst>
        </xdr:cNvPr>
        <xdr:cNvGrpSpPr>
          <a:grpSpLocks/>
        </xdr:cNvGrpSpPr>
      </xdr:nvGrpSpPr>
      <xdr:grpSpPr bwMode="auto">
        <a:xfrm>
          <a:off x="0" y="1341120"/>
          <a:ext cx="0" cy="0"/>
          <a:chOff x="26" y="193"/>
          <a:chExt cx="43" cy="8"/>
        </a:xfrm>
      </xdr:grpSpPr>
      <xdr:sp macro="" textlink="">
        <xdr:nvSpPr>
          <xdr:cNvPr id="6559550" name="Rectangle 75">
            <a:extLst>
              <a:ext uri="{FF2B5EF4-FFF2-40B4-BE49-F238E27FC236}">
                <a16:creationId xmlns:a16="http://schemas.microsoft.com/office/drawing/2014/main" id="{00000000-0008-0000-0500-00003E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51" name="Rectangle 76">
            <a:extLst>
              <a:ext uri="{FF2B5EF4-FFF2-40B4-BE49-F238E27FC236}">
                <a16:creationId xmlns:a16="http://schemas.microsoft.com/office/drawing/2014/main" id="{00000000-0008-0000-0500-00003F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52" name="Rectangle 77">
            <a:extLst>
              <a:ext uri="{FF2B5EF4-FFF2-40B4-BE49-F238E27FC236}">
                <a16:creationId xmlns:a16="http://schemas.microsoft.com/office/drawing/2014/main" id="{00000000-0008-0000-0500-000040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7</xdr:row>
      <xdr:rowOff>0</xdr:rowOff>
    </xdr:from>
    <xdr:to>
      <xdr:col>0</xdr:col>
      <xdr:colOff>0</xdr:colOff>
      <xdr:row>7</xdr:row>
      <xdr:rowOff>0</xdr:rowOff>
    </xdr:to>
    <xdr:grpSp>
      <xdr:nvGrpSpPr>
        <xdr:cNvPr id="6559522" name="Group 78">
          <a:extLst>
            <a:ext uri="{FF2B5EF4-FFF2-40B4-BE49-F238E27FC236}">
              <a16:creationId xmlns:a16="http://schemas.microsoft.com/office/drawing/2014/main" id="{00000000-0008-0000-0500-000022176400}"/>
            </a:ext>
          </a:extLst>
        </xdr:cNvPr>
        <xdr:cNvGrpSpPr>
          <a:grpSpLocks/>
        </xdr:cNvGrpSpPr>
      </xdr:nvGrpSpPr>
      <xdr:grpSpPr bwMode="auto">
        <a:xfrm>
          <a:off x="0" y="1341120"/>
          <a:ext cx="0" cy="0"/>
          <a:chOff x="26" y="193"/>
          <a:chExt cx="43" cy="8"/>
        </a:xfrm>
      </xdr:grpSpPr>
      <xdr:sp macro="" textlink="">
        <xdr:nvSpPr>
          <xdr:cNvPr id="6559547" name="Rectangle 79">
            <a:extLst>
              <a:ext uri="{FF2B5EF4-FFF2-40B4-BE49-F238E27FC236}">
                <a16:creationId xmlns:a16="http://schemas.microsoft.com/office/drawing/2014/main" id="{00000000-0008-0000-0500-00003B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48" name="Rectangle 80">
            <a:extLst>
              <a:ext uri="{FF2B5EF4-FFF2-40B4-BE49-F238E27FC236}">
                <a16:creationId xmlns:a16="http://schemas.microsoft.com/office/drawing/2014/main" id="{00000000-0008-0000-0500-00003C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49" name="Rectangle 81">
            <a:extLst>
              <a:ext uri="{FF2B5EF4-FFF2-40B4-BE49-F238E27FC236}">
                <a16:creationId xmlns:a16="http://schemas.microsoft.com/office/drawing/2014/main" id="{00000000-0008-0000-0500-00003D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7</xdr:row>
      <xdr:rowOff>38100</xdr:rowOff>
    </xdr:from>
    <xdr:to>
      <xdr:col>0</xdr:col>
      <xdr:colOff>0</xdr:colOff>
      <xdr:row>7</xdr:row>
      <xdr:rowOff>114300</xdr:rowOff>
    </xdr:to>
    <xdr:grpSp>
      <xdr:nvGrpSpPr>
        <xdr:cNvPr id="6559523" name="Group 95">
          <a:extLst>
            <a:ext uri="{FF2B5EF4-FFF2-40B4-BE49-F238E27FC236}">
              <a16:creationId xmlns:a16="http://schemas.microsoft.com/office/drawing/2014/main" id="{00000000-0008-0000-0500-000023176400}"/>
            </a:ext>
          </a:extLst>
        </xdr:cNvPr>
        <xdr:cNvGrpSpPr>
          <a:grpSpLocks/>
        </xdr:cNvGrpSpPr>
      </xdr:nvGrpSpPr>
      <xdr:grpSpPr bwMode="auto">
        <a:xfrm>
          <a:off x="0" y="1379220"/>
          <a:ext cx="0" cy="76200"/>
          <a:chOff x="26" y="193"/>
          <a:chExt cx="43" cy="8"/>
        </a:xfrm>
      </xdr:grpSpPr>
      <xdr:sp macro="" textlink="">
        <xdr:nvSpPr>
          <xdr:cNvPr id="6559544" name="Rectangle 96">
            <a:extLst>
              <a:ext uri="{FF2B5EF4-FFF2-40B4-BE49-F238E27FC236}">
                <a16:creationId xmlns:a16="http://schemas.microsoft.com/office/drawing/2014/main" id="{00000000-0008-0000-0500-000038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45" name="Rectangle 97">
            <a:extLst>
              <a:ext uri="{FF2B5EF4-FFF2-40B4-BE49-F238E27FC236}">
                <a16:creationId xmlns:a16="http://schemas.microsoft.com/office/drawing/2014/main" id="{00000000-0008-0000-0500-000039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46" name="Rectangle 98">
            <a:extLst>
              <a:ext uri="{FF2B5EF4-FFF2-40B4-BE49-F238E27FC236}">
                <a16:creationId xmlns:a16="http://schemas.microsoft.com/office/drawing/2014/main" id="{00000000-0008-0000-0500-00003A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7</xdr:row>
      <xdr:rowOff>0</xdr:rowOff>
    </xdr:from>
    <xdr:to>
      <xdr:col>0</xdr:col>
      <xdr:colOff>0</xdr:colOff>
      <xdr:row>7</xdr:row>
      <xdr:rowOff>0</xdr:rowOff>
    </xdr:to>
    <xdr:grpSp>
      <xdr:nvGrpSpPr>
        <xdr:cNvPr id="6559524" name="Group 99">
          <a:extLst>
            <a:ext uri="{FF2B5EF4-FFF2-40B4-BE49-F238E27FC236}">
              <a16:creationId xmlns:a16="http://schemas.microsoft.com/office/drawing/2014/main" id="{00000000-0008-0000-0500-000024176400}"/>
            </a:ext>
          </a:extLst>
        </xdr:cNvPr>
        <xdr:cNvGrpSpPr>
          <a:grpSpLocks/>
        </xdr:cNvGrpSpPr>
      </xdr:nvGrpSpPr>
      <xdr:grpSpPr bwMode="auto">
        <a:xfrm>
          <a:off x="0" y="1341120"/>
          <a:ext cx="0" cy="0"/>
          <a:chOff x="26" y="193"/>
          <a:chExt cx="43" cy="8"/>
        </a:xfrm>
      </xdr:grpSpPr>
      <xdr:sp macro="" textlink="">
        <xdr:nvSpPr>
          <xdr:cNvPr id="6559541" name="Rectangle 100">
            <a:extLst>
              <a:ext uri="{FF2B5EF4-FFF2-40B4-BE49-F238E27FC236}">
                <a16:creationId xmlns:a16="http://schemas.microsoft.com/office/drawing/2014/main" id="{00000000-0008-0000-0500-000035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42" name="Rectangle 101">
            <a:extLst>
              <a:ext uri="{FF2B5EF4-FFF2-40B4-BE49-F238E27FC236}">
                <a16:creationId xmlns:a16="http://schemas.microsoft.com/office/drawing/2014/main" id="{00000000-0008-0000-0500-000036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43" name="Rectangle 102">
            <a:extLst>
              <a:ext uri="{FF2B5EF4-FFF2-40B4-BE49-F238E27FC236}">
                <a16:creationId xmlns:a16="http://schemas.microsoft.com/office/drawing/2014/main" id="{00000000-0008-0000-0500-000037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7</xdr:row>
      <xdr:rowOff>0</xdr:rowOff>
    </xdr:from>
    <xdr:to>
      <xdr:col>0</xdr:col>
      <xdr:colOff>0</xdr:colOff>
      <xdr:row>7</xdr:row>
      <xdr:rowOff>0</xdr:rowOff>
    </xdr:to>
    <xdr:grpSp>
      <xdr:nvGrpSpPr>
        <xdr:cNvPr id="6559525" name="Group 103">
          <a:extLst>
            <a:ext uri="{FF2B5EF4-FFF2-40B4-BE49-F238E27FC236}">
              <a16:creationId xmlns:a16="http://schemas.microsoft.com/office/drawing/2014/main" id="{00000000-0008-0000-0500-000025176400}"/>
            </a:ext>
          </a:extLst>
        </xdr:cNvPr>
        <xdr:cNvGrpSpPr>
          <a:grpSpLocks/>
        </xdr:cNvGrpSpPr>
      </xdr:nvGrpSpPr>
      <xdr:grpSpPr bwMode="auto">
        <a:xfrm>
          <a:off x="0" y="1341120"/>
          <a:ext cx="0" cy="0"/>
          <a:chOff x="26" y="193"/>
          <a:chExt cx="43" cy="8"/>
        </a:xfrm>
      </xdr:grpSpPr>
      <xdr:sp macro="" textlink="">
        <xdr:nvSpPr>
          <xdr:cNvPr id="6559538" name="Rectangle 104">
            <a:extLst>
              <a:ext uri="{FF2B5EF4-FFF2-40B4-BE49-F238E27FC236}">
                <a16:creationId xmlns:a16="http://schemas.microsoft.com/office/drawing/2014/main" id="{00000000-0008-0000-0500-000032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39" name="Rectangle 105">
            <a:extLst>
              <a:ext uri="{FF2B5EF4-FFF2-40B4-BE49-F238E27FC236}">
                <a16:creationId xmlns:a16="http://schemas.microsoft.com/office/drawing/2014/main" id="{00000000-0008-0000-0500-000033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40" name="Rectangle 106">
            <a:extLst>
              <a:ext uri="{FF2B5EF4-FFF2-40B4-BE49-F238E27FC236}">
                <a16:creationId xmlns:a16="http://schemas.microsoft.com/office/drawing/2014/main" id="{00000000-0008-0000-0500-000034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7</xdr:row>
      <xdr:rowOff>0</xdr:rowOff>
    </xdr:from>
    <xdr:to>
      <xdr:col>0</xdr:col>
      <xdr:colOff>0</xdr:colOff>
      <xdr:row>7</xdr:row>
      <xdr:rowOff>0</xdr:rowOff>
    </xdr:to>
    <xdr:grpSp>
      <xdr:nvGrpSpPr>
        <xdr:cNvPr id="6559526" name="Group 107">
          <a:extLst>
            <a:ext uri="{FF2B5EF4-FFF2-40B4-BE49-F238E27FC236}">
              <a16:creationId xmlns:a16="http://schemas.microsoft.com/office/drawing/2014/main" id="{00000000-0008-0000-0500-000026176400}"/>
            </a:ext>
          </a:extLst>
        </xdr:cNvPr>
        <xdr:cNvGrpSpPr>
          <a:grpSpLocks/>
        </xdr:cNvGrpSpPr>
      </xdr:nvGrpSpPr>
      <xdr:grpSpPr bwMode="auto">
        <a:xfrm>
          <a:off x="0" y="1341120"/>
          <a:ext cx="0" cy="0"/>
          <a:chOff x="26" y="193"/>
          <a:chExt cx="43" cy="8"/>
        </a:xfrm>
      </xdr:grpSpPr>
      <xdr:sp macro="" textlink="">
        <xdr:nvSpPr>
          <xdr:cNvPr id="6559535" name="Rectangle 108">
            <a:extLst>
              <a:ext uri="{FF2B5EF4-FFF2-40B4-BE49-F238E27FC236}">
                <a16:creationId xmlns:a16="http://schemas.microsoft.com/office/drawing/2014/main" id="{00000000-0008-0000-0500-00002F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36" name="Rectangle 109">
            <a:extLst>
              <a:ext uri="{FF2B5EF4-FFF2-40B4-BE49-F238E27FC236}">
                <a16:creationId xmlns:a16="http://schemas.microsoft.com/office/drawing/2014/main" id="{00000000-0008-0000-0500-000030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37" name="Rectangle 110">
            <a:extLst>
              <a:ext uri="{FF2B5EF4-FFF2-40B4-BE49-F238E27FC236}">
                <a16:creationId xmlns:a16="http://schemas.microsoft.com/office/drawing/2014/main" id="{00000000-0008-0000-0500-000031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7</xdr:row>
      <xdr:rowOff>0</xdr:rowOff>
    </xdr:from>
    <xdr:to>
      <xdr:col>0</xdr:col>
      <xdr:colOff>0</xdr:colOff>
      <xdr:row>7</xdr:row>
      <xdr:rowOff>0</xdr:rowOff>
    </xdr:to>
    <xdr:grpSp>
      <xdr:nvGrpSpPr>
        <xdr:cNvPr id="6559527" name="Group 111">
          <a:extLst>
            <a:ext uri="{FF2B5EF4-FFF2-40B4-BE49-F238E27FC236}">
              <a16:creationId xmlns:a16="http://schemas.microsoft.com/office/drawing/2014/main" id="{00000000-0008-0000-0500-000027176400}"/>
            </a:ext>
          </a:extLst>
        </xdr:cNvPr>
        <xdr:cNvGrpSpPr>
          <a:grpSpLocks/>
        </xdr:cNvGrpSpPr>
      </xdr:nvGrpSpPr>
      <xdr:grpSpPr bwMode="auto">
        <a:xfrm>
          <a:off x="0" y="1341120"/>
          <a:ext cx="0" cy="0"/>
          <a:chOff x="26" y="193"/>
          <a:chExt cx="43" cy="8"/>
        </a:xfrm>
      </xdr:grpSpPr>
      <xdr:sp macro="" textlink="">
        <xdr:nvSpPr>
          <xdr:cNvPr id="6559532" name="Rectangle 112">
            <a:extLst>
              <a:ext uri="{FF2B5EF4-FFF2-40B4-BE49-F238E27FC236}">
                <a16:creationId xmlns:a16="http://schemas.microsoft.com/office/drawing/2014/main" id="{00000000-0008-0000-0500-00002C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33" name="Rectangle 113">
            <a:extLst>
              <a:ext uri="{FF2B5EF4-FFF2-40B4-BE49-F238E27FC236}">
                <a16:creationId xmlns:a16="http://schemas.microsoft.com/office/drawing/2014/main" id="{00000000-0008-0000-0500-00002D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34" name="Rectangle 114">
            <a:extLst>
              <a:ext uri="{FF2B5EF4-FFF2-40B4-BE49-F238E27FC236}">
                <a16:creationId xmlns:a16="http://schemas.microsoft.com/office/drawing/2014/main" id="{00000000-0008-0000-0500-00002E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7</xdr:row>
      <xdr:rowOff>0</xdr:rowOff>
    </xdr:from>
    <xdr:to>
      <xdr:col>0</xdr:col>
      <xdr:colOff>0</xdr:colOff>
      <xdr:row>7</xdr:row>
      <xdr:rowOff>0</xdr:rowOff>
    </xdr:to>
    <xdr:grpSp>
      <xdr:nvGrpSpPr>
        <xdr:cNvPr id="6559528" name="Group 115">
          <a:extLst>
            <a:ext uri="{FF2B5EF4-FFF2-40B4-BE49-F238E27FC236}">
              <a16:creationId xmlns:a16="http://schemas.microsoft.com/office/drawing/2014/main" id="{00000000-0008-0000-0500-000028176400}"/>
            </a:ext>
          </a:extLst>
        </xdr:cNvPr>
        <xdr:cNvGrpSpPr>
          <a:grpSpLocks/>
        </xdr:cNvGrpSpPr>
      </xdr:nvGrpSpPr>
      <xdr:grpSpPr bwMode="auto">
        <a:xfrm>
          <a:off x="0" y="1341120"/>
          <a:ext cx="0" cy="0"/>
          <a:chOff x="26" y="193"/>
          <a:chExt cx="43" cy="8"/>
        </a:xfrm>
      </xdr:grpSpPr>
      <xdr:sp macro="" textlink="">
        <xdr:nvSpPr>
          <xdr:cNvPr id="6559529" name="Rectangle 116">
            <a:extLst>
              <a:ext uri="{FF2B5EF4-FFF2-40B4-BE49-F238E27FC236}">
                <a16:creationId xmlns:a16="http://schemas.microsoft.com/office/drawing/2014/main" id="{00000000-0008-0000-0500-00002917640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559530" name="Rectangle 117">
            <a:extLst>
              <a:ext uri="{FF2B5EF4-FFF2-40B4-BE49-F238E27FC236}">
                <a16:creationId xmlns:a16="http://schemas.microsoft.com/office/drawing/2014/main" id="{00000000-0008-0000-0500-00002A17640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59531" name="Rectangle 118">
            <a:extLst>
              <a:ext uri="{FF2B5EF4-FFF2-40B4-BE49-F238E27FC236}">
                <a16:creationId xmlns:a16="http://schemas.microsoft.com/office/drawing/2014/main" id="{00000000-0008-0000-0500-00002B17640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mc:AlternateContent xmlns:mc="http://schemas.openxmlformats.org/markup-compatibility/2006">
    <mc:Choice xmlns:a14="http://schemas.microsoft.com/office/drawing/2010/main" Requires="a14">
      <xdr:twoCellAnchor>
        <xdr:from>
          <xdr:col>4</xdr:col>
          <xdr:colOff>175260</xdr:colOff>
          <xdr:row>6</xdr:row>
          <xdr:rowOff>0</xdr:rowOff>
        </xdr:from>
        <xdr:to>
          <xdr:col>4</xdr:col>
          <xdr:colOff>198120</xdr:colOff>
          <xdr:row>6</xdr:row>
          <xdr:rowOff>0</xdr:rowOff>
        </xdr:to>
        <xdr:sp macro="" textlink="">
          <xdr:nvSpPr>
            <xdr:cNvPr id="4099" name="Object 3" hidden="1">
              <a:extLst>
                <a:ext uri="{63B3BB69-23CF-44E3-9099-C40C66FF867C}">
                  <a14:compatExt spid="_x0000_s4099"/>
                </a:ext>
                <a:ext uri="{FF2B5EF4-FFF2-40B4-BE49-F238E27FC236}">
                  <a16:creationId xmlns:a16="http://schemas.microsoft.com/office/drawing/2014/main" id="{00000000-0008-0000-0600-0000031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6</xdr:row>
          <xdr:rowOff>0</xdr:rowOff>
        </xdr:from>
        <xdr:to>
          <xdr:col>4</xdr:col>
          <xdr:colOff>38100</xdr:colOff>
          <xdr:row>6</xdr:row>
          <xdr:rowOff>152400</xdr:rowOff>
        </xdr:to>
        <xdr:sp macro="" textlink="">
          <xdr:nvSpPr>
            <xdr:cNvPr id="4100" name="Object 4" hidden="1">
              <a:extLst>
                <a:ext uri="{63B3BB69-23CF-44E3-9099-C40C66FF867C}">
                  <a14:compatExt spid="_x0000_s4100"/>
                </a:ext>
                <a:ext uri="{FF2B5EF4-FFF2-40B4-BE49-F238E27FC236}">
                  <a16:creationId xmlns:a16="http://schemas.microsoft.com/office/drawing/2014/main" id="{00000000-0008-0000-0600-0000041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83820</xdr:colOff>
          <xdr:row>6</xdr:row>
          <xdr:rowOff>0</xdr:rowOff>
        </xdr:from>
        <xdr:to>
          <xdr:col>4</xdr:col>
          <xdr:colOff>121920</xdr:colOff>
          <xdr:row>6</xdr:row>
          <xdr:rowOff>152400</xdr:rowOff>
        </xdr:to>
        <xdr:sp macro="" textlink="">
          <xdr:nvSpPr>
            <xdr:cNvPr id="4101" name="Object 5" hidden="1">
              <a:extLst>
                <a:ext uri="{63B3BB69-23CF-44E3-9099-C40C66FF867C}">
                  <a14:compatExt spid="_x0000_s4101"/>
                </a:ext>
                <a:ext uri="{FF2B5EF4-FFF2-40B4-BE49-F238E27FC236}">
                  <a16:creationId xmlns:a16="http://schemas.microsoft.com/office/drawing/2014/main" id="{00000000-0008-0000-0600-0000051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11</xdr:row>
      <xdr:rowOff>0</xdr:rowOff>
    </xdr:from>
    <xdr:to>
      <xdr:col>0</xdr:col>
      <xdr:colOff>0</xdr:colOff>
      <xdr:row>11</xdr:row>
      <xdr:rowOff>0</xdr:rowOff>
    </xdr:to>
    <xdr:grpSp>
      <xdr:nvGrpSpPr>
        <xdr:cNvPr id="2" name="Group 5">
          <a:extLst>
            <a:ext uri="{FF2B5EF4-FFF2-40B4-BE49-F238E27FC236}">
              <a16:creationId xmlns:a16="http://schemas.microsoft.com/office/drawing/2014/main" id="{265B645C-E625-435C-A08D-06E2908CA7DB}"/>
            </a:ext>
          </a:extLst>
        </xdr:cNvPr>
        <xdr:cNvGrpSpPr>
          <a:grpSpLocks/>
        </xdr:cNvGrpSpPr>
      </xdr:nvGrpSpPr>
      <xdr:grpSpPr bwMode="auto">
        <a:xfrm>
          <a:off x="0" y="3583214"/>
          <a:ext cx="0" cy="0"/>
          <a:chOff x="26" y="193"/>
          <a:chExt cx="43" cy="8"/>
        </a:xfrm>
      </xdr:grpSpPr>
      <xdr:sp macro="" textlink="">
        <xdr:nvSpPr>
          <xdr:cNvPr id="3" name="Rectangle 6">
            <a:extLst>
              <a:ext uri="{FF2B5EF4-FFF2-40B4-BE49-F238E27FC236}">
                <a16:creationId xmlns:a16="http://schemas.microsoft.com/office/drawing/2014/main" id="{0BB523B9-E02B-D10D-8215-7BE1DA684F44}"/>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4" name="Rectangle 7">
            <a:extLst>
              <a:ext uri="{FF2B5EF4-FFF2-40B4-BE49-F238E27FC236}">
                <a16:creationId xmlns:a16="http://schemas.microsoft.com/office/drawing/2014/main" id="{C8741824-1816-4FBD-17BB-640A9DA5D985}"/>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5" name="Rectangle 8">
            <a:extLst>
              <a:ext uri="{FF2B5EF4-FFF2-40B4-BE49-F238E27FC236}">
                <a16:creationId xmlns:a16="http://schemas.microsoft.com/office/drawing/2014/main" id="{A79BF2BB-5220-184A-6DA2-298C083D0863}"/>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11</xdr:row>
      <xdr:rowOff>0</xdr:rowOff>
    </xdr:from>
    <xdr:to>
      <xdr:col>0</xdr:col>
      <xdr:colOff>0</xdr:colOff>
      <xdr:row>11</xdr:row>
      <xdr:rowOff>0</xdr:rowOff>
    </xdr:to>
    <xdr:grpSp>
      <xdr:nvGrpSpPr>
        <xdr:cNvPr id="6" name="Group 9">
          <a:extLst>
            <a:ext uri="{FF2B5EF4-FFF2-40B4-BE49-F238E27FC236}">
              <a16:creationId xmlns:a16="http://schemas.microsoft.com/office/drawing/2014/main" id="{AC1A3EF3-C660-4DE9-ADB7-567673746932}"/>
            </a:ext>
          </a:extLst>
        </xdr:cNvPr>
        <xdr:cNvGrpSpPr>
          <a:grpSpLocks/>
        </xdr:cNvGrpSpPr>
      </xdr:nvGrpSpPr>
      <xdr:grpSpPr bwMode="auto">
        <a:xfrm>
          <a:off x="0" y="3583214"/>
          <a:ext cx="0" cy="0"/>
          <a:chOff x="26" y="193"/>
          <a:chExt cx="43" cy="8"/>
        </a:xfrm>
      </xdr:grpSpPr>
      <xdr:sp macro="" textlink="">
        <xdr:nvSpPr>
          <xdr:cNvPr id="7" name="Rectangle 10">
            <a:extLst>
              <a:ext uri="{FF2B5EF4-FFF2-40B4-BE49-F238E27FC236}">
                <a16:creationId xmlns:a16="http://schemas.microsoft.com/office/drawing/2014/main" id="{C68BE1AE-E396-36D9-3895-4305A6AFEEC4}"/>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8" name="Rectangle 11">
            <a:extLst>
              <a:ext uri="{FF2B5EF4-FFF2-40B4-BE49-F238E27FC236}">
                <a16:creationId xmlns:a16="http://schemas.microsoft.com/office/drawing/2014/main" id="{E4098429-7A92-BC96-30CE-0072EC7E1F16}"/>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9" name="Rectangle 12">
            <a:extLst>
              <a:ext uri="{FF2B5EF4-FFF2-40B4-BE49-F238E27FC236}">
                <a16:creationId xmlns:a16="http://schemas.microsoft.com/office/drawing/2014/main" id="{42BEF365-C42B-EED9-8900-A1F58831AC4C}"/>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11</xdr:row>
      <xdr:rowOff>0</xdr:rowOff>
    </xdr:from>
    <xdr:to>
      <xdr:col>0</xdr:col>
      <xdr:colOff>0</xdr:colOff>
      <xdr:row>11</xdr:row>
      <xdr:rowOff>0</xdr:rowOff>
    </xdr:to>
    <xdr:grpSp>
      <xdr:nvGrpSpPr>
        <xdr:cNvPr id="10" name="Group 13">
          <a:extLst>
            <a:ext uri="{FF2B5EF4-FFF2-40B4-BE49-F238E27FC236}">
              <a16:creationId xmlns:a16="http://schemas.microsoft.com/office/drawing/2014/main" id="{51A0AE85-65B8-40E4-8ECC-9C69198B5A0A}"/>
            </a:ext>
          </a:extLst>
        </xdr:cNvPr>
        <xdr:cNvGrpSpPr>
          <a:grpSpLocks/>
        </xdr:cNvGrpSpPr>
      </xdr:nvGrpSpPr>
      <xdr:grpSpPr bwMode="auto">
        <a:xfrm>
          <a:off x="0" y="3583214"/>
          <a:ext cx="0" cy="0"/>
          <a:chOff x="26" y="193"/>
          <a:chExt cx="43" cy="8"/>
        </a:xfrm>
      </xdr:grpSpPr>
      <xdr:sp macro="" textlink="">
        <xdr:nvSpPr>
          <xdr:cNvPr id="11" name="Rectangle 14">
            <a:extLst>
              <a:ext uri="{FF2B5EF4-FFF2-40B4-BE49-F238E27FC236}">
                <a16:creationId xmlns:a16="http://schemas.microsoft.com/office/drawing/2014/main" id="{3ECFCDBC-F2D7-E2ED-C019-797B484EEF6C}"/>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12" name="Rectangle 15">
            <a:extLst>
              <a:ext uri="{FF2B5EF4-FFF2-40B4-BE49-F238E27FC236}">
                <a16:creationId xmlns:a16="http://schemas.microsoft.com/office/drawing/2014/main" id="{71B249BB-5060-67FF-352C-465C612C778C}"/>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13" name="Rectangle 16">
            <a:extLst>
              <a:ext uri="{FF2B5EF4-FFF2-40B4-BE49-F238E27FC236}">
                <a16:creationId xmlns:a16="http://schemas.microsoft.com/office/drawing/2014/main" id="{BFA1A8DC-B3E1-04A9-BD22-1E7A68865F94}"/>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11</xdr:row>
      <xdr:rowOff>0</xdr:rowOff>
    </xdr:from>
    <xdr:to>
      <xdr:col>0</xdr:col>
      <xdr:colOff>0</xdr:colOff>
      <xdr:row>11</xdr:row>
      <xdr:rowOff>0</xdr:rowOff>
    </xdr:to>
    <xdr:grpSp>
      <xdr:nvGrpSpPr>
        <xdr:cNvPr id="14" name="Group 17">
          <a:extLst>
            <a:ext uri="{FF2B5EF4-FFF2-40B4-BE49-F238E27FC236}">
              <a16:creationId xmlns:a16="http://schemas.microsoft.com/office/drawing/2014/main" id="{8152B502-2463-458D-8ACA-61D6B060F6A3}"/>
            </a:ext>
          </a:extLst>
        </xdr:cNvPr>
        <xdr:cNvGrpSpPr>
          <a:grpSpLocks/>
        </xdr:cNvGrpSpPr>
      </xdr:nvGrpSpPr>
      <xdr:grpSpPr bwMode="auto">
        <a:xfrm>
          <a:off x="0" y="3583214"/>
          <a:ext cx="0" cy="0"/>
          <a:chOff x="26" y="193"/>
          <a:chExt cx="43" cy="8"/>
        </a:xfrm>
      </xdr:grpSpPr>
      <xdr:sp macro="" textlink="">
        <xdr:nvSpPr>
          <xdr:cNvPr id="15" name="Rectangle 18">
            <a:extLst>
              <a:ext uri="{FF2B5EF4-FFF2-40B4-BE49-F238E27FC236}">
                <a16:creationId xmlns:a16="http://schemas.microsoft.com/office/drawing/2014/main" id="{75CC1B99-0CBB-AE2C-AC46-8D2AB953BE43}"/>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16" name="Rectangle 19">
            <a:extLst>
              <a:ext uri="{FF2B5EF4-FFF2-40B4-BE49-F238E27FC236}">
                <a16:creationId xmlns:a16="http://schemas.microsoft.com/office/drawing/2014/main" id="{5DCEBD3A-198B-8198-F168-AE94237D943B}"/>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17" name="Rectangle 20">
            <a:extLst>
              <a:ext uri="{FF2B5EF4-FFF2-40B4-BE49-F238E27FC236}">
                <a16:creationId xmlns:a16="http://schemas.microsoft.com/office/drawing/2014/main" id="{FA98498C-4799-7EE7-3CAA-03CC19073636}"/>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11</xdr:row>
      <xdr:rowOff>0</xdr:rowOff>
    </xdr:from>
    <xdr:to>
      <xdr:col>0</xdr:col>
      <xdr:colOff>0</xdr:colOff>
      <xdr:row>11</xdr:row>
      <xdr:rowOff>0</xdr:rowOff>
    </xdr:to>
    <xdr:grpSp>
      <xdr:nvGrpSpPr>
        <xdr:cNvPr id="18" name="Group 21">
          <a:extLst>
            <a:ext uri="{FF2B5EF4-FFF2-40B4-BE49-F238E27FC236}">
              <a16:creationId xmlns:a16="http://schemas.microsoft.com/office/drawing/2014/main" id="{655ED058-9A58-45E1-B798-A0181555F23F}"/>
            </a:ext>
          </a:extLst>
        </xdr:cNvPr>
        <xdr:cNvGrpSpPr>
          <a:grpSpLocks/>
        </xdr:cNvGrpSpPr>
      </xdr:nvGrpSpPr>
      <xdr:grpSpPr bwMode="auto">
        <a:xfrm>
          <a:off x="0" y="3583214"/>
          <a:ext cx="0" cy="0"/>
          <a:chOff x="26" y="193"/>
          <a:chExt cx="43" cy="8"/>
        </a:xfrm>
      </xdr:grpSpPr>
      <xdr:sp macro="" textlink="">
        <xdr:nvSpPr>
          <xdr:cNvPr id="19" name="Rectangle 22">
            <a:extLst>
              <a:ext uri="{FF2B5EF4-FFF2-40B4-BE49-F238E27FC236}">
                <a16:creationId xmlns:a16="http://schemas.microsoft.com/office/drawing/2014/main" id="{ABCB2E85-E3A4-8120-D779-C75737B1B72E}"/>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20" name="Rectangle 23">
            <a:extLst>
              <a:ext uri="{FF2B5EF4-FFF2-40B4-BE49-F238E27FC236}">
                <a16:creationId xmlns:a16="http://schemas.microsoft.com/office/drawing/2014/main" id="{D19CA1DC-BC70-6A49-69B8-23186703CA05}"/>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21" name="Rectangle 24">
            <a:extLst>
              <a:ext uri="{FF2B5EF4-FFF2-40B4-BE49-F238E27FC236}">
                <a16:creationId xmlns:a16="http://schemas.microsoft.com/office/drawing/2014/main" id="{AEE0D670-5C7F-51B8-45D4-E53BFE114973}"/>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11</xdr:row>
      <xdr:rowOff>0</xdr:rowOff>
    </xdr:from>
    <xdr:to>
      <xdr:col>0</xdr:col>
      <xdr:colOff>0</xdr:colOff>
      <xdr:row>11</xdr:row>
      <xdr:rowOff>0</xdr:rowOff>
    </xdr:to>
    <xdr:grpSp>
      <xdr:nvGrpSpPr>
        <xdr:cNvPr id="22" name="Group 25">
          <a:extLst>
            <a:ext uri="{FF2B5EF4-FFF2-40B4-BE49-F238E27FC236}">
              <a16:creationId xmlns:a16="http://schemas.microsoft.com/office/drawing/2014/main" id="{E8796689-8B49-4ABC-ADC0-CC816846C5FA}"/>
            </a:ext>
          </a:extLst>
        </xdr:cNvPr>
        <xdr:cNvGrpSpPr>
          <a:grpSpLocks/>
        </xdr:cNvGrpSpPr>
      </xdr:nvGrpSpPr>
      <xdr:grpSpPr bwMode="auto">
        <a:xfrm>
          <a:off x="0" y="3583214"/>
          <a:ext cx="0" cy="0"/>
          <a:chOff x="26" y="193"/>
          <a:chExt cx="43" cy="8"/>
        </a:xfrm>
      </xdr:grpSpPr>
      <xdr:sp macro="" textlink="">
        <xdr:nvSpPr>
          <xdr:cNvPr id="23" name="Rectangle 26">
            <a:extLst>
              <a:ext uri="{FF2B5EF4-FFF2-40B4-BE49-F238E27FC236}">
                <a16:creationId xmlns:a16="http://schemas.microsoft.com/office/drawing/2014/main" id="{0ACE0C1C-6E63-524E-5EAE-43373FB26AC5}"/>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24" name="Rectangle 27">
            <a:extLst>
              <a:ext uri="{FF2B5EF4-FFF2-40B4-BE49-F238E27FC236}">
                <a16:creationId xmlns:a16="http://schemas.microsoft.com/office/drawing/2014/main" id="{8996E09C-4E84-6180-D642-2F79AD458937}"/>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25" name="Rectangle 28">
            <a:extLst>
              <a:ext uri="{FF2B5EF4-FFF2-40B4-BE49-F238E27FC236}">
                <a16:creationId xmlns:a16="http://schemas.microsoft.com/office/drawing/2014/main" id="{BC3AE4C2-01E1-D2A4-EF5A-FBA50D3C9AA5}"/>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11</xdr:row>
      <xdr:rowOff>0</xdr:rowOff>
    </xdr:from>
    <xdr:to>
      <xdr:col>0</xdr:col>
      <xdr:colOff>0</xdr:colOff>
      <xdr:row>11</xdr:row>
      <xdr:rowOff>0</xdr:rowOff>
    </xdr:to>
    <xdr:grpSp>
      <xdr:nvGrpSpPr>
        <xdr:cNvPr id="26" name="Group 29">
          <a:extLst>
            <a:ext uri="{FF2B5EF4-FFF2-40B4-BE49-F238E27FC236}">
              <a16:creationId xmlns:a16="http://schemas.microsoft.com/office/drawing/2014/main" id="{8F0FAAD1-A8EE-4BA2-8D9B-1CC2B49A0139}"/>
            </a:ext>
          </a:extLst>
        </xdr:cNvPr>
        <xdr:cNvGrpSpPr>
          <a:grpSpLocks/>
        </xdr:cNvGrpSpPr>
      </xdr:nvGrpSpPr>
      <xdr:grpSpPr bwMode="auto">
        <a:xfrm>
          <a:off x="0" y="3583214"/>
          <a:ext cx="0" cy="0"/>
          <a:chOff x="26" y="193"/>
          <a:chExt cx="43" cy="8"/>
        </a:xfrm>
      </xdr:grpSpPr>
      <xdr:sp macro="" textlink="">
        <xdr:nvSpPr>
          <xdr:cNvPr id="27" name="Rectangle 30">
            <a:extLst>
              <a:ext uri="{FF2B5EF4-FFF2-40B4-BE49-F238E27FC236}">
                <a16:creationId xmlns:a16="http://schemas.microsoft.com/office/drawing/2014/main" id="{B0F5BDE2-381E-02D9-94A2-91233A399009}"/>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28" name="Rectangle 31">
            <a:extLst>
              <a:ext uri="{FF2B5EF4-FFF2-40B4-BE49-F238E27FC236}">
                <a16:creationId xmlns:a16="http://schemas.microsoft.com/office/drawing/2014/main" id="{3FFE35C3-A2FC-93B9-B5E9-CB5A43FB9D49}"/>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29" name="Rectangle 32">
            <a:extLst>
              <a:ext uri="{FF2B5EF4-FFF2-40B4-BE49-F238E27FC236}">
                <a16:creationId xmlns:a16="http://schemas.microsoft.com/office/drawing/2014/main" id="{1737B698-E11E-D928-68F9-F948F5E13DE7}"/>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11</xdr:row>
      <xdr:rowOff>0</xdr:rowOff>
    </xdr:from>
    <xdr:to>
      <xdr:col>0</xdr:col>
      <xdr:colOff>0</xdr:colOff>
      <xdr:row>11</xdr:row>
      <xdr:rowOff>0</xdr:rowOff>
    </xdr:to>
    <xdr:grpSp>
      <xdr:nvGrpSpPr>
        <xdr:cNvPr id="30" name="Group 33">
          <a:extLst>
            <a:ext uri="{FF2B5EF4-FFF2-40B4-BE49-F238E27FC236}">
              <a16:creationId xmlns:a16="http://schemas.microsoft.com/office/drawing/2014/main" id="{423A5F35-28ED-42B8-9664-0A6FB9113990}"/>
            </a:ext>
          </a:extLst>
        </xdr:cNvPr>
        <xdr:cNvGrpSpPr>
          <a:grpSpLocks/>
        </xdr:cNvGrpSpPr>
      </xdr:nvGrpSpPr>
      <xdr:grpSpPr bwMode="auto">
        <a:xfrm>
          <a:off x="0" y="3583214"/>
          <a:ext cx="0" cy="0"/>
          <a:chOff x="26" y="193"/>
          <a:chExt cx="43" cy="8"/>
        </a:xfrm>
      </xdr:grpSpPr>
      <xdr:sp macro="" textlink="">
        <xdr:nvSpPr>
          <xdr:cNvPr id="31" name="Rectangle 34">
            <a:extLst>
              <a:ext uri="{FF2B5EF4-FFF2-40B4-BE49-F238E27FC236}">
                <a16:creationId xmlns:a16="http://schemas.microsoft.com/office/drawing/2014/main" id="{CCDFD0EB-7B0D-B3AC-1C5C-D845A65C8E95}"/>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32" name="Rectangle 35">
            <a:extLst>
              <a:ext uri="{FF2B5EF4-FFF2-40B4-BE49-F238E27FC236}">
                <a16:creationId xmlns:a16="http://schemas.microsoft.com/office/drawing/2014/main" id="{58109399-DEBC-1BE5-90C7-D6D5BD04D095}"/>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33" name="Rectangle 36">
            <a:extLst>
              <a:ext uri="{FF2B5EF4-FFF2-40B4-BE49-F238E27FC236}">
                <a16:creationId xmlns:a16="http://schemas.microsoft.com/office/drawing/2014/main" id="{B33EBD3D-63D2-C3FC-3B01-149A5AC1BA6B}"/>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11</xdr:row>
      <xdr:rowOff>0</xdr:rowOff>
    </xdr:from>
    <xdr:to>
      <xdr:col>0</xdr:col>
      <xdr:colOff>0</xdr:colOff>
      <xdr:row>11</xdr:row>
      <xdr:rowOff>0</xdr:rowOff>
    </xdr:to>
    <xdr:grpSp>
      <xdr:nvGrpSpPr>
        <xdr:cNvPr id="34" name="Group 37">
          <a:extLst>
            <a:ext uri="{FF2B5EF4-FFF2-40B4-BE49-F238E27FC236}">
              <a16:creationId xmlns:a16="http://schemas.microsoft.com/office/drawing/2014/main" id="{FE2FC948-6C40-4D1A-A3D2-019DC7E23259}"/>
            </a:ext>
          </a:extLst>
        </xdr:cNvPr>
        <xdr:cNvGrpSpPr>
          <a:grpSpLocks/>
        </xdr:cNvGrpSpPr>
      </xdr:nvGrpSpPr>
      <xdr:grpSpPr bwMode="auto">
        <a:xfrm>
          <a:off x="0" y="3583214"/>
          <a:ext cx="0" cy="0"/>
          <a:chOff x="26" y="193"/>
          <a:chExt cx="43" cy="8"/>
        </a:xfrm>
      </xdr:grpSpPr>
      <xdr:sp macro="" textlink="">
        <xdr:nvSpPr>
          <xdr:cNvPr id="35" name="Rectangle 38">
            <a:extLst>
              <a:ext uri="{FF2B5EF4-FFF2-40B4-BE49-F238E27FC236}">
                <a16:creationId xmlns:a16="http://schemas.microsoft.com/office/drawing/2014/main" id="{0801D04A-A762-F1B7-DE3E-206BC911A945}"/>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36" name="Rectangle 39">
            <a:extLst>
              <a:ext uri="{FF2B5EF4-FFF2-40B4-BE49-F238E27FC236}">
                <a16:creationId xmlns:a16="http://schemas.microsoft.com/office/drawing/2014/main" id="{A2153F52-3426-6638-5AFF-128A7F559141}"/>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37" name="Rectangle 40">
            <a:extLst>
              <a:ext uri="{FF2B5EF4-FFF2-40B4-BE49-F238E27FC236}">
                <a16:creationId xmlns:a16="http://schemas.microsoft.com/office/drawing/2014/main" id="{EEFA54D7-F4AF-4AFA-7F43-5904B0FB75BB}"/>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11</xdr:row>
      <xdr:rowOff>0</xdr:rowOff>
    </xdr:from>
    <xdr:to>
      <xdr:col>0</xdr:col>
      <xdr:colOff>0</xdr:colOff>
      <xdr:row>11</xdr:row>
      <xdr:rowOff>0</xdr:rowOff>
    </xdr:to>
    <xdr:grpSp>
      <xdr:nvGrpSpPr>
        <xdr:cNvPr id="38" name="Group 41">
          <a:extLst>
            <a:ext uri="{FF2B5EF4-FFF2-40B4-BE49-F238E27FC236}">
              <a16:creationId xmlns:a16="http://schemas.microsoft.com/office/drawing/2014/main" id="{2CC6F0F8-5A69-4F7F-ABDC-F66B619DB243}"/>
            </a:ext>
          </a:extLst>
        </xdr:cNvPr>
        <xdr:cNvGrpSpPr>
          <a:grpSpLocks/>
        </xdr:cNvGrpSpPr>
      </xdr:nvGrpSpPr>
      <xdr:grpSpPr bwMode="auto">
        <a:xfrm>
          <a:off x="0" y="3583214"/>
          <a:ext cx="0" cy="0"/>
          <a:chOff x="26" y="193"/>
          <a:chExt cx="43" cy="8"/>
        </a:xfrm>
      </xdr:grpSpPr>
      <xdr:sp macro="" textlink="">
        <xdr:nvSpPr>
          <xdr:cNvPr id="39" name="Rectangle 42">
            <a:extLst>
              <a:ext uri="{FF2B5EF4-FFF2-40B4-BE49-F238E27FC236}">
                <a16:creationId xmlns:a16="http://schemas.microsoft.com/office/drawing/2014/main" id="{226066D5-3D42-5215-E0CB-DA66DF7190AD}"/>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40" name="Rectangle 43">
            <a:extLst>
              <a:ext uri="{FF2B5EF4-FFF2-40B4-BE49-F238E27FC236}">
                <a16:creationId xmlns:a16="http://schemas.microsoft.com/office/drawing/2014/main" id="{28CCEA8D-76E7-C1AC-B160-A1B79A80A1D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41" name="Rectangle 44">
            <a:extLst>
              <a:ext uri="{FF2B5EF4-FFF2-40B4-BE49-F238E27FC236}">
                <a16:creationId xmlns:a16="http://schemas.microsoft.com/office/drawing/2014/main" id="{0EE7251A-23D6-4096-A42D-883E7247868C}"/>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11</xdr:row>
      <xdr:rowOff>0</xdr:rowOff>
    </xdr:from>
    <xdr:to>
      <xdr:col>0</xdr:col>
      <xdr:colOff>0</xdr:colOff>
      <xdr:row>11</xdr:row>
      <xdr:rowOff>0</xdr:rowOff>
    </xdr:to>
    <xdr:grpSp>
      <xdr:nvGrpSpPr>
        <xdr:cNvPr id="42" name="Group 45">
          <a:extLst>
            <a:ext uri="{FF2B5EF4-FFF2-40B4-BE49-F238E27FC236}">
              <a16:creationId xmlns:a16="http://schemas.microsoft.com/office/drawing/2014/main" id="{EEEBC826-8C1E-41B7-A8B9-F4B5545E9D7D}"/>
            </a:ext>
          </a:extLst>
        </xdr:cNvPr>
        <xdr:cNvGrpSpPr>
          <a:grpSpLocks/>
        </xdr:cNvGrpSpPr>
      </xdr:nvGrpSpPr>
      <xdr:grpSpPr bwMode="auto">
        <a:xfrm>
          <a:off x="0" y="3583214"/>
          <a:ext cx="0" cy="0"/>
          <a:chOff x="26" y="193"/>
          <a:chExt cx="43" cy="8"/>
        </a:xfrm>
      </xdr:grpSpPr>
      <xdr:sp macro="" textlink="">
        <xdr:nvSpPr>
          <xdr:cNvPr id="43" name="Rectangle 46">
            <a:extLst>
              <a:ext uri="{FF2B5EF4-FFF2-40B4-BE49-F238E27FC236}">
                <a16:creationId xmlns:a16="http://schemas.microsoft.com/office/drawing/2014/main" id="{BDCECC67-A090-B2FB-36DD-ACA2904DA04C}"/>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44" name="Rectangle 47">
            <a:extLst>
              <a:ext uri="{FF2B5EF4-FFF2-40B4-BE49-F238E27FC236}">
                <a16:creationId xmlns:a16="http://schemas.microsoft.com/office/drawing/2014/main" id="{A27C7A29-9D17-1D42-0E7A-07FFF2848242}"/>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45" name="Rectangle 48">
            <a:extLst>
              <a:ext uri="{FF2B5EF4-FFF2-40B4-BE49-F238E27FC236}">
                <a16:creationId xmlns:a16="http://schemas.microsoft.com/office/drawing/2014/main" id="{F7D1712B-8F14-8AB0-6F90-A237AE34929B}"/>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11</xdr:row>
      <xdr:rowOff>0</xdr:rowOff>
    </xdr:from>
    <xdr:to>
      <xdr:col>0</xdr:col>
      <xdr:colOff>0</xdr:colOff>
      <xdr:row>11</xdr:row>
      <xdr:rowOff>0</xdr:rowOff>
    </xdr:to>
    <xdr:grpSp>
      <xdr:nvGrpSpPr>
        <xdr:cNvPr id="46" name="Group 49">
          <a:extLst>
            <a:ext uri="{FF2B5EF4-FFF2-40B4-BE49-F238E27FC236}">
              <a16:creationId xmlns:a16="http://schemas.microsoft.com/office/drawing/2014/main" id="{E8B2979A-8F74-4F7D-875A-37B73309F59E}"/>
            </a:ext>
          </a:extLst>
        </xdr:cNvPr>
        <xdr:cNvGrpSpPr>
          <a:grpSpLocks/>
        </xdr:cNvGrpSpPr>
      </xdr:nvGrpSpPr>
      <xdr:grpSpPr bwMode="auto">
        <a:xfrm>
          <a:off x="0" y="3583214"/>
          <a:ext cx="0" cy="0"/>
          <a:chOff x="26" y="193"/>
          <a:chExt cx="43" cy="8"/>
        </a:xfrm>
      </xdr:grpSpPr>
      <xdr:sp macro="" textlink="">
        <xdr:nvSpPr>
          <xdr:cNvPr id="47" name="Rectangle 50">
            <a:extLst>
              <a:ext uri="{FF2B5EF4-FFF2-40B4-BE49-F238E27FC236}">
                <a16:creationId xmlns:a16="http://schemas.microsoft.com/office/drawing/2014/main" id="{3BDF5DE3-4FE6-F910-D45A-A28FA90B6FCC}"/>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48" name="Rectangle 51">
            <a:extLst>
              <a:ext uri="{FF2B5EF4-FFF2-40B4-BE49-F238E27FC236}">
                <a16:creationId xmlns:a16="http://schemas.microsoft.com/office/drawing/2014/main" id="{D82DCB43-B03A-3118-0F66-38A79AC4E416}"/>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49" name="Rectangle 52">
            <a:extLst>
              <a:ext uri="{FF2B5EF4-FFF2-40B4-BE49-F238E27FC236}">
                <a16:creationId xmlns:a16="http://schemas.microsoft.com/office/drawing/2014/main" id="{D1E6F942-5FE0-AFED-F7ED-2C3CEDF7F4EB}"/>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11</xdr:row>
      <xdr:rowOff>0</xdr:rowOff>
    </xdr:from>
    <xdr:to>
      <xdr:col>0</xdr:col>
      <xdr:colOff>0</xdr:colOff>
      <xdr:row>11</xdr:row>
      <xdr:rowOff>0</xdr:rowOff>
    </xdr:to>
    <xdr:grpSp>
      <xdr:nvGrpSpPr>
        <xdr:cNvPr id="50" name="Group 53">
          <a:extLst>
            <a:ext uri="{FF2B5EF4-FFF2-40B4-BE49-F238E27FC236}">
              <a16:creationId xmlns:a16="http://schemas.microsoft.com/office/drawing/2014/main" id="{D7149E68-27F5-4AAA-96DA-488762624567}"/>
            </a:ext>
          </a:extLst>
        </xdr:cNvPr>
        <xdr:cNvGrpSpPr>
          <a:grpSpLocks/>
        </xdr:cNvGrpSpPr>
      </xdr:nvGrpSpPr>
      <xdr:grpSpPr bwMode="auto">
        <a:xfrm>
          <a:off x="0" y="3583214"/>
          <a:ext cx="0" cy="0"/>
          <a:chOff x="26" y="193"/>
          <a:chExt cx="43" cy="8"/>
        </a:xfrm>
      </xdr:grpSpPr>
      <xdr:sp macro="" textlink="">
        <xdr:nvSpPr>
          <xdr:cNvPr id="51" name="Rectangle 54">
            <a:extLst>
              <a:ext uri="{FF2B5EF4-FFF2-40B4-BE49-F238E27FC236}">
                <a16:creationId xmlns:a16="http://schemas.microsoft.com/office/drawing/2014/main" id="{7AA797D5-F712-0EF0-AE0A-46F88739BD5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52" name="Rectangle 55">
            <a:extLst>
              <a:ext uri="{FF2B5EF4-FFF2-40B4-BE49-F238E27FC236}">
                <a16:creationId xmlns:a16="http://schemas.microsoft.com/office/drawing/2014/main" id="{97CAB11B-2DBE-6259-4A74-5983A31B58A7}"/>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53" name="Rectangle 56">
            <a:extLst>
              <a:ext uri="{FF2B5EF4-FFF2-40B4-BE49-F238E27FC236}">
                <a16:creationId xmlns:a16="http://schemas.microsoft.com/office/drawing/2014/main" id="{71DCFDF7-EED7-39AD-AD0A-078DF6BC9CF2}"/>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11</xdr:row>
      <xdr:rowOff>0</xdr:rowOff>
    </xdr:from>
    <xdr:to>
      <xdr:col>0</xdr:col>
      <xdr:colOff>0</xdr:colOff>
      <xdr:row>11</xdr:row>
      <xdr:rowOff>0</xdr:rowOff>
    </xdr:to>
    <xdr:grpSp>
      <xdr:nvGrpSpPr>
        <xdr:cNvPr id="54" name="Group 57">
          <a:extLst>
            <a:ext uri="{FF2B5EF4-FFF2-40B4-BE49-F238E27FC236}">
              <a16:creationId xmlns:a16="http://schemas.microsoft.com/office/drawing/2014/main" id="{4D3E58F7-F9E2-48C2-B126-45D8614B5602}"/>
            </a:ext>
          </a:extLst>
        </xdr:cNvPr>
        <xdr:cNvGrpSpPr>
          <a:grpSpLocks/>
        </xdr:cNvGrpSpPr>
      </xdr:nvGrpSpPr>
      <xdr:grpSpPr bwMode="auto">
        <a:xfrm>
          <a:off x="0" y="3583214"/>
          <a:ext cx="0" cy="0"/>
          <a:chOff x="26" y="193"/>
          <a:chExt cx="43" cy="8"/>
        </a:xfrm>
      </xdr:grpSpPr>
      <xdr:sp macro="" textlink="">
        <xdr:nvSpPr>
          <xdr:cNvPr id="55" name="Rectangle 58">
            <a:extLst>
              <a:ext uri="{FF2B5EF4-FFF2-40B4-BE49-F238E27FC236}">
                <a16:creationId xmlns:a16="http://schemas.microsoft.com/office/drawing/2014/main" id="{2C30D83C-C1F6-F2C9-5D1C-D9F51621302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56" name="Rectangle 59">
            <a:extLst>
              <a:ext uri="{FF2B5EF4-FFF2-40B4-BE49-F238E27FC236}">
                <a16:creationId xmlns:a16="http://schemas.microsoft.com/office/drawing/2014/main" id="{ED6FA9E4-DB67-1493-1C5A-C71D9D19D1A9}"/>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57" name="Rectangle 60">
            <a:extLst>
              <a:ext uri="{FF2B5EF4-FFF2-40B4-BE49-F238E27FC236}">
                <a16:creationId xmlns:a16="http://schemas.microsoft.com/office/drawing/2014/main" id="{42A25FFC-7BCB-1ED9-BEEB-A4A68F313E0F}"/>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11</xdr:row>
      <xdr:rowOff>0</xdr:rowOff>
    </xdr:from>
    <xdr:to>
      <xdr:col>0</xdr:col>
      <xdr:colOff>0</xdr:colOff>
      <xdr:row>11</xdr:row>
      <xdr:rowOff>0</xdr:rowOff>
    </xdr:to>
    <xdr:grpSp>
      <xdr:nvGrpSpPr>
        <xdr:cNvPr id="58" name="Group 61">
          <a:extLst>
            <a:ext uri="{FF2B5EF4-FFF2-40B4-BE49-F238E27FC236}">
              <a16:creationId xmlns:a16="http://schemas.microsoft.com/office/drawing/2014/main" id="{7C9062ED-1D9A-44A7-851F-6431EF782881}"/>
            </a:ext>
          </a:extLst>
        </xdr:cNvPr>
        <xdr:cNvGrpSpPr>
          <a:grpSpLocks/>
        </xdr:cNvGrpSpPr>
      </xdr:nvGrpSpPr>
      <xdr:grpSpPr bwMode="auto">
        <a:xfrm>
          <a:off x="0" y="3583214"/>
          <a:ext cx="0" cy="0"/>
          <a:chOff x="26" y="193"/>
          <a:chExt cx="43" cy="8"/>
        </a:xfrm>
      </xdr:grpSpPr>
      <xdr:sp macro="" textlink="">
        <xdr:nvSpPr>
          <xdr:cNvPr id="59" name="Rectangle 62">
            <a:extLst>
              <a:ext uri="{FF2B5EF4-FFF2-40B4-BE49-F238E27FC236}">
                <a16:creationId xmlns:a16="http://schemas.microsoft.com/office/drawing/2014/main" id="{858B123F-BE8C-D5D3-D781-0DD54A79A5FD}"/>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0" name="Rectangle 63">
            <a:extLst>
              <a:ext uri="{FF2B5EF4-FFF2-40B4-BE49-F238E27FC236}">
                <a16:creationId xmlns:a16="http://schemas.microsoft.com/office/drawing/2014/main" id="{CEB9040C-61C9-562A-2628-B34B50BFB190}"/>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1" name="Rectangle 64">
            <a:extLst>
              <a:ext uri="{FF2B5EF4-FFF2-40B4-BE49-F238E27FC236}">
                <a16:creationId xmlns:a16="http://schemas.microsoft.com/office/drawing/2014/main" id="{D2F4D05A-88AD-87EC-41D2-D99938D04E0F}"/>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11</xdr:row>
      <xdr:rowOff>0</xdr:rowOff>
    </xdr:from>
    <xdr:to>
      <xdr:col>0</xdr:col>
      <xdr:colOff>0</xdr:colOff>
      <xdr:row>11</xdr:row>
      <xdr:rowOff>0</xdr:rowOff>
    </xdr:to>
    <xdr:grpSp>
      <xdr:nvGrpSpPr>
        <xdr:cNvPr id="62" name="Group 65">
          <a:extLst>
            <a:ext uri="{FF2B5EF4-FFF2-40B4-BE49-F238E27FC236}">
              <a16:creationId xmlns:a16="http://schemas.microsoft.com/office/drawing/2014/main" id="{3A867B81-9B02-4285-8EAE-D8A2AE26E705}"/>
            </a:ext>
          </a:extLst>
        </xdr:cNvPr>
        <xdr:cNvGrpSpPr>
          <a:grpSpLocks/>
        </xdr:cNvGrpSpPr>
      </xdr:nvGrpSpPr>
      <xdr:grpSpPr bwMode="auto">
        <a:xfrm>
          <a:off x="0" y="3583214"/>
          <a:ext cx="0" cy="0"/>
          <a:chOff x="26" y="193"/>
          <a:chExt cx="43" cy="8"/>
        </a:xfrm>
      </xdr:grpSpPr>
      <xdr:sp macro="" textlink="">
        <xdr:nvSpPr>
          <xdr:cNvPr id="63" name="Rectangle 66">
            <a:extLst>
              <a:ext uri="{FF2B5EF4-FFF2-40B4-BE49-F238E27FC236}">
                <a16:creationId xmlns:a16="http://schemas.microsoft.com/office/drawing/2014/main" id="{3B1D7419-C106-CDE1-118F-205AB0CA1AF9}"/>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4" name="Rectangle 67">
            <a:extLst>
              <a:ext uri="{FF2B5EF4-FFF2-40B4-BE49-F238E27FC236}">
                <a16:creationId xmlns:a16="http://schemas.microsoft.com/office/drawing/2014/main" id="{7EBCD7C5-78EB-70C9-9B7D-50594D633207}"/>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5" name="Rectangle 68">
            <a:extLst>
              <a:ext uri="{FF2B5EF4-FFF2-40B4-BE49-F238E27FC236}">
                <a16:creationId xmlns:a16="http://schemas.microsoft.com/office/drawing/2014/main" id="{22AB06A9-EEE4-6211-B551-2A9A9A67B21C}"/>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11</xdr:row>
      <xdr:rowOff>0</xdr:rowOff>
    </xdr:from>
    <xdr:to>
      <xdr:col>0</xdr:col>
      <xdr:colOff>0</xdr:colOff>
      <xdr:row>11</xdr:row>
      <xdr:rowOff>0</xdr:rowOff>
    </xdr:to>
    <xdr:grpSp>
      <xdr:nvGrpSpPr>
        <xdr:cNvPr id="66" name="Group 69">
          <a:extLst>
            <a:ext uri="{FF2B5EF4-FFF2-40B4-BE49-F238E27FC236}">
              <a16:creationId xmlns:a16="http://schemas.microsoft.com/office/drawing/2014/main" id="{46037AE3-059A-4EE1-B169-08E5A7C7DEFC}"/>
            </a:ext>
          </a:extLst>
        </xdr:cNvPr>
        <xdr:cNvGrpSpPr>
          <a:grpSpLocks/>
        </xdr:cNvGrpSpPr>
      </xdr:nvGrpSpPr>
      <xdr:grpSpPr bwMode="auto">
        <a:xfrm>
          <a:off x="0" y="3583214"/>
          <a:ext cx="0" cy="0"/>
          <a:chOff x="26" y="193"/>
          <a:chExt cx="43" cy="8"/>
        </a:xfrm>
      </xdr:grpSpPr>
      <xdr:sp macro="" textlink="">
        <xdr:nvSpPr>
          <xdr:cNvPr id="67" name="Rectangle 70">
            <a:extLst>
              <a:ext uri="{FF2B5EF4-FFF2-40B4-BE49-F238E27FC236}">
                <a16:creationId xmlns:a16="http://schemas.microsoft.com/office/drawing/2014/main" id="{8D38DD52-5161-C1B7-C0E7-973D72F844BA}"/>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68" name="Rectangle 71">
            <a:extLst>
              <a:ext uri="{FF2B5EF4-FFF2-40B4-BE49-F238E27FC236}">
                <a16:creationId xmlns:a16="http://schemas.microsoft.com/office/drawing/2014/main" id="{2DDBDB77-C87D-F874-3B14-6EE672FE9CB1}"/>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69" name="Rectangle 72">
            <a:extLst>
              <a:ext uri="{FF2B5EF4-FFF2-40B4-BE49-F238E27FC236}">
                <a16:creationId xmlns:a16="http://schemas.microsoft.com/office/drawing/2014/main" id="{B23974C3-01E0-79AA-A26B-235B5DF4AF20}"/>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11</xdr:row>
      <xdr:rowOff>0</xdr:rowOff>
    </xdr:from>
    <xdr:to>
      <xdr:col>0</xdr:col>
      <xdr:colOff>0</xdr:colOff>
      <xdr:row>11</xdr:row>
      <xdr:rowOff>0</xdr:rowOff>
    </xdr:to>
    <xdr:grpSp>
      <xdr:nvGrpSpPr>
        <xdr:cNvPr id="70" name="Group 73">
          <a:extLst>
            <a:ext uri="{FF2B5EF4-FFF2-40B4-BE49-F238E27FC236}">
              <a16:creationId xmlns:a16="http://schemas.microsoft.com/office/drawing/2014/main" id="{3FCB91A6-9A17-45D0-9A3D-E1BAE5E021D1}"/>
            </a:ext>
          </a:extLst>
        </xdr:cNvPr>
        <xdr:cNvGrpSpPr>
          <a:grpSpLocks/>
        </xdr:cNvGrpSpPr>
      </xdr:nvGrpSpPr>
      <xdr:grpSpPr bwMode="auto">
        <a:xfrm>
          <a:off x="0" y="3583214"/>
          <a:ext cx="0" cy="0"/>
          <a:chOff x="26" y="193"/>
          <a:chExt cx="43" cy="8"/>
        </a:xfrm>
      </xdr:grpSpPr>
      <xdr:sp macro="" textlink="">
        <xdr:nvSpPr>
          <xdr:cNvPr id="71" name="Rectangle 74">
            <a:extLst>
              <a:ext uri="{FF2B5EF4-FFF2-40B4-BE49-F238E27FC236}">
                <a16:creationId xmlns:a16="http://schemas.microsoft.com/office/drawing/2014/main" id="{B229BB4E-CC3B-80D9-4AA5-57B502EC26B6}"/>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72" name="Rectangle 75">
            <a:extLst>
              <a:ext uri="{FF2B5EF4-FFF2-40B4-BE49-F238E27FC236}">
                <a16:creationId xmlns:a16="http://schemas.microsoft.com/office/drawing/2014/main" id="{BFA3DE17-F982-FCE6-E114-CD63F5A665D7}"/>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73" name="Rectangle 76">
            <a:extLst>
              <a:ext uri="{FF2B5EF4-FFF2-40B4-BE49-F238E27FC236}">
                <a16:creationId xmlns:a16="http://schemas.microsoft.com/office/drawing/2014/main" id="{0AC52F7D-E713-7E08-4583-163835464DFF}"/>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11</xdr:row>
      <xdr:rowOff>0</xdr:rowOff>
    </xdr:from>
    <xdr:to>
      <xdr:col>0</xdr:col>
      <xdr:colOff>0</xdr:colOff>
      <xdr:row>11</xdr:row>
      <xdr:rowOff>0</xdr:rowOff>
    </xdr:to>
    <xdr:grpSp>
      <xdr:nvGrpSpPr>
        <xdr:cNvPr id="74" name="Group 77">
          <a:extLst>
            <a:ext uri="{FF2B5EF4-FFF2-40B4-BE49-F238E27FC236}">
              <a16:creationId xmlns:a16="http://schemas.microsoft.com/office/drawing/2014/main" id="{771173F7-414A-48FE-8DCD-CD22C452EEDD}"/>
            </a:ext>
          </a:extLst>
        </xdr:cNvPr>
        <xdr:cNvGrpSpPr>
          <a:grpSpLocks/>
        </xdr:cNvGrpSpPr>
      </xdr:nvGrpSpPr>
      <xdr:grpSpPr bwMode="auto">
        <a:xfrm>
          <a:off x="0" y="3583214"/>
          <a:ext cx="0" cy="0"/>
          <a:chOff x="26" y="193"/>
          <a:chExt cx="43" cy="8"/>
        </a:xfrm>
      </xdr:grpSpPr>
      <xdr:sp macro="" textlink="">
        <xdr:nvSpPr>
          <xdr:cNvPr id="75" name="Rectangle 78">
            <a:extLst>
              <a:ext uri="{FF2B5EF4-FFF2-40B4-BE49-F238E27FC236}">
                <a16:creationId xmlns:a16="http://schemas.microsoft.com/office/drawing/2014/main" id="{41A71821-257E-B8C2-41C9-12A5774539E2}"/>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76" name="Rectangle 79">
            <a:extLst>
              <a:ext uri="{FF2B5EF4-FFF2-40B4-BE49-F238E27FC236}">
                <a16:creationId xmlns:a16="http://schemas.microsoft.com/office/drawing/2014/main" id="{A5FD4287-83EE-9EDC-C374-E911474B6903}"/>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77" name="Rectangle 80">
            <a:extLst>
              <a:ext uri="{FF2B5EF4-FFF2-40B4-BE49-F238E27FC236}">
                <a16:creationId xmlns:a16="http://schemas.microsoft.com/office/drawing/2014/main" id="{FE527FB8-ADC6-B84F-DEAA-94B0C0D02FDB}"/>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11</xdr:row>
      <xdr:rowOff>0</xdr:rowOff>
    </xdr:from>
    <xdr:to>
      <xdr:col>0</xdr:col>
      <xdr:colOff>0</xdr:colOff>
      <xdr:row>11</xdr:row>
      <xdr:rowOff>0</xdr:rowOff>
    </xdr:to>
    <xdr:grpSp>
      <xdr:nvGrpSpPr>
        <xdr:cNvPr id="78" name="Group 81">
          <a:extLst>
            <a:ext uri="{FF2B5EF4-FFF2-40B4-BE49-F238E27FC236}">
              <a16:creationId xmlns:a16="http://schemas.microsoft.com/office/drawing/2014/main" id="{2E3285B9-B5E2-4E5B-AA6D-B42105C39893}"/>
            </a:ext>
          </a:extLst>
        </xdr:cNvPr>
        <xdr:cNvGrpSpPr>
          <a:grpSpLocks/>
        </xdr:cNvGrpSpPr>
      </xdr:nvGrpSpPr>
      <xdr:grpSpPr bwMode="auto">
        <a:xfrm>
          <a:off x="0" y="3583214"/>
          <a:ext cx="0" cy="0"/>
          <a:chOff x="26" y="193"/>
          <a:chExt cx="43" cy="8"/>
        </a:xfrm>
      </xdr:grpSpPr>
      <xdr:sp macro="" textlink="">
        <xdr:nvSpPr>
          <xdr:cNvPr id="79" name="Rectangle 82">
            <a:extLst>
              <a:ext uri="{FF2B5EF4-FFF2-40B4-BE49-F238E27FC236}">
                <a16:creationId xmlns:a16="http://schemas.microsoft.com/office/drawing/2014/main" id="{DDCC29A3-4041-5CCA-39F3-2268602F3CEA}"/>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80" name="Rectangle 83">
            <a:extLst>
              <a:ext uri="{FF2B5EF4-FFF2-40B4-BE49-F238E27FC236}">
                <a16:creationId xmlns:a16="http://schemas.microsoft.com/office/drawing/2014/main" id="{88FFDA30-A148-BA16-199A-237F8D06FBC6}"/>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81" name="Rectangle 84">
            <a:extLst>
              <a:ext uri="{FF2B5EF4-FFF2-40B4-BE49-F238E27FC236}">
                <a16:creationId xmlns:a16="http://schemas.microsoft.com/office/drawing/2014/main" id="{13405603-F0E8-D8A0-F1D9-F26E09C62B7F}"/>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xdr:twoCellAnchor>
    <xdr:from>
      <xdr:col>0</xdr:col>
      <xdr:colOff>0</xdr:colOff>
      <xdr:row>11</xdr:row>
      <xdr:rowOff>0</xdr:rowOff>
    </xdr:from>
    <xdr:to>
      <xdr:col>0</xdr:col>
      <xdr:colOff>0</xdr:colOff>
      <xdr:row>11</xdr:row>
      <xdr:rowOff>0</xdr:rowOff>
    </xdr:to>
    <xdr:grpSp>
      <xdr:nvGrpSpPr>
        <xdr:cNvPr id="82" name="Group 85">
          <a:extLst>
            <a:ext uri="{FF2B5EF4-FFF2-40B4-BE49-F238E27FC236}">
              <a16:creationId xmlns:a16="http://schemas.microsoft.com/office/drawing/2014/main" id="{A0A1CA4A-C4E7-4F62-A763-9397AE0EF48C}"/>
            </a:ext>
          </a:extLst>
        </xdr:cNvPr>
        <xdr:cNvGrpSpPr>
          <a:grpSpLocks/>
        </xdr:cNvGrpSpPr>
      </xdr:nvGrpSpPr>
      <xdr:grpSpPr bwMode="auto">
        <a:xfrm>
          <a:off x="0" y="3583214"/>
          <a:ext cx="0" cy="0"/>
          <a:chOff x="26" y="193"/>
          <a:chExt cx="43" cy="8"/>
        </a:xfrm>
      </xdr:grpSpPr>
      <xdr:sp macro="" textlink="">
        <xdr:nvSpPr>
          <xdr:cNvPr id="83" name="Rectangle 86">
            <a:extLst>
              <a:ext uri="{FF2B5EF4-FFF2-40B4-BE49-F238E27FC236}">
                <a16:creationId xmlns:a16="http://schemas.microsoft.com/office/drawing/2014/main" id="{4C4221E2-0521-C1FB-92A3-71E64D466E50}"/>
              </a:ext>
            </a:extLst>
          </xdr:cNvPr>
          <xdr:cNvSpPr>
            <a:spLocks noChangeArrowheads="1"/>
          </xdr:cNvSpPr>
        </xdr:nvSpPr>
        <xdr:spPr bwMode="auto">
          <a:xfrm>
            <a:off x="26" y="193"/>
            <a:ext cx="8" cy="8"/>
          </a:xfrm>
          <a:prstGeom prst="rect">
            <a:avLst/>
          </a:prstGeom>
          <a:solidFill>
            <a:srgbClr val="FFFFFF"/>
          </a:solidFill>
          <a:ln w="9525">
            <a:solidFill>
              <a:srgbClr val="000000"/>
            </a:solidFill>
            <a:miter lim="800000"/>
            <a:headEnd/>
            <a:tailEnd/>
          </a:ln>
        </xdr:spPr>
      </xdr:sp>
      <xdr:sp macro="" textlink="">
        <xdr:nvSpPr>
          <xdr:cNvPr id="84" name="Rectangle 87">
            <a:extLst>
              <a:ext uri="{FF2B5EF4-FFF2-40B4-BE49-F238E27FC236}">
                <a16:creationId xmlns:a16="http://schemas.microsoft.com/office/drawing/2014/main" id="{8EAE4FD1-0F42-DB9A-A7D4-6D5E6F56C1E8}"/>
              </a:ext>
            </a:extLst>
          </xdr:cNvPr>
          <xdr:cNvSpPr>
            <a:spLocks noChangeArrowheads="1"/>
          </xdr:cNvSpPr>
        </xdr:nvSpPr>
        <xdr:spPr bwMode="auto">
          <a:xfrm>
            <a:off x="44" y="193"/>
            <a:ext cx="8" cy="8"/>
          </a:xfrm>
          <a:prstGeom prst="rect">
            <a:avLst/>
          </a:prstGeom>
          <a:solidFill>
            <a:srgbClr val="FFFFFF"/>
          </a:solidFill>
          <a:ln w="9525">
            <a:solidFill>
              <a:srgbClr val="000000"/>
            </a:solidFill>
            <a:miter lim="800000"/>
            <a:headEnd/>
            <a:tailEnd/>
          </a:ln>
        </xdr:spPr>
      </xdr:sp>
      <xdr:sp macro="" textlink="">
        <xdr:nvSpPr>
          <xdr:cNvPr id="85" name="Rectangle 88">
            <a:extLst>
              <a:ext uri="{FF2B5EF4-FFF2-40B4-BE49-F238E27FC236}">
                <a16:creationId xmlns:a16="http://schemas.microsoft.com/office/drawing/2014/main" id="{294B7049-10E6-8707-F933-44B56B8AB5A7}"/>
              </a:ext>
            </a:extLst>
          </xdr:cNvPr>
          <xdr:cNvSpPr>
            <a:spLocks noChangeArrowheads="1"/>
          </xdr:cNvSpPr>
        </xdr:nvSpPr>
        <xdr:spPr bwMode="auto">
          <a:xfrm>
            <a:off x="61" y="193"/>
            <a:ext cx="8" cy="8"/>
          </a:xfrm>
          <a:prstGeom prst="rect">
            <a:avLst/>
          </a:prstGeom>
          <a:solidFill>
            <a:srgbClr val="FFFFFF"/>
          </a:solidFill>
          <a:ln w="9525">
            <a:solidFill>
              <a:srgbClr val="000000"/>
            </a:solidFill>
            <a:miter lim="800000"/>
            <a:headEnd/>
            <a:tailEnd/>
          </a:ln>
        </xdr:spPr>
      </xdr:sp>
    </xdr:grpSp>
    <xdr:clientData/>
  </xdr:twoCellAnchor>
  <mc:AlternateContent xmlns:mc="http://schemas.openxmlformats.org/markup-compatibility/2006">
    <mc:Choice xmlns:a14="http://schemas.microsoft.com/office/drawing/2010/main" Requires="a14">
      <xdr:twoCellAnchor>
        <xdr:from>
          <xdr:col>7</xdr:col>
          <xdr:colOff>0</xdr:colOff>
          <xdr:row>11</xdr:row>
          <xdr:rowOff>0</xdr:rowOff>
        </xdr:from>
        <xdr:to>
          <xdr:col>7</xdr:col>
          <xdr:colOff>0</xdr:colOff>
          <xdr:row>11</xdr:row>
          <xdr:rowOff>0</xdr:rowOff>
        </xdr:to>
        <xdr:sp macro="" textlink="">
          <xdr:nvSpPr>
            <xdr:cNvPr id="287745" name="Object 1" hidden="1">
              <a:extLst>
                <a:ext uri="{63B3BB69-23CF-44E3-9099-C40C66FF867C}">
                  <a14:compatExt spid="_x0000_s287745"/>
                </a:ext>
                <a:ext uri="{FF2B5EF4-FFF2-40B4-BE49-F238E27FC236}">
                  <a16:creationId xmlns:a16="http://schemas.microsoft.com/office/drawing/2014/main" id="{00000000-0008-0000-1000-00000164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11</xdr:row>
          <xdr:rowOff>0</xdr:rowOff>
        </xdr:from>
        <xdr:to>
          <xdr:col>7</xdr:col>
          <xdr:colOff>0</xdr:colOff>
          <xdr:row>11</xdr:row>
          <xdr:rowOff>0</xdr:rowOff>
        </xdr:to>
        <xdr:sp macro="" textlink="">
          <xdr:nvSpPr>
            <xdr:cNvPr id="287746" name="Object 2" hidden="1">
              <a:extLst>
                <a:ext uri="{63B3BB69-23CF-44E3-9099-C40C66FF867C}">
                  <a14:compatExt spid="_x0000_s287746"/>
                </a:ext>
                <a:ext uri="{FF2B5EF4-FFF2-40B4-BE49-F238E27FC236}">
                  <a16:creationId xmlns:a16="http://schemas.microsoft.com/office/drawing/2014/main" id="{00000000-0008-0000-1000-00000264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11</xdr:row>
          <xdr:rowOff>0</xdr:rowOff>
        </xdr:from>
        <xdr:to>
          <xdr:col>7</xdr:col>
          <xdr:colOff>0</xdr:colOff>
          <xdr:row>11</xdr:row>
          <xdr:rowOff>0</xdr:rowOff>
        </xdr:to>
        <xdr:sp macro="" textlink="">
          <xdr:nvSpPr>
            <xdr:cNvPr id="287747" name="Object 3" hidden="1">
              <a:extLst>
                <a:ext uri="{63B3BB69-23CF-44E3-9099-C40C66FF867C}">
                  <a14:compatExt spid="_x0000_s287747"/>
                </a:ext>
                <a:ext uri="{FF2B5EF4-FFF2-40B4-BE49-F238E27FC236}">
                  <a16:creationId xmlns:a16="http://schemas.microsoft.com/office/drawing/2014/main" id="{00000000-0008-0000-1000-00000364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1504950</xdr:colOff>
      <xdr:row>92</xdr:row>
      <xdr:rowOff>133350</xdr:rowOff>
    </xdr:from>
    <xdr:to>
      <xdr:col>6</xdr:col>
      <xdr:colOff>0</xdr:colOff>
      <xdr:row>100</xdr:row>
      <xdr:rowOff>95250</xdr:rowOff>
    </xdr:to>
    <xdr:graphicFrame macro="">
      <xdr:nvGraphicFramePr>
        <xdr:cNvPr id="5337683" name="Chart 2">
          <a:extLst>
            <a:ext uri="{FF2B5EF4-FFF2-40B4-BE49-F238E27FC236}">
              <a16:creationId xmlns:a16="http://schemas.microsoft.com/office/drawing/2014/main" id="{00000000-0008-0000-1F00-000053725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1495425</xdr:colOff>
      <xdr:row>83</xdr:row>
      <xdr:rowOff>171450</xdr:rowOff>
    </xdr:from>
    <xdr:to>
      <xdr:col>6</xdr:col>
      <xdr:colOff>0</xdr:colOff>
      <xdr:row>92</xdr:row>
      <xdr:rowOff>47625</xdr:rowOff>
    </xdr:to>
    <xdr:graphicFrame macro="">
      <xdr:nvGraphicFramePr>
        <xdr:cNvPr id="5337686" name="Chart 5">
          <a:extLst>
            <a:ext uri="{FF2B5EF4-FFF2-40B4-BE49-F238E27FC236}">
              <a16:creationId xmlns:a16="http://schemas.microsoft.com/office/drawing/2014/main" id="{00000000-0008-0000-1F00-000056725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1485900</xdr:colOff>
      <xdr:row>101</xdr:row>
      <xdr:rowOff>95250</xdr:rowOff>
    </xdr:from>
    <xdr:to>
      <xdr:col>6</xdr:col>
      <xdr:colOff>0</xdr:colOff>
      <xdr:row>110</xdr:row>
      <xdr:rowOff>19050</xdr:rowOff>
    </xdr:to>
    <xdr:graphicFrame macro="">
      <xdr:nvGraphicFramePr>
        <xdr:cNvPr id="5337689" name="Chart 39">
          <a:extLst>
            <a:ext uri="{FF2B5EF4-FFF2-40B4-BE49-F238E27FC236}">
              <a16:creationId xmlns:a16="http://schemas.microsoft.com/office/drawing/2014/main" id="{00000000-0008-0000-1F00-000059725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1476375</xdr:colOff>
      <xdr:row>111</xdr:row>
      <xdr:rowOff>0</xdr:rowOff>
    </xdr:from>
    <xdr:to>
      <xdr:col>6</xdr:col>
      <xdr:colOff>0</xdr:colOff>
      <xdr:row>125</xdr:row>
      <xdr:rowOff>152400</xdr:rowOff>
    </xdr:to>
    <xdr:graphicFrame macro="">
      <xdr:nvGraphicFramePr>
        <xdr:cNvPr id="5337691" name="Chart 41">
          <a:extLst>
            <a:ext uri="{FF2B5EF4-FFF2-40B4-BE49-F238E27FC236}">
              <a16:creationId xmlns:a16="http://schemas.microsoft.com/office/drawing/2014/main" id="{00000000-0008-0000-1F00-00005B725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0</xdr:colOff>
      <xdr:row>84</xdr:row>
      <xdr:rowOff>38100</xdr:rowOff>
    </xdr:from>
    <xdr:to>
      <xdr:col>10</xdr:col>
      <xdr:colOff>533400</xdr:colOff>
      <xdr:row>93</xdr:row>
      <xdr:rowOff>190500</xdr:rowOff>
    </xdr:to>
    <xdr:graphicFrame macro="">
      <xdr:nvGraphicFramePr>
        <xdr:cNvPr id="5337692" name="Chart 42">
          <a:extLst>
            <a:ext uri="{FF2B5EF4-FFF2-40B4-BE49-F238E27FC236}">
              <a16:creationId xmlns:a16="http://schemas.microsoft.com/office/drawing/2014/main" id="{00000000-0008-0000-1F00-00005C725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96</xdr:row>
      <xdr:rowOff>0</xdr:rowOff>
    </xdr:from>
    <xdr:to>
      <xdr:col>8</xdr:col>
      <xdr:colOff>371475</xdr:colOff>
      <xdr:row>103</xdr:row>
      <xdr:rowOff>180975</xdr:rowOff>
    </xdr:to>
    <xdr:graphicFrame macro="">
      <xdr:nvGraphicFramePr>
        <xdr:cNvPr id="5337693" name="Chart 43">
          <a:extLst>
            <a:ext uri="{FF2B5EF4-FFF2-40B4-BE49-F238E27FC236}">
              <a16:creationId xmlns:a16="http://schemas.microsoft.com/office/drawing/2014/main" id="{00000000-0008-0000-1F00-00005D725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0</xdr:colOff>
      <xdr:row>106</xdr:row>
      <xdr:rowOff>0</xdr:rowOff>
    </xdr:from>
    <xdr:to>
      <xdr:col>8</xdr:col>
      <xdr:colOff>381000</xdr:colOff>
      <xdr:row>115</xdr:row>
      <xdr:rowOff>9525</xdr:rowOff>
    </xdr:to>
    <xdr:graphicFrame macro="">
      <xdr:nvGraphicFramePr>
        <xdr:cNvPr id="5337694" name="Chart 56">
          <a:extLst>
            <a:ext uri="{FF2B5EF4-FFF2-40B4-BE49-F238E27FC236}">
              <a16:creationId xmlns:a16="http://schemas.microsoft.com/office/drawing/2014/main" id="{00000000-0008-0000-1F00-00005E725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836083</xdr:colOff>
      <xdr:row>126</xdr:row>
      <xdr:rowOff>116416</xdr:rowOff>
    </xdr:from>
    <xdr:to>
      <xdr:col>5</xdr:col>
      <xdr:colOff>457200</xdr:colOff>
      <xdr:row>141</xdr:row>
      <xdr:rowOff>0</xdr:rowOff>
    </xdr:to>
    <xdr:graphicFrame macro="">
      <xdr:nvGraphicFramePr>
        <xdr:cNvPr id="15" name="Grafico 14">
          <a:extLst>
            <a:ext uri="{FF2B5EF4-FFF2-40B4-BE49-F238E27FC236}">
              <a16:creationId xmlns:a16="http://schemas.microsoft.com/office/drawing/2014/main" id="{00000000-0008-0000-1F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790574</xdr:colOff>
      <xdr:row>141</xdr:row>
      <xdr:rowOff>123825</xdr:rowOff>
    </xdr:from>
    <xdr:to>
      <xdr:col>5</xdr:col>
      <xdr:colOff>466724</xdr:colOff>
      <xdr:row>156</xdr:row>
      <xdr:rowOff>9525</xdr:rowOff>
    </xdr:to>
    <xdr:graphicFrame macro="">
      <xdr:nvGraphicFramePr>
        <xdr:cNvPr id="22" name="Grafico 21">
          <a:extLst>
            <a:ext uri="{FF2B5EF4-FFF2-40B4-BE49-F238E27FC236}">
              <a16:creationId xmlns:a16="http://schemas.microsoft.com/office/drawing/2014/main" id="{00000000-0008-0000-1F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771524</xdr:colOff>
      <xdr:row>156</xdr:row>
      <xdr:rowOff>85725</xdr:rowOff>
    </xdr:from>
    <xdr:to>
      <xdr:col>5</xdr:col>
      <xdr:colOff>485774</xdr:colOff>
      <xdr:row>170</xdr:row>
      <xdr:rowOff>161925</xdr:rowOff>
    </xdr:to>
    <xdr:graphicFrame macro="">
      <xdr:nvGraphicFramePr>
        <xdr:cNvPr id="23" name="Grafico 22">
          <a:extLst>
            <a:ext uri="{FF2B5EF4-FFF2-40B4-BE49-F238E27FC236}">
              <a16:creationId xmlns:a16="http://schemas.microsoft.com/office/drawing/2014/main" id="{00000000-0008-0000-1F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88</xdr:col>
      <xdr:colOff>600075</xdr:colOff>
      <xdr:row>9</xdr:row>
      <xdr:rowOff>104775</xdr:rowOff>
    </xdr:from>
    <xdr:to>
      <xdr:col>95</xdr:col>
      <xdr:colOff>295275</xdr:colOff>
      <xdr:row>23</xdr:row>
      <xdr:rowOff>228600</xdr:rowOff>
    </xdr:to>
    <xdr:graphicFrame macro="">
      <xdr:nvGraphicFramePr>
        <xdr:cNvPr id="27446" name="Chart 3">
          <a:extLst>
            <a:ext uri="{FF2B5EF4-FFF2-40B4-BE49-F238E27FC236}">
              <a16:creationId xmlns:a16="http://schemas.microsoft.com/office/drawing/2014/main" id="{00000000-0008-0000-3200-0000366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89</xdr:col>
      <xdr:colOff>0</xdr:colOff>
      <xdr:row>26</xdr:row>
      <xdr:rowOff>0</xdr:rowOff>
    </xdr:from>
    <xdr:to>
      <xdr:col>94</xdr:col>
      <xdr:colOff>333375</xdr:colOff>
      <xdr:row>39</xdr:row>
      <xdr:rowOff>123825</xdr:rowOff>
    </xdr:to>
    <xdr:graphicFrame macro="">
      <xdr:nvGraphicFramePr>
        <xdr:cNvPr id="27447" name="Chart 4">
          <a:extLst>
            <a:ext uri="{FF2B5EF4-FFF2-40B4-BE49-F238E27FC236}">
              <a16:creationId xmlns:a16="http://schemas.microsoft.com/office/drawing/2014/main" id="{00000000-0008-0000-3200-0000376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95</xdr:col>
      <xdr:colOff>485774</xdr:colOff>
      <xdr:row>9</xdr:row>
      <xdr:rowOff>104775</xdr:rowOff>
    </xdr:from>
    <xdr:to>
      <xdr:col>102</xdr:col>
      <xdr:colOff>421821</xdr:colOff>
      <xdr:row>24</xdr:row>
      <xdr:rowOff>108857</xdr:rowOff>
    </xdr:to>
    <xdr:graphicFrame macro="">
      <xdr:nvGraphicFramePr>
        <xdr:cNvPr id="27448" name="Chart 5">
          <a:extLst>
            <a:ext uri="{FF2B5EF4-FFF2-40B4-BE49-F238E27FC236}">
              <a16:creationId xmlns:a16="http://schemas.microsoft.com/office/drawing/2014/main" id="{00000000-0008-0000-3200-0000386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95</xdr:col>
      <xdr:colOff>428625</xdr:colOff>
      <xdr:row>26</xdr:row>
      <xdr:rowOff>0</xdr:rowOff>
    </xdr:from>
    <xdr:to>
      <xdr:col>101</xdr:col>
      <xdr:colOff>523875</xdr:colOff>
      <xdr:row>38</xdr:row>
      <xdr:rowOff>142875</xdr:rowOff>
    </xdr:to>
    <xdr:graphicFrame macro="">
      <xdr:nvGraphicFramePr>
        <xdr:cNvPr id="27449" name="Chart 7">
          <a:extLst>
            <a:ext uri="{FF2B5EF4-FFF2-40B4-BE49-F238E27FC236}">
              <a16:creationId xmlns:a16="http://schemas.microsoft.com/office/drawing/2014/main" id="{00000000-0008-0000-3200-0000396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ofiles\Condivisione\AMBIENTE\raccolta%20dati%20AIA\raccolta%20dati%20AIA%202023\documentazione%20inviata%20via%20PEC\ALLEGATO%203%20-%20Piano%20di%20Monitoraggio%20e%20Controllo_anno%202023.xlsx" TargetMode="External"/><Relationship Id="rId1" Type="http://schemas.openxmlformats.org/officeDocument/2006/relationships/externalLinkPath" Target="file:///\\cofiles\Condivisione\AMBIENTE\raccolta%20dati%20AIA\raccolta%20dati%20AIA%202023\documentazione%20inviata%20via%20PEC\ALLEGATO%203%20-%20Piano%20di%20Monitoraggio%20e%20Controllo_anno%202023.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92.168.30.1\condivisione\AMBIENTE\raccolta%20dati%20AIA\raccolta%20dati%20AIA%202014\PROMOLOG%20VR%20report%20AIA%20raccolta%20dati%202014.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92.168.30.1\condivisione\AMBIENTE\raccolta%20dati%20AIA\raccolta%20dati%20AIA%202015\PROMOLOG%20VR%20report%20AIA%20raccolta%20dati%202015.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192.168.30.1\condivisione\AMBIENTE\raccolta%20dati%20AIA\raccolta%20dati%20AIA%202016\PROMOLOG%20VR%20report%20AIA%20raccolta%20dati%202016.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92.168.30.1\condivisione\AMBIENTE\raccolta%20dati%20AIA\Raccolta%20dati%20AIA%202017\PROMOLOG%20VR%20report%20AIA%20raccolta%20dati%202017.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192.168.30.1\condivisione\AMBIENTE\raccolta%20dati%20AIA\raccolta%20dati%20AIA%202018\PROMOLOG%20VR%20report%20AIA%20raccolta%20dati%202018.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192.168.30.1\condivisione\AMBIENTE\raccolta%20dati%20AIA\raccolta%20dati%20AIA%202019\documentazione%20inviata%20via%20PEC\PROMOLOG%20VR%20report%20AIA%20raccolta%20dati%202019.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ofiles\condivisione\AMBIENTE\raccolta%20dati%20AIA\raccolta%20dati%20AIA%202020\documentazione%20inviata%20via%20PEC\PROMOLOG%20VR%20report%20AIA%20raccolta%20dati%202020.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ofiles\condivisione\AMBIENTE\raccolta%20dati%20AIA\raccolta%20dati%20AIA%202021\documentazione%20inviata%20via%20PEC\PROMOLOG%20VR%20report%20AIA%20raccolta%20dati%202021.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ofiles\Condivisione\AMBIENTE\raccolta%20dati%20AIA\raccolta%20dati%20AIA%202022\PROMOLOG%20VR%20report%20AIA%20raccolta%20dati%202022.xlsx" TargetMode="External"/></Relationships>
</file>

<file path=xl/externalLinks/_rels/externalLink11.xml.rels><?xml version="1.0" encoding="UTF-8" standalone="yes"?>
<Relationships xmlns="http://schemas.openxmlformats.org/package/2006/relationships"><Relationship Id="rId2" Type="http://schemas.openxmlformats.org/officeDocument/2006/relationships/externalLinkPath" Target="file:///\\cofiles\Condivisione\AMBIENTE\raccolta%20dati%20AIA\raccolta%20dati%20AIA%202023\PROMOLOG%20VR%20report%20AIA%20raccolta%20dati%202023.xlsx" TargetMode="External"/><Relationship Id="rId1" Type="http://schemas.openxmlformats.org/officeDocument/2006/relationships/externalLinkPath" Target="file:///\\cofiles\Condivisione\AMBIENTE\raccolta%20dati%20AIA\raccolta%20dati%20AIA%202023\PROMOLOG%20VR%20report%20AIA%20raccolta%20dati%202023.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Cofiles\condivisione\AMBIENTE\raccolta%20dati%20AIA\raccolta%20dati%20AIA%202019\PROMOLOG%20VR%20report%20AIA%20raccolta%20dati%20201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NAGRAFICA AZIENDA"/>
      <sheetName val="MATERIE PRIME"/>
      <sheetName val="ACQUA ED ENERGIA"/>
      <sheetName val="EMISSIONI IN ARIA"/>
      <sheetName val="EMISSIONI IN ACQUA"/>
      <sheetName val="RUMORE"/>
      <sheetName val="RIFIUTI"/>
      <sheetName val="SUOLO E SOTTOSUOLO"/>
      <sheetName val="GESTIONALE"/>
      <sheetName val="INDICATORI DI PRESTAZIONE"/>
      <sheetName val="ALTRE DICHIARAZIONI"/>
      <sheetName val="Foglio1"/>
    </sheetNames>
    <sheetDataSet>
      <sheetData sheetId="0"/>
      <sheetData sheetId="1"/>
      <sheetData sheetId="2"/>
      <sheetData sheetId="3"/>
      <sheetData sheetId="4"/>
      <sheetData sheetId="5"/>
      <sheetData sheetId="6"/>
      <sheetData sheetId="7"/>
      <sheetData sheetId="8"/>
      <sheetData sheetId="9">
        <row r="12">
          <cell r="B12">
            <v>0.10617691599499279</v>
          </cell>
        </row>
      </sheetData>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GRAFICA AZIENDA"/>
      <sheetName val="MATERIE PRIME"/>
      <sheetName val="ACQUA ED ENERGIA"/>
      <sheetName val="EMISSIONI IN ARIA"/>
      <sheetName val="EMISSIONI IN ACQUA"/>
      <sheetName val="AUTOCONTROLLO ACQUA POZZO"/>
      <sheetName val="RUMORE"/>
      <sheetName val="RIFIUTI"/>
      <sheetName val="SUOLO E SOTTOSUOLO"/>
      <sheetName val="GESTIONALE"/>
      <sheetName val="INDICATORI DI PRESTAZIONE"/>
      <sheetName val="ALTRE DICHIARAZIONI"/>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12">
          <cell r="B12">
            <v>91.196969405621587</v>
          </cell>
        </row>
        <row r="13">
          <cell r="B13">
            <v>85.636163667633753</v>
          </cell>
        </row>
        <row r="14">
          <cell r="B14">
            <v>5.5608057379878337</v>
          </cell>
        </row>
        <row r="16">
          <cell r="B16">
            <v>1.2919569879039725E-2</v>
          </cell>
        </row>
        <row r="19">
          <cell r="B19">
            <v>61.300105011653145</v>
          </cell>
        </row>
        <row r="20">
          <cell r="B20">
            <v>51.135971936640253</v>
          </cell>
        </row>
        <row r="25">
          <cell r="B25">
            <v>1.8140360805707152</v>
          </cell>
        </row>
        <row r="26">
          <cell r="B26">
            <v>1.7917821063481008</v>
          </cell>
        </row>
        <row r="27">
          <cell r="B27">
            <v>2.2253974222614728E-2</v>
          </cell>
        </row>
        <row r="28">
          <cell r="B28">
            <v>70.496548061603846</v>
          </cell>
        </row>
        <row r="29">
          <cell r="B29">
            <v>0.15336574878574866</v>
          </cell>
        </row>
        <row r="30">
          <cell r="B30">
            <v>1.125991002003802</v>
          </cell>
        </row>
        <row r="32">
          <cell r="B32">
            <v>1.5789262147230674</v>
          </cell>
        </row>
        <row r="33">
          <cell r="B33">
            <v>1.8927643125293698</v>
          </cell>
        </row>
      </sheetData>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GRAFICA AZIENDA"/>
      <sheetName val="MATERIE PRIME"/>
      <sheetName val="ACQUA ED ENERGIA"/>
      <sheetName val="EMISSIONI IN ARIA"/>
      <sheetName val="EMISSIONI IN ACQUA"/>
      <sheetName val="RUMORE"/>
      <sheetName val="RIFIUTI"/>
      <sheetName val="SUOLO E SOTTOSUOLO"/>
      <sheetName val="GESTIONALE"/>
      <sheetName val="INDICATORI DI PRESTAZIONE"/>
      <sheetName val="ALTRE DICHIARAZIONI"/>
      <sheetName val="Foglio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12">
          <cell r="B12">
            <v>96.050784498873767</v>
          </cell>
        </row>
        <row r="13">
          <cell r="B13">
            <v>88.612722546146031</v>
          </cell>
        </row>
        <row r="14">
          <cell r="B14">
            <v>7.4380619527277245</v>
          </cell>
        </row>
        <row r="16">
          <cell r="B16">
            <v>8.4967511498756348E-3</v>
          </cell>
        </row>
        <row r="19">
          <cell r="B19">
            <v>61.01986646391493</v>
          </cell>
        </row>
        <row r="20">
          <cell r="B20">
            <v>55.290161650800322</v>
          </cell>
        </row>
        <row r="25">
          <cell r="B25">
            <v>2.2987296729778839</v>
          </cell>
        </row>
        <row r="26">
          <cell r="B26">
            <v>2.2796298458008413</v>
          </cell>
        </row>
        <row r="27">
          <cell r="B27">
            <v>1.9099827177042495E-2</v>
          </cell>
        </row>
        <row r="28">
          <cell r="B28">
            <v>72.22522319017078</v>
          </cell>
        </row>
        <row r="29">
          <cell r="B29">
            <v>0.14675664086258022</v>
          </cell>
        </row>
        <row r="30">
          <cell r="B30">
            <v>1.4214713686265199</v>
          </cell>
        </row>
        <row r="32">
          <cell r="B32">
            <v>1.6142898495176317</v>
          </cell>
        </row>
        <row r="33">
          <cell r="B33">
            <v>1.7815782792198327</v>
          </cell>
        </row>
      </sheetData>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GRAFICA AZIENDA"/>
      <sheetName val="MATERIE PRIME"/>
      <sheetName val="ACQUA ED ENERGIA"/>
      <sheetName val="EMISSIONI IN ARIA"/>
      <sheetName val="EMISSIONI IN ACQUA"/>
      <sheetName val="RUMORE"/>
      <sheetName val="RIFIUTI"/>
      <sheetName val="SUOLO E SOTTOSUOLO"/>
      <sheetName val="GESTIONALE"/>
      <sheetName val="INDICATORI DI PRESTAZIONE"/>
      <sheetName val="ALTRE DICHIARAZIONI"/>
      <sheetName val="Foglio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12">
          <cell r="B12">
            <v>100.84607698116187</v>
          </cell>
        </row>
        <row r="13">
          <cell r="B13">
            <v>91.790481437726001</v>
          </cell>
        </row>
        <row r="14">
          <cell r="B14">
            <v>9.0555955434358708</v>
          </cell>
        </row>
        <row r="16">
          <cell r="B16">
            <v>5.3493850195616499E-3</v>
          </cell>
        </row>
        <row r="19">
          <cell r="B19">
            <v>76.670424383793943</v>
          </cell>
        </row>
        <row r="20">
          <cell r="B20">
            <v>64.70014024520141</v>
          </cell>
        </row>
        <row r="25">
          <cell r="B25">
            <v>3.807395474210761</v>
          </cell>
        </row>
        <row r="26">
          <cell r="B26">
            <v>3.7744105231401703</v>
          </cell>
        </row>
        <row r="27">
          <cell r="B27">
            <v>3.298495107059108E-2</v>
          </cell>
        </row>
        <row r="28">
          <cell r="B28">
            <v>84.353599702882875</v>
          </cell>
        </row>
        <row r="29">
          <cell r="B29">
            <v>0.44456535102110672</v>
          </cell>
        </row>
        <row r="30">
          <cell r="B30">
            <v>1.8870089284111287</v>
          </cell>
        </row>
        <row r="32">
          <cell r="B32">
            <v>1.52347763773266</v>
          </cell>
        </row>
        <row r="33">
          <cell r="B33">
            <v>1.8053388536950816</v>
          </cell>
        </row>
      </sheetData>
      <sheetData sheetId="10" refreshError="1"/>
      <sheetData sheetId="1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GRAFICA AZIENDA"/>
      <sheetName val="MATERIE PRIME"/>
      <sheetName val="ACQUA ED ENERGIA"/>
      <sheetName val="EMISSIONI IN ARIA"/>
      <sheetName val="EMISSIONI IN ACQUA"/>
      <sheetName val="RUMORE"/>
      <sheetName val="RIFIUTI"/>
      <sheetName val="SUOLO E SOTTOSUOLO"/>
      <sheetName val="GESTIONALE"/>
      <sheetName val="INDICATORI DI PRESTAZIONE"/>
      <sheetName val="ALTRE DICHIARAZIONI"/>
      <sheetName val="Foglio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12">
          <cell r="B12">
            <v>100.26041003460232</v>
          </cell>
        </row>
        <row r="13">
          <cell r="B13">
            <v>91.810814989507094</v>
          </cell>
        </row>
        <row r="14">
          <cell r="B14">
            <v>8.4495950450952257</v>
          </cell>
        </row>
        <row r="16">
          <cell r="B16">
            <v>5.7830921997391784E-3</v>
          </cell>
        </row>
        <row r="19">
          <cell r="B19">
            <v>64.93719345874996</v>
          </cell>
        </row>
        <row r="20">
          <cell r="B20">
            <v>54.975637068523518</v>
          </cell>
        </row>
        <row r="25">
          <cell r="B25">
            <v>2.4095622865436184</v>
          </cell>
        </row>
        <row r="26">
          <cell r="B26">
            <v>2.3756403298553623</v>
          </cell>
        </row>
        <row r="27">
          <cell r="B27">
            <v>3.392195668825581E-2</v>
          </cell>
        </row>
        <row r="28">
          <cell r="B28">
            <v>73.694158990469106</v>
          </cell>
        </row>
        <row r="29">
          <cell r="B29">
            <v>0.20003989583558918</v>
          </cell>
        </row>
        <row r="30">
          <cell r="B30">
            <v>1.544247377700495</v>
          </cell>
        </row>
        <row r="32">
          <cell r="B32">
            <v>1.7827245558799254</v>
          </cell>
        </row>
        <row r="33">
          <cell r="B33">
            <v>2.1057533034959683</v>
          </cell>
        </row>
      </sheetData>
      <sheetData sheetId="10" refreshError="1"/>
      <sheetData sheetId="1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GRAFICA AZIENDA"/>
      <sheetName val="MATERIE PRIME"/>
      <sheetName val="ACQUA ED ENERGIA"/>
      <sheetName val="EMISSIONI IN ARIA"/>
      <sheetName val="EMISSIONI IN ACQUA"/>
      <sheetName val="RUMORE"/>
      <sheetName val="RIFIUTI"/>
      <sheetName val="SUOLO E SOTTOSUOLO"/>
      <sheetName val="GESTIONALE"/>
      <sheetName val="INDICATORI DI PRESTAZIONE"/>
      <sheetName val="ALTRE DICHIARAZIONI"/>
      <sheetName val="Foglio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12">
          <cell r="B12">
            <v>99.320084706355971</v>
          </cell>
        </row>
        <row r="13">
          <cell r="B13">
            <v>91.729838800053699</v>
          </cell>
        </row>
        <row r="14">
          <cell r="B14">
            <v>7.5902459063022762</v>
          </cell>
        </row>
        <row r="16">
          <cell r="B16">
            <v>7.8623077383373208E-3</v>
          </cell>
        </row>
        <row r="19">
          <cell r="B19">
            <v>60.271981769399325</v>
          </cell>
        </row>
        <row r="20">
          <cell r="B20">
            <v>52.019059360410481</v>
          </cell>
        </row>
        <row r="25">
          <cell r="B25">
            <v>2.3117806030579016</v>
          </cell>
        </row>
        <row r="26">
          <cell r="B26">
            <v>2.2263444311138003</v>
          </cell>
        </row>
        <row r="27">
          <cell r="B27">
            <v>1.9044557539417591E-2</v>
          </cell>
        </row>
        <row r="28">
          <cell r="B28">
            <v>71.975748550763186</v>
          </cell>
        </row>
        <row r="29">
          <cell r="B29">
            <v>0.18932040598329405</v>
          </cell>
        </row>
        <row r="30">
          <cell r="B30">
            <v>1.5097198364265989</v>
          </cell>
        </row>
        <row r="32">
          <cell r="B32">
            <v>1.6690864156080882</v>
          </cell>
        </row>
        <row r="33">
          <cell r="B33">
            <v>1.9338901404596436</v>
          </cell>
        </row>
      </sheetData>
      <sheetData sheetId="10" refreshError="1"/>
      <sheetData sheetId="11"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GRAFICA AZIENDA"/>
      <sheetName val="MATERIE PRIME"/>
      <sheetName val="ACQUA ED ENERGIA"/>
      <sheetName val="EMISSIONI IN ARIA"/>
      <sheetName val="EMISSIONI IN ACQUA"/>
      <sheetName val="RUMORE"/>
      <sheetName val="RIFIUTI"/>
      <sheetName val="SUOLO E SOTTOSUOLO"/>
      <sheetName val="GESTIONALE"/>
      <sheetName val="INDICATORI DI PRESTAZIONE"/>
      <sheetName val="ALTRE DICHIARAZIONI"/>
      <sheetName val="Foglio1"/>
    </sheetNames>
    <sheetDataSet>
      <sheetData sheetId="0"/>
      <sheetData sheetId="1"/>
      <sheetData sheetId="2"/>
      <sheetData sheetId="3"/>
      <sheetData sheetId="4"/>
      <sheetData sheetId="5"/>
      <sheetData sheetId="6"/>
      <sheetData sheetId="7"/>
      <sheetData sheetId="8"/>
      <sheetData sheetId="9">
        <row r="12">
          <cell r="B12">
            <v>102.3250059041347</v>
          </cell>
        </row>
        <row r="13">
          <cell r="B13">
            <v>94.150146815080745</v>
          </cell>
        </row>
        <row r="14">
          <cell r="B14">
            <v>8.1748590890539585</v>
          </cell>
        </row>
        <row r="16">
          <cell r="B16">
            <v>5.5740337261661341E-3</v>
          </cell>
        </row>
        <row r="19">
          <cell r="B19">
            <v>69.534529058832362</v>
          </cell>
        </row>
        <row r="20">
          <cell r="B20">
            <v>58.32472260514546</v>
          </cell>
        </row>
        <row r="25">
          <cell r="B25">
            <v>2.2756327699024639</v>
          </cell>
        </row>
        <row r="26">
          <cell r="B26">
            <v>2.2464704085998908</v>
          </cell>
        </row>
        <row r="27">
          <cell r="B27">
            <v>2.9162361302572732E-2</v>
          </cell>
        </row>
        <row r="28">
          <cell r="B28">
            <v>86.276156403501716</v>
          </cell>
        </row>
        <row r="29">
          <cell r="B29">
            <v>8.8946771910983949E-2</v>
          </cell>
        </row>
        <row r="30">
          <cell r="B30">
            <v>1.8142020530475427</v>
          </cell>
        </row>
        <row r="32">
          <cell r="B32">
            <v>1.931616383168506</v>
          </cell>
        </row>
        <row r="33">
          <cell r="B33">
            <v>2.3028662551083929</v>
          </cell>
        </row>
      </sheetData>
      <sheetData sheetId="10"/>
      <sheetData sheetId="1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GRAFICA AZIENDA"/>
      <sheetName val="MATERIE PRIME"/>
      <sheetName val="ACQUA ED ENERGIA"/>
      <sheetName val="EMISSIONI IN ARIA"/>
      <sheetName val="EMISSIONI IN ACQUA"/>
      <sheetName val="RUMORE"/>
      <sheetName val="RIFIUTI"/>
      <sheetName val="SUOLO E SOTTOSUOLO"/>
      <sheetName val="GESTIONALE"/>
      <sheetName val="INDICATORI DI PRESTAZIONE"/>
      <sheetName val="ALTRE DICHIARAZIONI"/>
      <sheetName val="Foglio1"/>
    </sheetNames>
    <sheetDataSet>
      <sheetData sheetId="0"/>
      <sheetData sheetId="1">
        <row r="87">
          <cell r="N87">
            <v>68220.692999999999</v>
          </cell>
        </row>
      </sheetData>
      <sheetData sheetId="2"/>
      <sheetData sheetId="3"/>
      <sheetData sheetId="4"/>
      <sheetData sheetId="5"/>
      <sheetData sheetId="6">
        <row r="31">
          <cell r="R31">
            <v>10.56</v>
          </cell>
        </row>
      </sheetData>
      <sheetData sheetId="7"/>
      <sheetData sheetId="8"/>
      <sheetData sheetId="9">
        <row r="12">
          <cell r="B12">
            <v>100.85259600303414</v>
          </cell>
        </row>
        <row r="13">
          <cell r="B13">
            <v>93.173017335588298</v>
          </cell>
        </row>
        <row r="14">
          <cell r="B14">
            <v>7.6795786674458348</v>
          </cell>
        </row>
        <row r="16">
          <cell r="B16">
            <v>4.3221842856308737E-3</v>
          </cell>
        </row>
        <row r="19">
          <cell r="B19">
            <v>74.816009271556354</v>
          </cell>
        </row>
        <row r="20">
          <cell r="B20">
            <v>63.950651747855005</v>
          </cell>
        </row>
        <row r="25">
          <cell r="B25">
            <v>1.7575403256220841</v>
          </cell>
        </row>
        <row r="26">
          <cell r="B26">
            <v>1.5977012848016716</v>
          </cell>
        </row>
        <row r="27">
          <cell r="B27">
            <v>2.7527347548988525E-2</v>
          </cell>
        </row>
        <row r="28">
          <cell r="B28">
            <v>87.736683015854922</v>
          </cell>
        </row>
        <row r="29">
          <cell r="B29">
            <v>0.1436514284602767</v>
          </cell>
        </row>
        <row r="30">
          <cell r="B30">
            <v>1.3139708211407353</v>
          </cell>
        </row>
        <row r="32">
          <cell r="B32">
            <v>2.2068425192647583</v>
          </cell>
        </row>
        <row r="33">
          <cell r="B33">
            <v>2.5817899563113502</v>
          </cell>
        </row>
      </sheetData>
      <sheetData sheetId="10"/>
      <sheetData sheetId="1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GRAFICA AZIENDA"/>
      <sheetName val="MATERIE PRIME"/>
      <sheetName val="ACQUA ED ENERGIA"/>
      <sheetName val="EMISSIONI IN ARIA"/>
      <sheetName val="EMISSIONI IN ACQUA"/>
      <sheetName val="RUMORE"/>
      <sheetName val="RIFIUTI"/>
      <sheetName val="SUOLO E SOTTOSUOLO"/>
      <sheetName val="GESTIONALE"/>
      <sheetName val="INDICATORI DI PRESTAZIONE"/>
      <sheetName val="ALTRE DICHIARAZIONI"/>
      <sheetName val="Foglio1"/>
    </sheetNames>
    <sheetDataSet>
      <sheetData sheetId="0" refreshError="1"/>
      <sheetData sheetId="1">
        <row r="87">
          <cell r="N87">
            <v>53657.114999999998</v>
          </cell>
        </row>
      </sheetData>
      <sheetData sheetId="2" refreshError="1"/>
      <sheetData sheetId="3" refreshError="1"/>
      <sheetData sheetId="4" refreshError="1"/>
      <sheetData sheetId="5" refreshError="1"/>
      <sheetData sheetId="6">
        <row r="31">
          <cell r="R31">
            <v>10.78</v>
          </cell>
        </row>
      </sheetData>
      <sheetData sheetId="7" refreshError="1"/>
      <sheetData sheetId="8" refreshError="1"/>
      <sheetData sheetId="9">
        <row r="12">
          <cell r="B12">
            <v>120.24227951780281</v>
          </cell>
        </row>
        <row r="13">
          <cell r="B13">
            <v>108.97567676541743</v>
          </cell>
        </row>
        <row r="14">
          <cell r="B14">
            <v>11.266602752385381</v>
          </cell>
        </row>
        <row r="16">
          <cell r="B16">
            <v>2.2200170405382341E-2</v>
          </cell>
        </row>
        <row r="19">
          <cell r="B19">
            <v>68.061803173726361</v>
          </cell>
        </row>
        <row r="20">
          <cell r="B20">
            <v>67.176215058067328</v>
          </cell>
        </row>
        <row r="25">
          <cell r="B25">
            <v>2.1119856200224856</v>
          </cell>
        </row>
        <row r="26">
          <cell r="B26">
            <v>2.0772754563273668</v>
          </cell>
        </row>
        <row r="27">
          <cell r="B27">
            <v>3.4710163695118583E-2</v>
          </cell>
        </row>
        <row r="28">
          <cell r="B28">
            <v>86.2955834066384</v>
          </cell>
        </row>
        <row r="29">
          <cell r="B29">
            <v>0.16773171647413396</v>
          </cell>
        </row>
        <row r="30">
          <cell r="B30">
            <v>1.3135257085663288</v>
          </cell>
        </row>
        <row r="32">
          <cell r="B32">
            <v>2.593984160245808</v>
          </cell>
        </row>
        <row r="33">
          <cell r="B33">
            <v>2.6281808106902509</v>
          </cell>
        </row>
      </sheetData>
      <sheetData sheetId="10" refreshError="1"/>
      <sheetData sheetId="11"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GRAFICA AZIENDA"/>
      <sheetName val="MATERIE PRIME"/>
      <sheetName val="ACQUA ED ENERGIA"/>
      <sheetName val="EMISSIONI IN ARIA"/>
      <sheetName val="EMISSIONI IN ACQUA"/>
      <sheetName val="RUMORE"/>
      <sheetName val="RIFIUTI"/>
      <sheetName val="SUOLO E SOTTOSUOLO"/>
      <sheetName val="GESTIONALE"/>
      <sheetName val="INDICATORI DI PRESTAZIONE"/>
      <sheetName val="ALTRE DICHIARAZIONI"/>
      <sheetName val="Foglio1"/>
    </sheetNames>
    <sheetDataSet>
      <sheetData sheetId="0" refreshError="1"/>
      <sheetData sheetId="1">
        <row r="87">
          <cell r="N87">
            <v>38685.910000000003</v>
          </cell>
        </row>
      </sheetData>
      <sheetData sheetId="2" refreshError="1"/>
      <sheetData sheetId="3" refreshError="1"/>
      <sheetData sheetId="4" refreshError="1"/>
      <sheetData sheetId="5" refreshError="1"/>
      <sheetData sheetId="6">
        <row r="31">
          <cell r="R31">
            <v>4.12</v>
          </cell>
        </row>
      </sheetData>
      <sheetData sheetId="7" refreshError="1"/>
      <sheetData sheetId="8" refreshError="1"/>
      <sheetData sheetId="9">
        <row r="12">
          <cell r="B12">
            <v>126.07097232755169</v>
          </cell>
        </row>
        <row r="13">
          <cell r="B13">
            <v>111.17340270172966</v>
          </cell>
        </row>
        <row r="14">
          <cell r="B14">
            <v>14.897569625822037</v>
          </cell>
        </row>
        <row r="16">
          <cell r="B16">
            <v>1.5941204221130052E-2</v>
          </cell>
        </row>
        <row r="19">
          <cell r="B19">
            <v>61.753749620986035</v>
          </cell>
        </row>
        <row r="20">
          <cell r="B20">
            <v>59.853040617140209</v>
          </cell>
        </row>
        <row r="25">
          <cell r="B25">
            <v>1.896406888436087</v>
          </cell>
        </row>
        <row r="26">
          <cell r="B26">
            <v>1.773293518158721</v>
          </cell>
        </row>
        <row r="27">
          <cell r="B27">
            <v>1.9892555148601641E-2</v>
          </cell>
        </row>
        <row r="28">
          <cell r="B28">
            <v>85.732026316484749</v>
          </cell>
        </row>
        <row r="29">
          <cell r="B29">
            <v>0.18094443170653085</v>
          </cell>
        </row>
        <row r="30">
          <cell r="B30">
            <v>1.2593732446774548</v>
          </cell>
        </row>
        <row r="32">
          <cell r="B32">
            <v>2.0543948642132679</v>
          </cell>
        </row>
        <row r="33">
          <cell r="B33">
            <v>2.1196347714193617</v>
          </cell>
        </row>
      </sheetData>
      <sheetData sheetId="10" refreshError="1"/>
      <sheetData sheetId="11"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NAGRAFICA AZIENDA"/>
      <sheetName val="MATERIE PRIME"/>
      <sheetName val="ACQUA ED ENERGIA"/>
      <sheetName val="EMISSIONI IN ARIA"/>
      <sheetName val="EMISSIONI IN ACQUA"/>
      <sheetName val="RUMORE"/>
      <sheetName val="RIFIUTI"/>
      <sheetName val="SUOLO E SOTTOSUOLO"/>
      <sheetName val="GESTIONALE"/>
      <sheetName val="INDICATORI DI PRESTAZIONE"/>
      <sheetName val="ALTRE DICHIARAZIONI"/>
      <sheetName val="Foglio1"/>
    </sheetNames>
    <sheetDataSet>
      <sheetData sheetId="0"/>
      <sheetData sheetId="1">
        <row r="56">
          <cell r="N56">
            <v>14302.349999999999</v>
          </cell>
        </row>
      </sheetData>
      <sheetData sheetId="2"/>
      <sheetData sheetId="3"/>
      <sheetData sheetId="4"/>
      <sheetData sheetId="5"/>
      <sheetData sheetId="6">
        <row r="19">
          <cell r="R19">
            <v>4.57</v>
          </cell>
        </row>
      </sheetData>
      <sheetData sheetId="7"/>
      <sheetData sheetId="8"/>
      <sheetData sheetId="9">
        <row r="12">
          <cell r="B12">
            <v>120.0709337134178</v>
          </cell>
        </row>
        <row r="13">
          <cell r="B13">
            <v>109.45639393938686</v>
          </cell>
        </row>
        <row r="14">
          <cell r="B14">
            <v>10.614539774030936</v>
          </cell>
        </row>
        <row r="16">
          <cell r="B16">
            <v>1.636646824343399E-2</v>
          </cell>
        </row>
        <row r="19">
          <cell r="B19">
            <v>61.829082626041583</v>
          </cell>
        </row>
        <row r="20">
          <cell r="B20">
            <v>62.916014604935384</v>
          </cell>
        </row>
        <row r="25">
          <cell r="B25">
            <v>3.8386721119035006</v>
          </cell>
        </row>
        <row r="26">
          <cell r="B26">
            <v>3.7475959182709273</v>
          </cell>
        </row>
        <row r="27">
          <cell r="B27">
            <v>9.1076193632571883E-2</v>
          </cell>
        </row>
        <row r="28">
          <cell r="B28">
            <v>92.455704223635792</v>
          </cell>
        </row>
        <row r="29">
          <cell r="B29">
            <v>0.70885089523684852</v>
          </cell>
        </row>
        <row r="30">
          <cell r="B30">
            <v>2.4533963864325945</v>
          </cell>
        </row>
        <row r="32">
          <cell r="B32">
            <v>2.2326741808814372</v>
          </cell>
        </row>
        <row r="33">
          <cell r="B33">
            <v>2.1941026823386767</v>
          </cell>
        </row>
      </sheetData>
      <sheetData sheetId="10"/>
      <sheetData sheetId="1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GRAFICA AZIENDA"/>
      <sheetName val="MATERIE PRIME"/>
      <sheetName val="ACQUA ED ENERGIA"/>
      <sheetName val="EMISSIONI IN ARIA"/>
      <sheetName val="EMISSIONI IN ACQUA"/>
      <sheetName val="RUMORE"/>
      <sheetName val="RIFIUTI"/>
      <sheetName val="SUOLO E SOTTOSUOLO"/>
      <sheetName val="GESTIONALE"/>
      <sheetName val="INDICATORI DI PRESTAZIONE"/>
      <sheetName val="ALTRE DICHIARAZIONI"/>
      <sheetName val="Foglio1"/>
    </sheetNames>
    <sheetDataSet>
      <sheetData sheetId="0" refreshError="1"/>
      <sheetData sheetId="1" refreshError="1">
        <row r="87">
          <cell r="N87">
            <v>64083.27</v>
          </cell>
        </row>
      </sheetData>
      <sheetData sheetId="2" refreshError="1"/>
      <sheetData sheetId="3" refreshError="1"/>
      <sheetData sheetId="4" refreshError="1"/>
      <sheetData sheetId="5" refreshError="1"/>
      <sheetData sheetId="6" refreshError="1">
        <row r="31">
          <cell r="R31">
            <v>11.96</v>
          </cell>
        </row>
      </sheetData>
      <sheetData sheetId="7" refreshError="1"/>
      <sheetData sheetId="8" refreshError="1"/>
      <sheetData sheetId="9" refreshError="1"/>
      <sheetData sheetId="10" refreshError="1"/>
      <sheetData sheetId="11"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vert270" wrap="none" lIns="18288" tIns="0" rIns="0" bIns="0" upright="1">
        <a:spAutoFit/>
      </a:bodyPr>
      <a:lstStyle/>
    </a:spDef>
    <a:ln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vert270" wrap="none" lIns="18288" tIns="0" rIns="0" bIns="0" upright="1">
        <a:spAutoFit/>
      </a:bodyPr>
      <a:lst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ARPAT\richiesta%20pagamento%20attivit&#224;%20ispezione%20e%20controllo%202024\arpat%202025-0039390.pdf" TargetMode="External"/><Relationship Id="rId7" Type="http://schemas.openxmlformats.org/officeDocument/2006/relationships/hyperlink" Target="AUTORIZZAZIONE%20INTEGRATA%20AMBIENTALE%20in%20essere\AIA%20in%20essere%20(decreto%2019082%20del%2020_08_2024)\ALLEGATO%20A_prescrizioni\RISCONTRO%20PRESCRIZIONI\23_07_2025%20-%20analisi%20marcia%20controllata%20E98" TargetMode="External"/><Relationship Id="rId2" Type="http://schemas.openxmlformats.org/officeDocument/2006/relationships/hyperlink" Target="ARPAT\richiesta%20pagamento%20attivit&#224;%20ispezione%20e%20controllo%202024\pagamento%20attivit&#224;%20ispettiva\AIA%202024%20CONSUNTIVO%20LIVORNO_QUIETANZA.pdf" TargetMode="External"/><Relationship Id="rId1" Type="http://schemas.openxmlformats.org/officeDocument/2006/relationships/hyperlink" Target="SGA%20LIVORNO\PIANO%20DI%20MONITORAGGIO%20E%20CONTROLLO\SCARICHI%20IDRICI\2025\06_06_2025%20-%20preavviso%20campionamenti\06_06_2025_Grandi%20Molini%20Italiani%20-Comunicazione%20di%20preavviso%20autocontrollo.pdf" TargetMode="External"/><Relationship Id="rId6" Type="http://schemas.openxmlformats.org/officeDocument/2006/relationships/hyperlink" Target="14001\Audit%2014001_%20Report\Report%20CSQA\2025\PAC_Promolog_2025%20firmato.pdf" TargetMode="External"/><Relationship Id="rId5" Type="http://schemas.openxmlformats.org/officeDocument/2006/relationships/hyperlink" Target="RIPRESA%20PROCEDIMENTO%20DI%20BONIFICA\Riscontro%20Regione%20Toscana%20all'analisi%20di%20rischio\Preavviso%20del%2013_06_25%20per%20monitoraggio%20falda%20giugno%2025%20GMI%20-%20Livorno.pdf" TargetMode="External"/><Relationship Id="rId4" Type="http://schemas.openxmlformats.org/officeDocument/2006/relationships/hyperlink" Target="ARPAT\richiesta%20pagamento%20attivit&#224;%20ispezione%20e%20controllo%202024\pagamento%20attivit&#224;%20ispettiva\PEC\GRANDI_MOLINI_ITALIANI_stabilimento_di_Livorno_-_rif._Decreto_Dirigenziale_n._19082_del_20.08.2024_-.pdf"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cdn-s1.lyreco.com/staticswebshop/sds/ITIT/11309240.pdf?_ga=2.122525387.1518789111.1708935770-1085999262.1708935770" TargetMode="External"/><Relationship Id="rId13" Type="http://schemas.openxmlformats.org/officeDocument/2006/relationships/hyperlink" Target="https://cdn-s1.lyreco.com/staticswebshop/sds/ITIT/16595339.pdf?_ga=2.118273353.1518789111.1708935770-1085999262.1708935770" TargetMode="External"/><Relationship Id="rId18" Type="http://schemas.openxmlformats.org/officeDocument/2006/relationships/hyperlink" Target="https://service.scar.it/scarservice/AreaWEB/SDSChimici/890910250_sds_it_reg08.pdf" TargetMode="External"/><Relationship Id="rId26" Type="http://schemas.openxmlformats.org/officeDocument/2006/relationships/hyperlink" Target="https://service.scar.it/scarservice/AreaWEB/SDSChimici/890100136_sds_it_reg08.pdf" TargetMode="External"/><Relationship Id="rId3" Type="http://schemas.openxmlformats.org/officeDocument/2006/relationships/hyperlink" Target="https://cdn-s1.lyreco.com/staticswebshop/sds/ITIT/4691959.pdf?_ga=2.178689764.1518789111.1708935770-1085999262.1708935770" TargetMode="External"/><Relationship Id="rId21" Type="http://schemas.openxmlformats.org/officeDocument/2006/relationships/hyperlink" Target="https://service.scar.it/scarservice/AreaWEB/SDSChimici/890990007_sds_it_reg08.pdf" TargetMode="External"/><Relationship Id="rId7" Type="http://schemas.openxmlformats.org/officeDocument/2006/relationships/hyperlink" Target="https://cdn-s1.lyreco.com/staticswebshop/sds/ITIT/11309278.pdf?_ga=2.81075799.1518789111.1708935770-1085999262.1708935770" TargetMode="External"/><Relationship Id="rId12" Type="http://schemas.openxmlformats.org/officeDocument/2006/relationships/hyperlink" Target="https://cdn-s1.lyreco.com/staticswebshop/sds/ITIT/11309566.pdf?_ga=2.114228807.1518789111.1708935770-1085999262.1708935770" TargetMode="External"/><Relationship Id="rId17" Type="http://schemas.openxmlformats.org/officeDocument/2006/relationships/hyperlink" Target="https://service.scar.it/scarservice/AreaWEB/SDSChimici/890905100_sds_it_reg08.pdf" TargetMode="External"/><Relationship Id="rId25" Type="http://schemas.openxmlformats.org/officeDocument/2006/relationships/hyperlink" Target="https://service.scar.it/scarservice/AreaWEB/SDSChimici/894195000_sds_it_reg08.pdf" TargetMode="External"/><Relationship Id="rId2" Type="http://schemas.openxmlformats.org/officeDocument/2006/relationships/hyperlink" Target="https://cdn-s1.lyreco.com/staticswebshop/sds/ITIT/4691958.pdf?_ga=2.148709239.1518789111.1708935770-1085999262.1708935770" TargetMode="External"/><Relationship Id="rId16" Type="http://schemas.openxmlformats.org/officeDocument/2006/relationships/hyperlink" Target="https://service.scar.it/scarservice/AreaWEB/SDSChimici/891270100_sds_it_reg08.pdf" TargetMode="External"/><Relationship Id="rId20" Type="http://schemas.openxmlformats.org/officeDocument/2006/relationships/hyperlink" Target="https://service.scar.it/scarservice/AreaWEB/SDSChimici/892184730_sds_it_reg08.pdf" TargetMode="External"/><Relationship Id="rId29" Type="http://schemas.openxmlformats.org/officeDocument/2006/relationships/hyperlink" Target="ANDEROL%203046.pdf" TargetMode="External"/><Relationship Id="rId1" Type="http://schemas.openxmlformats.org/officeDocument/2006/relationships/hyperlink" Target="https://cdn-s1.lyreco.com/staticswebshop/sds/ITIT/4691957.pdf?_ga=2.156686075.1518789111.1708935770-1085999262.1708935770" TargetMode="External"/><Relationship Id="rId6" Type="http://schemas.openxmlformats.org/officeDocument/2006/relationships/hyperlink" Target="https://cdn-s1.lyreco.com/staticswebshop/sds/ITIT/4691851.pdf?_ga=2.148805623.1518789111.1708935770-1085999262.1708935770" TargetMode="External"/><Relationship Id="rId11" Type="http://schemas.openxmlformats.org/officeDocument/2006/relationships/hyperlink" Target="https://cdn-s1.lyreco.com/staticswebshop/sds/ITIT/4201592.pdf?_ga=2.115259079.1518789111.1708935770-1085999262.1708935770" TargetMode="External"/><Relationship Id="rId24" Type="http://schemas.openxmlformats.org/officeDocument/2006/relationships/hyperlink" Target="https://service.scar.it/scarservice/AreaWEB/SDSChimici/986027050_sds_it_reg08.pdf" TargetMode="External"/><Relationship Id="rId32" Type="http://schemas.openxmlformats.org/officeDocument/2006/relationships/printerSettings" Target="../printerSettings/printerSettings2.bin"/><Relationship Id="rId5" Type="http://schemas.openxmlformats.org/officeDocument/2006/relationships/hyperlink" Target="https://www.lyreco.com/webshop/ITIT/product/viewSecuritySheet/000000000007436002.pdf" TargetMode="External"/><Relationship Id="rId15" Type="http://schemas.openxmlformats.org/officeDocument/2006/relationships/hyperlink" Target="https://service.scar.it/scarservice/AreaWEB/SDSChimici/891100101_sds_it_reg08.pdf" TargetMode="External"/><Relationship Id="rId23" Type="http://schemas.openxmlformats.org/officeDocument/2006/relationships/hyperlink" Target="https://service.scar.it/scarservice/AreaWEB/SDSChimici/894200000_sds_it_reg08.pdf" TargetMode="External"/><Relationship Id="rId28" Type="http://schemas.openxmlformats.org/officeDocument/2006/relationships/hyperlink" Target="TAMOIL%20CARTER%20EP%20680%20SICUREZZA.pdf" TargetMode="External"/><Relationship Id="rId10" Type="http://schemas.openxmlformats.org/officeDocument/2006/relationships/hyperlink" Target="https://cdn-s1.lyreco.com/staticswebshop/sds/ITIT/11309253.pdf?_ga=2.118487753.1518789111.1708935770-1085999262.1708935770" TargetMode="External"/><Relationship Id="rId19" Type="http://schemas.openxmlformats.org/officeDocument/2006/relationships/hyperlink" Target="https://service.scar.it/scarservice/AreaWEB/SDSChimici/891100080_sds_it_reg08.pdf" TargetMode="External"/><Relationship Id="rId31" Type="http://schemas.openxmlformats.org/officeDocument/2006/relationships/hyperlink" Target="Sheel%20omala" TargetMode="External"/><Relationship Id="rId4" Type="http://schemas.openxmlformats.org/officeDocument/2006/relationships/hyperlink" Target="https://cdn-s1.lyreco.com/staticswebshop/sds/ITIT/4691955.pdf?_ga=2.182819558.1518789111.1708935770-1085999262.1708935770" TargetMode="External"/><Relationship Id="rId9" Type="http://schemas.openxmlformats.org/officeDocument/2006/relationships/hyperlink" Target="https://cdn-s1.lyreco.com/staticswebshop/sds/ITIT/11309259.pdf?_ga=2.81588567.1518789111.1708935770-1085999262.1708935770" TargetMode="External"/><Relationship Id="rId14" Type="http://schemas.openxmlformats.org/officeDocument/2006/relationships/hyperlink" Target="https://cdn-s1.lyreco.com/staticswebshop/sds/ITIT/4204652.pdf?_ga=2.153542392.1518789111.1708935770-1085999262.1708935770" TargetMode="External"/><Relationship Id="rId22" Type="http://schemas.openxmlformats.org/officeDocument/2006/relationships/hyperlink" Target="https://service.scar.it/scarservice/AreaWEB/SDSChimici/891100104_sds_it_reg08.pdf" TargetMode="External"/><Relationship Id="rId27" Type="http://schemas.openxmlformats.org/officeDocument/2006/relationships/hyperlink" Target="https://service.scar.it/scarservice/AreaWEB/SDSChimici/890100136_sds_it_reg08.pdf" TargetMode="External"/><Relationship Id="rId30" Type="http://schemas.openxmlformats.org/officeDocument/2006/relationships/hyperlink" Target="ANDEROL%203046/ANDEROL-3000%20(serie)%20-%2003-24.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file:///\\cofiles\..\..\Documents%20and%20Settings\cochimica\Dati%20applicazioni\Microsoft\SCHEDE%20SICUREZZA%20PRODOTTI\BATTEREEZY%20HT\Sk%20Sicurezza%20MSDS_Batterezy%20HT%20-%202021.pdf" TargetMode="External"/><Relationship Id="rId7" Type="http://schemas.openxmlformats.org/officeDocument/2006/relationships/drawing" Target="../drawings/drawing1.xml"/><Relationship Id="rId2" Type="http://schemas.openxmlformats.org/officeDocument/2006/relationships/hyperlink" Target="file:///\\cofiles\..\..\Documents%20and%20Settings\cochimica\Dati%20applicazioni\Microsoft\SCHEDE%20SICUREZZA%20PRODOTTI\BATTEREEZY%20HT\SK%20Tecnica%20Battereezy%20HT.pdf" TargetMode="External"/><Relationship Id="rId1" Type="http://schemas.openxmlformats.org/officeDocument/2006/relationships/hyperlink" Target="file:///\\cofiles\..\..\Documents%20and%20Settings\cochimica\Dati%20applicazioni\Microsoft\SCHEDE%20SICUREZZA%20PRODOTTI\BATTEREEZY%20HT\DETTAGLI%20LOTTO%20E%20SCADENZA.jpg" TargetMode="External"/><Relationship Id="rId6" Type="http://schemas.openxmlformats.org/officeDocument/2006/relationships/printerSettings" Target="../printerSettings/printerSettings4.bin"/><Relationship Id="rId5" Type="http://schemas.openxmlformats.org/officeDocument/2006/relationships/hyperlink" Target="file:///\\cofiles\..\..\Documents%20and%20Settings\cochimica\Dati%20applicazioni\Microsoft\SCHEDE%20SICUREZZA%20PRODOTTI\BATTEREEZY%20HT\DETTAGLI%20LOTTO%20E%20SCADENZA.jpg" TargetMode="External"/><Relationship Id="rId4" Type="http://schemas.openxmlformats.org/officeDocument/2006/relationships/hyperlink" Target="file:///\\cofiles\..\..\Documents%20and%20Settings\cochimica\Dati%20applicazioni\Microsoft\SCHEDE%20SICUREZZA%20PRODOTTI\BATTEREEZY%20HT\ordine%20di%20acquisto.pdf" TargetMode="Externa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REGISTRO%20LEGISLATIVO\VALUTAZIONE%20ASPETTI%20LEGISLATIVI\4_Valutazione%20aspetti%20legislativi_31.03.2025.docx" TargetMode="External"/><Relationship Id="rId1" Type="http://schemas.openxmlformats.org/officeDocument/2006/relationships/hyperlink" Target="REGISTRO%20LEGISLATIVO\4_Registro%20legislativo_Coriano_31.03.2025.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file:///\\cofiles\..\..\Documents%20and%20Settings\cochimica\Dati%20applicazioni\Microsoft\Excel\Nostre%20Autorizzazioni\Autorizzazione%20Integrata%20Ambientale%20GMI%20CO%20n%202437_11%20del%2006_06_2011.pdf" TargetMode="External"/><Relationship Id="rId13" Type="http://schemas.openxmlformats.org/officeDocument/2006/relationships/hyperlink" Target="file:///\\cofiles\..\..\Documents%20and%20Settings\cochimica\Dati%20applicazioni\Microsoft\Excel\POZZO%20D_3113\Regione%20Veneto_stato%20pratica%20rinnovo%20al%2012_03_2020.pdf" TargetMode="External"/><Relationship Id="rId18" Type="http://schemas.openxmlformats.org/officeDocument/2006/relationships/oleObject" Target="../embeddings/oleObject1.bin"/><Relationship Id="rId3" Type="http://schemas.openxmlformats.org/officeDocument/2006/relationships/hyperlink" Target="file:///\\cofiles\..\..\Documents%20and%20Settings\cochimica\Dati%20applicazioni\Microsoft\Excel\Nostre%20Autorizzazioni\AIA%2092.pdf" TargetMode="External"/><Relationship Id="rId21" Type="http://schemas.openxmlformats.org/officeDocument/2006/relationships/oleObject" Target="../embeddings/oleObject3.bin"/><Relationship Id="rId7" Type="http://schemas.openxmlformats.org/officeDocument/2006/relationships/hyperlink" Target="file:///\\cofiles\..\..\Documents%20and%20Settings\cochimica\Dati%20applicazioni\Microsoft\Excel\Nostre%20Autorizzazioni\concessione%20scarico%20acque%20meteoriche%20Provincia%20VR%2026_10_2009.pdf" TargetMode="External"/><Relationship Id="rId12" Type="http://schemas.openxmlformats.org/officeDocument/2006/relationships/hyperlink" Target="file:///\\cofiles\..\..\Documents%20and%20Settings\cochimica\Dati%20applicazioni\Microsoft\Excel\Nostre%20Autorizzazioni\Rinnovo%202019%20CPI%2016804.pdf" TargetMode="External"/><Relationship Id="rId17" Type="http://schemas.openxmlformats.org/officeDocument/2006/relationships/vmlDrawing" Target="../drawings/vmlDrawing1.vml"/><Relationship Id="rId2" Type="http://schemas.openxmlformats.org/officeDocument/2006/relationships/hyperlink" Target="file:///\\cofiles\..\..\Documents%20and%20Settings\cochimica\Dati%20applicazioni\Microsoft\Excel\Nostre%20Autorizzazioni\Avvio%20procedimento%20AIA.pdf" TargetMode="External"/><Relationship Id="rId16" Type="http://schemas.openxmlformats.org/officeDocument/2006/relationships/drawing" Target="../drawings/drawing2.xml"/><Relationship Id="rId20" Type="http://schemas.openxmlformats.org/officeDocument/2006/relationships/oleObject" Target="../embeddings/oleObject2.bin"/><Relationship Id="rId1" Type="http://schemas.openxmlformats.org/officeDocument/2006/relationships/hyperlink" Target="file:///\\cofiles\..\..\Documents%20and%20Settings\cochimica\Dati%20applicazioni\Microsoft\Excel\Nostre%20Autorizzazioni\COM-VR.REGISTRO%20UFFICIALE.2015.0001442%20(1).pdf" TargetMode="External"/><Relationship Id="rId6" Type="http://schemas.openxmlformats.org/officeDocument/2006/relationships/hyperlink" Target="file:///\\cofiles\..\..\Documents%20and%20Settings\cochimica\Dati%20applicazioni\Microsoft\Excel\Nostre%20Autorizzazioni\disciplinare%20592426_11_11_2010%20pratica%20pozzo%20D_3113.pdf" TargetMode="External"/><Relationship Id="rId11" Type="http://schemas.openxmlformats.org/officeDocument/2006/relationships/hyperlink" Target="file:///\\cofiles\..\..\Documents%20and%20Settings\cochimica\Dati%20applicazioni\Microsoft\Excel\Nostre%20Autorizzazioni\p_vr.REGISTRO%20UFFICIALE.2015.0023934.pdf" TargetMode="External"/><Relationship Id="rId5" Type="http://schemas.openxmlformats.org/officeDocument/2006/relationships/hyperlink" Target="file:///\\cofiles\..\..\Documents%20and%20Settings\cochimica\Dati%20applicazioni\Microsoft\Excel\Nostre%20Autorizzazioni\autorizzazione%20emissioni%20in%20atmosfera%205590.pdf" TargetMode="External"/><Relationship Id="rId15" Type="http://schemas.openxmlformats.org/officeDocument/2006/relationships/printerSettings" Target="../printerSettings/printerSettings6.bin"/><Relationship Id="rId10" Type="http://schemas.openxmlformats.org/officeDocument/2006/relationships/hyperlink" Target="file:///\\cofiles\..\..\Documents%20and%20Settings\cochimica\Dati%20applicazioni\Microsoft\Excel\Nostre%20Autorizzazioni\p_vr.REGISTRO%20UFFICIALE.2015.0072357.pdf" TargetMode="External"/><Relationship Id="rId19" Type="http://schemas.openxmlformats.org/officeDocument/2006/relationships/image" Target="../media/image2.emf"/><Relationship Id="rId4" Type="http://schemas.openxmlformats.org/officeDocument/2006/relationships/hyperlink" Target="file:///\\cofiles\..\..\Documents%20and%20Settings\cochimica\Dati%20applicazioni\Microsoft\Excel\Nostre%20Autorizzazioni\autorizzazione%20scarico%20833_99.pdf" TargetMode="External"/><Relationship Id="rId9" Type="http://schemas.openxmlformats.org/officeDocument/2006/relationships/hyperlink" Target="file:///\\cofiles\..\..\Documents%20and%20Settings\cochimica\Dati%20applicazioni\Microsoft\Excel\Nostre%20Autorizzazioni\Autorizzazione%20Integrata%20Ambientale%20PROMOLOG%20CO%20n%205394_13%20del%2011_12_2013.pdf" TargetMode="External"/><Relationship Id="rId14" Type="http://schemas.openxmlformats.org/officeDocument/2006/relationships/hyperlink" Target="Nostre%20Autorizzazioni/PROCEDIMENTO%20RINNOVO%20AIA/Provincia%20di%20Verona_reg_uff%200028699%20del%2008_06_2022%20-%20avvio%20procedimento%20riesame%20per%20rinnovo%20AIA.pdf" TargetMode="External"/><Relationship Id="rId22"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hyperlink" Target="SGA%20LIVORNO/PRESCRIZIONI%20TECNICHE%20E%20GESTIONALI/Decreto_n.19082_del_20-08-2024-Allegato-A.pdf" TargetMode="External"/></Relationships>
</file>

<file path=xl/worksheets/_rels/sheet9.xml.rels><?xml version="1.0" encoding="UTF-8" standalone="yes"?>
<Relationships xmlns="http://schemas.openxmlformats.org/package/2006/relationships"><Relationship Id="rId2" Type="http://schemas.openxmlformats.org/officeDocument/2006/relationships/hyperlink" Target="SGA%20LIVORNO\PRESCRIZIONI%20TECNICHE%20E%20GESTIONALI\5.1%20Gestione%20Impianto\2\30_04_2025%20-%20richiesta%20di%20proroga%20per%20trasmissione%20PMC\riscontro%20Regione%20Toscana\Grandi_M_Proroga_Invio_PMeC_rev1.pdf" TargetMode="External"/><Relationship Id="rId1" Type="http://schemas.openxmlformats.org/officeDocument/2006/relationships/hyperlink" Target="SGA%20LIVORNO\PRESCRIZIONI%20TECNICHE%20E%20GESTIONALI\5.1%20Gestione%20Impianto\2\30_04_2025%20-%20richiesta%20di%20proroga%20per%20trasmissione%20PMC\29_04_2025_Grandi%20Molini%20Italiani%20-Richiesta%20di%20proroga.pdf"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SGA%20LIVORNO\PRESCRIZIONI%20TECNICHE%20E%20GESTIONALI\5.2%20Emissioni%20in%20Atmosfera\19\Registro%20delle%20analisi%20-%20collegamento.lnk" TargetMode="External"/><Relationship Id="rId2" Type="http://schemas.openxmlformats.org/officeDocument/2006/relationships/hyperlink" Target="AUTORIZZAZIONE%20INTEGRATA%20AMBIENTALE%20in%20essere/AIA%20in%20essere%20(decreto%2019082%20del%2020_08_2024)/ALLEGATO%20A_prescrizioni/RISCONTRO%20PRESCRIZIONI/31_12_2024/15_01_2025%20-%20RISCONTRO%20REGIONE%20TOSCANA" TargetMode="External"/><Relationship Id="rId1" Type="http://schemas.openxmlformats.org/officeDocument/2006/relationships/hyperlink" Target="AUTORIZZAZIONE%20INTEGRATA%20AMBIENTALE%20in%20essere/AIA%20in%20essere%20(decreto%2019082%20del%2020_08_2024)/ALLEGATO%20A_prescrizioni/RISCONTRO%20PRESCRIZIONI/31_12_2024" TargetMode="External"/><Relationship Id="rId6" Type="http://schemas.openxmlformats.org/officeDocument/2006/relationships/hyperlink" Target="ARCHIVIO\20_03_2025%20-%20riscontro%20prescrizione%20autorizzativa\ricevute%20PEC" TargetMode="External"/><Relationship Id="rId5" Type="http://schemas.openxmlformats.org/officeDocument/2006/relationships/hyperlink" Target="ARCHIVIO\20_03_2025%20-%20riscontro%20prescrizione%20autorizzativa\20_03_2025_Grandi%20Molini%20Italiani%20-Comunicazione%20di%20riscontro%20prescrizione%20autorizzativa.pdf" TargetMode="External"/><Relationship Id="rId4" Type="http://schemas.openxmlformats.org/officeDocument/2006/relationships/hyperlink" Target="SGA%20LIVORNO\PRESCRIZIONI%20TECNICHE%20E%20GESTIONALI\5.2%20Emissioni%20in%20Atmosfera\19\Registro%20degli%20interventi%20sugli%20impianti%20di%20abbattimento%20-%20collegamento.lnk"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SGA%20LIVORNO\PRESCRIZIONI%20TECNICHE%20E%20GESTIONALI\5.3%20Scarichi%20idrici\3\09_09_2024\set-12-2024--08-33-32-accettazione-fwd-grandi-moli.pdf" TargetMode="External"/><Relationship Id="rId2" Type="http://schemas.openxmlformats.org/officeDocument/2006/relationships/hyperlink" Target="SGA%20LIVORNO\PRESCRIZIONI%20TECNICHE%20E%20GESTIONALI\5.3%20Scarichi%20idrici\3\09_09_2024\09_09_2024_Grandi%20Molini%20Italiani%20-Comunicazione%20per%20riscontro%20prescrizioni%20autorizzative.pdf" TargetMode="External"/><Relationship Id="rId1" Type="http://schemas.openxmlformats.org/officeDocument/2006/relationships/hyperlink" Target="SGA%20LIVORNO\PRESCRIZIONI%20TECNICHE%20E%20GESTIONALI\5.3%20Scarichi%20idrici\3\09_09_2024\Elaborato%20tecnico%203.2%20Planimetria%20dell'impianto%20-%20rete%20idrica_.pdf"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SGA%20LIVORNO\PRESCRIZIONI%20TECNICHE%20E%20GESTIONALI\5.4%20Rifiuti%20prodotti\7\09_09_2024\set-09-2024--11-52-22-accettazione-grandi-molini-i.pdf" TargetMode="External"/><Relationship Id="rId2" Type="http://schemas.openxmlformats.org/officeDocument/2006/relationships/hyperlink" Target="SGA%20LIVORNO\PRESCRIZIONI%20TECNICHE%20E%20GESTIONALI\5.4%20Rifiuti%20prodotti\7\09_09_2024\Elaborato%20tecnico%203.4%20Planimetria%20depositi%20rifiuti_rev%2006_09_2024.pdf" TargetMode="External"/><Relationship Id="rId1" Type="http://schemas.openxmlformats.org/officeDocument/2006/relationships/hyperlink" Target="SGA%20LIVORNO\PRESCRIZIONI%20TECNICHE%20E%20GESTIONALI\5.4%20Rifiuti%20prodotti\7\09_09_2024\09_09_2024_Grandi%20Molini%20Italiani%20-Comunicazione%20per%20riscontro%20prescrizioni%20autorizzative.pdf" TargetMode="External"/></Relationships>
</file>

<file path=xl/worksheets/_rels/sheet16.xml.rels><?xml version="1.0" encoding="UTF-8" standalone="yes"?>
<Relationships xmlns="http://schemas.openxmlformats.org/package/2006/relationships"><Relationship Id="rId1" Type="http://schemas.openxmlformats.org/officeDocument/2006/relationships/hyperlink" Target="file:///\\VEFILES\DocumentazioneQualit&#224;\Documenti_Interni\14001%20MULTISITO\LIVORNO\PA01LI-%20CONTROLLO%20OPERATIVO\Tabella%201%20monitoraggi%20-%20allegato%20B.xlsx" TargetMode="External"/></Relationships>
</file>

<file path=xl/worksheets/_rels/sheet17.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oleObject" Target="../embeddings/oleObject6.bin"/><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oleObject" Target="../embeddings/oleObject5.bin"/><Relationship Id="rId5" Type="http://schemas.openxmlformats.org/officeDocument/2006/relationships/image" Target="../media/image2.emf"/><Relationship Id="rId4" Type="http://schemas.openxmlformats.org/officeDocument/2006/relationships/oleObject" Target="../embeddings/oleObject4.bin"/></Relationships>
</file>

<file path=xl/worksheets/_rels/sheet18.xml.rels><?xml version="1.0" encoding="UTF-8" standalone="yes"?>
<Relationships xmlns="http://schemas.openxmlformats.org/package/2006/relationships"><Relationship Id="rId3" Type="http://schemas.openxmlformats.org/officeDocument/2006/relationships/hyperlink" Target="file:///\\cofiles\..\..\Documents%20and%20Settings\cochimica\Dati%20applicazioni\Microsoft\Excel\RIFIUTI\ALLEGATI%20PARTE%20IV%20DLGS%20152-06\allegato-L-quater.pdf" TargetMode="External"/><Relationship Id="rId2" Type="http://schemas.openxmlformats.org/officeDocument/2006/relationships/hyperlink" Target="file:///\\cofiles\..\..\Documents%20and%20Settings\cochimica\Dati%20applicazioni\Microsoft\Excel\RIFIUTI\TARIFFE%20RIFIUTI%20-%20COMUNICAZIONI%20SCELTA%20GESTORE\COMUNICAZIONI%202021\_%20In_%20I_%20TARIFFA%20RIFIUTI%20-%20ENTRO%20IL%2031%20MAGGIO%202021%20OBBLIGO%20DI%20C.pdf" TargetMode="External"/><Relationship Id="rId1" Type="http://schemas.openxmlformats.org/officeDocument/2006/relationships/hyperlink" Target="file:///\\cofiles\..\..\Documents%20and%20Settings\cochimica\Dati%20applicazioni\Microsoft\Excel\RIFIUTI\TARIFFE%20RIFIUTI%20-%20COMUNICAZIONI%20SCELTA%20GESTORE\COMUNICAZIONI%202021\Bozza-FACSIMILE-comunicazione-rev5.docx" TargetMode="External"/><Relationship Id="rId4" Type="http://schemas.openxmlformats.org/officeDocument/2006/relationships/hyperlink" Target="file:///\\cofiles\..\..\Documents%20and%20Settings\cochimica\Dati%20applicazioni\Microsoft\Excel\RIFIUTI\ALLEGATI%20PARTE%20IV%20DLGS%20152-06\allegato_l-quinquies.pdf" TargetMode="External"/></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RIFIUTI/Dichiarazione%20avvenuti%20smaltimenti%20D13,%20D14%20e%20D15/note%20del%2022_06_2022%20sulla%20abrogazione%20della%20dichiarazione%20di%20avvenuto%20smaltimento%20.pdf" TargetMode="External"/><Relationship Id="rId1" Type="http://schemas.openxmlformats.org/officeDocument/2006/relationships/hyperlink" Target="file:///\\cofiles\..\..\Documents%20and%20Settings\cochimica\Dati%20applicazioni\Microsoft\Excel\RIFIUTI\Documentazione%20Corso%20rifiuti%20febbraio%202013\Lucidi%20rifiuti%20BSA%204P.pdf"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RIFIUTI/ANALISI%20RIFIUTI/2025/CER%2002%2003%2004_analisi%20caratterizzazione.pdf" TargetMode="External"/><Relationship Id="rId1" Type="http://schemas.openxmlformats.org/officeDocument/2006/relationships/hyperlink" Target="RIFIUTI/ANALISI%20RIFIUTI/2024/CER%2015%2002%2003_RdP_2426%20del%2030-08-2024%20T.LOG%20&amp;%20CO_signed.pdf" TargetMode="External"/></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file:///\\vefiles.gmi.local\Safety\Ambiente-Sicurezza" TargetMode="External"/><Relationship Id="rId1" Type="http://schemas.openxmlformats.org/officeDocument/2006/relationships/hyperlink" Target="PREVENZIONE%20INCENDI\PROVE%20DI%20EVACUAZIONE\2025\Verbale%20prova%20emergenza%20ed%20evacuazione%20firmato.pdf" TargetMode="External"/></Relationships>
</file>

<file path=xl/worksheets/_rels/sheet25.xml.rels><?xml version="1.0" encoding="UTF-8" standalone="yes"?>
<Relationships xmlns="http://schemas.openxmlformats.org/package/2006/relationships"><Relationship Id="rId3" Type="http://schemas.openxmlformats.org/officeDocument/2006/relationships/hyperlink" Target="PREVENZIONE%20EMERGENZE%20AMBIENTALI\Squadra%20emergenza%20ambientale%20rev.%2013_02_2026.docx" TargetMode="External"/><Relationship Id="rId2" Type="http://schemas.openxmlformats.org/officeDocument/2006/relationships/hyperlink" Target="PREVENZIONE%20EMERGENZE%20AMBIENTALI/SIMULAZIONE%20EMERGENZA%20AMBIENTALE%20DEL%2003_04_2025/simulazione%20emergenza%20ambientale%20del%2003_04_2025.pdf" TargetMode="External"/><Relationship Id="rId1" Type="http://schemas.openxmlformats.org/officeDocument/2006/relationships/hyperlink" Target="PREVENZIONE%20EMERGENZE%20AMBIENTALI\ELENCO%20PERSONALE%20COINVOLTO%20NELLE%20SIMULAZIONI%20DI%20EMERGENZA%20AMBIENTALE.xlsx" TargetMode="External"/><Relationship Id="rId4" Type="http://schemas.openxmlformats.org/officeDocument/2006/relationships/printerSettings" Target="../printerSettings/printerSettings12.bin"/></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file:///\\cofiles\..\..\Documents%20and%20Settings\cochimica\Dati%20applicazioni\Microsoft\Excel\E_PRTR\Nota%20informativa%20E-PRTR.doc" TargetMode="External"/></Relationships>
</file>

<file path=xl/worksheets/_rels/sheet27.xml.rels><?xml version="1.0" encoding="UTF-8" standalone="yes"?>
<Relationships xmlns="http://schemas.openxmlformats.org/package/2006/relationships"><Relationship Id="rId3" Type="http://schemas.openxmlformats.org/officeDocument/2006/relationships/hyperlink" Target="file:///\\cofiles\..\..\Documents%20and%20Settings\cochimica\Dati%20applicazioni\Microsoft\Excel\CONDIZIONATORI\CO2%20EQUIVALENTI\CALCOLO%202017\Calcoli%20CO2%20equivalenti%20Promolog.xlsx" TargetMode="External"/><Relationship Id="rId2" Type="http://schemas.openxmlformats.org/officeDocument/2006/relationships/hyperlink" Target="file:///\\cofiles\..\..\Documents%20and%20Settings\cochimica\Dati%20applicazioni\Microsoft\Excel\CONDIZIONATORI\regolamento_ue_517_16_04_2014.pdf" TargetMode="External"/><Relationship Id="rId1" Type="http://schemas.openxmlformats.org/officeDocument/2006/relationships/hyperlink" Target="../AppData/Local/Microsoft/Windows/INetCache/Content.Outlook/DGKJVB1W/CONDIZIONATORI/REGISTRI%20APPARECCHIATURA/GMI%20-%20Mappatura%20Climatizzatori%20Coriano%202023.pdf" TargetMode="External"/><Relationship Id="rId6" Type="http://schemas.openxmlformats.org/officeDocument/2006/relationships/printerSettings" Target="../printerSettings/printerSettings14.bin"/><Relationship Id="rId5" Type="http://schemas.openxmlformats.org/officeDocument/2006/relationships/hyperlink" Target="file:///\\cofiles\..\..\Documents%20and%20Settings\cochimica\Dati%20applicazioni\Microsoft\Excel\ISCRIZIONE%20MANUTENTORI%20AI%20SENSI%20DPR%2043\disposizione%20DPR%2043_2012.pdf" TargetMode="External"/><Relationship Id="rId4" Type="http://schemas.openxmlformats.org/officeDocument/2006/relationships/hyperlink" Target="file:///\\cofiles\..\..\Documents%20and%20Settings\cochimica\Dati%20applicazioni\Microsoft\Excel\NORME\nuovi%20libretti%20impianti%20termici%20conformi%20al%20DM%2010_02_2014.pdf" TargetMode="External"/></Relationships>
</file>

<file path=xl/worksheets/_rels/sheet28.xml.rels><?xml version="1.0" encoding="UTF-8" standalone="yes"?>
<Relationships xmlns="http://schemas.openxmlformats.org/package/2006/relationships"><Relationship Id="rId8" Type="http://schemas.openxmlformats.org/officeDocument/2006/relationships/hyperlink" Target="AI2RQ6~U/AG2KQB~K/O1K6TJ~Y/CVPCYA~K.PDF" TargetMode="External"/><Relationship Id="rId3" Type="http://schemas.openxmlformats.org/officeDocument/2006/relationships/hyperlink" Target="ANALISI%20EMISSIONE%20PUNTO%20SF2_acque%20meteoriche/analisi%20acque%20meteoriche%20SF2%202023/23.116016.0001_23_000610479.pdf" TargetMode="External"/><Relationship Id="rId7" Type="http://schemas.openxmlformats.org/officeDocument/2006/relationships/hyperlink" Target="AI2RQ6~U/AG2KQB~K/O1K6TJ~Y/CVPCYA~K.PDF" TargetMode="External"/><Relationship Id="rId2" Type="http://schemas.openxmlformats.org/officeDocument/2006/relationships/hyperlink" Target="ANALISI%20EMISSIONE%20PUNTO%20SF2_acque%20meteoriche/analisi%20acque%20meteoriche%20SF2%202023/23.068605.0001_23_000306288.pdf" TargetMode="External"/><Relationship Id="rId1" Type="http://schemas.openxmlformats.org/officeDocument/2006/relationships/hyperlink" Target="ANALISI%20EMISSIONE%20PUNTO%20SF2_acque%20meteoriche/limiti%20inquinanti%20acque%20superficiali%20decreto%20152_2006%20tabella%203.pdf" TargetMode="External"/><Relationship Id="rId6" Type="http://schemas.openxmlformats.org/officeDocument/2006/relationships/hyperlink" Target="AI2RQ6~U/AG2KQB~K/O1K6TJ~Y/CVPCYA~K.PDF" TargetMode="External"/><Relationship Id="rId5" Type="http://schemas.openxmlformats.org/officeDocument/2006/relationships/hyperlink" Target="ANALISI%20EMISSIONE%20PUNTO%20SF2_acque%20meteoriche/analisi%20acque%20meteoriche%20SF2%202023/23.068605.0001_23_000306288.pdf" TargetMode="External"/><Relationship Id="rId10" Type="http://schemas.openxmlformats.org/officeDocument/2006/relationships/printerSettings" Target="../printerSettings/printerSettings15.bin"/><Relationship Id="rId4" Type="http://schemas.openxmlformats.org/officeDocument/2006/relationships/hyperlink" Target="ANALISI%20EMISSIONE%20PUNTO%20SF2_acque%20meteoriche/analisi%20acque%20meteoriche%20SF2%202024/campionamento%20del%2026_03_2024/24.233533.0001_24_000213869.pdf" TargetMode="External"/><Relationship Id="rId9" Type="http://schemas.openxmlformats.org/officeDocument/2006/relationships/hyperlink" Target="https://www.arpa.veneto.it/dati-ambientali/dati-storici" TargetMode="External"/></Relationships>
</file>

<file path=xl/worksheets/_rels/sheet29.xml.rels><?xml version="1.0" encoding="UTF-8" standalone="yes"?>
<Relationships xmlns="http://schemas.openxmlformats.org/package/2006/relationships"><Relationship Id="rId13" Type="http://schemas.openxmlformats.org/officeDocument/2006/relationships/hyperlink" Target="file:///\\cofiles\..\..\Documents%20and%20Settings\cochimica\Dati%20applicazioni\Microsoft\Excel\raccolta%20dati%20AIA\AIA_trend%20indicatori%20di%20prestazione.xls" TargetMode="External"/><Relationship Id="rId18" Type="http://schemas.openxmlformats.org/officeDocument/2006/relationships/hyperlink" Target="file:///\\cofiles\..\..\Documents%20and%20Settings\cochimica\Dati%20applicazioni\Microsoft\Excel\raccolta%20dati%20AIA\raccolta%20dati%20AIA%202015\PROMOLOG%20VR%20report%20AIA%20raccolta%20dati%202015.xls" TargetMode="External"/><Relationship Id="rId26" Type="http://schemas.openxmlformats.org/officeDocument/2006/relationships/hyperlink" Target="file:///\\cofiles\..\..\Documents%20and%20Settings\cochimica\Dati%20applicazioni\Microsoft\Excel\raccolta%20dati%20AIA\RELAZIONE%20DI%20RIFERIMENTO\RIFERIMENTO%202017\RISCONTRO%20SUSSISTENZA%20RELAZIONE%20RIFERIMENTO%202017.xls" TargetMode="External"/><Relationship Id="rId39" Type="http://schemas.openxmlformats.org/officeDocument/2006/relationships/hyperlink" Target="file:///\\cofiles\..\..\Documents%20and%20Settings\cochimica\Dati%20applicazioni\Microsoft\Excel\raccolta%20dati%20AIA\raccolta%20dati%20AIA%202020\documentazione%20inviata%20via%20PEC\PROMOLOG_AIA%20relazione%20dati%20caratteristici%202020.pdf" TargetMode="External"/><Relationship Id="rId3" Type="http://schemas.openxmlformats.org/officeDocument/2006/relationships/hyperlink" Target="file:///\\cofiles\..\..\Documents%20and%20Settings\cochimica\Dati%20applicazioni\Microsoft\Excel\raccolta%20dati%20AIA\raccolta%20dati%20AIA%202013\dati%20per%20AIA%202013.xls" TargetMode="External"/><Relationship Id="rId21" Type="http://schemas.openxmlformats.org/officeDocument/2006/relationships/hyperlink" Target="file:///\\cofiles\..\..\Documents%20and%20Settings\cochimica\Dati%20applicazioni\Microsoft\Excel\raccolta%20dati%20AIA\raccolta%20dati%20AIA%202015\documentazione%20inviata%20per%20PEC\PROMOLOG_AIA_relazione%20dati%20caratteristici%202015.pdf" TargetMode="External"/><Relationship Id="rId34" Type="http://schemas.openxmlformats.org/officeDocument/2006/relationships/hyperlink" Target="file:///\\cofiles\..\..\Documents%20and%20Settings\cochimica\Dati%20applicazioni\Microsoft\Excel\raccolta%20dati%20AIA\raccolta%20dati%20AIA%202019\documentazione%20inviata%20via%20PEC\PROMOLOG%20VR%20report%20AIA%20raccolta%20dati%202019.xls" TargetMode="External"/><Relationship Id="rId42" Type="http://schemas.openxmlformats.org/officeDocument/2006/relationships/hyperlink" Target="raccolta%20dati%20AIA/raccolta%20dati%20AIA%202022/PROMOLOG%20VR%20report%20AIA%20raccolta%20dati%202022.xlsx" TargetMode="External"/><Relationship Id="rId47" Type="http://schemas.openxmlformats.org/officeDocument/2006/relationships/hyperlink" Target="raccolta%20dati%20AIA/RELAZIONE%20DI%20RIFERIMENTO/RIFERIMENTO%202023/RISCONTRO%20SUSSISTENZA%20RELAZIONE%20RIFERIMENTO%202023.xls" TargetMode="External"/><Relationship Id="rId7" Type="http://schemas.openxmlformats.org/officeDocument/2006/relationships/hyperlink" Target="file:///\\cofiles\..\..\Documents%20and%20Settings\cochimica\Dati%20applicazioni\Microsoft\Excel\raccolta%20dati%20AIA\raccolta%20dati%20AIA%202013\PROMOLOG%20DATI%20AIA%202013\PROMOLOG%20VR%20report%20AIA%20raccolta%20dati%202013.xls" TargetMode="External"/><Relationship Id="rId12" Type="http://schemas.openxmlformats.org/officeDocument/2006/relationships/hyperlink" Target="file:///\\cofiles\..\..\Documents%20and%20Settings\cochimica\Dati%20applicazioni\Microsoft\Excel\raccolta%20dati%20AIA\raccolta%20dati%20AIA%202011\documentazione%20inviata%20su%20cd%20rom\GMI%20VR%20relazione%20AIA%20attivit&#224;%202011.pdf" TargetMode="External"/><Relationship Id="rId17" Type="http://schemas.openxmlformats.org/officeDocument/2006/relationships/hyperlink" Target="file:///\\cofiles\..\..\Documents%20and%20Settings\cochimica\Dati%20applicazioni\Microsoft\Excel\raccolta%20dati%20AIA\raccolta%20dati%20AIA%202014\documentazione%20inviata%20su%20cd%20rom\PROMOLOG_AIA_relazione%20dati%20caratteristici%202014.pdf" TargetMode="External"/><Relationship Id="rId25" Type="http://schemas.openxmlformats.org/officeDocument/2006/relationships/hyperlink" Target="file:///\\cofiles\..\..\Documents%20and%20Settings\cochimica\Dati%20applicazioni\Microsoft\Excel\raccolta%20dati%20AIA\Raccolta%20dati%20AIA%202017\PROMOLOG%20VR%20report%20AIA%20raccolta%20dati%202017.xls" TargetMode="External"/><Relationship Id="rId33" Type="http://schemas.openxmlformats.org/officeDocument/2006/relationships/hyperlink" Target="file:///\\cofiles\..\..\Documents%20and%20Settings\cochimica\Dati%20applicazioni\Microsoft\Excel\raccolta%20dati%20AIA\raccolta%20dati%20AIA%202018\dati%20per%20AIA%202018.xls" TargetMode="External"/><Relationship Id="rId38" Type="http://schemas.openxmlformats.org/officeDocument/2006/relationships/hyperlink" Target="file:///\\cofiles\..\..\Documents%20and%20Settings\cochimica\Dati%20applicazioni\Microsoft\Excel\raccolta%20dati%20AIA\RELAZIONE%20DI%20RIFERIMENTO\RIFERIMENTO%202020\RISCONTRO%20SUSSISTENZA%20RELAZIONE%20RIFERIMENTO%202020.xls" TargetMode="External"/><Relationship Id="rId46" Type="http://schemas.openxmlformats.org/officeDocument/2006/relationships/hyperlink" Target="raccolta%20dati%20AIA/RELAZIONE%20DI%20RIFERIMENTO/RIFERIMENTO%202022/RISCONTRO%20SUSSISTENZA%20RELAZIONE%20RIFERIMENTO%202022.xls" TargetMode="External"/><Relationship Id="rId2" Type="http://schemas.openxmlformats.org/officeDocument/2006/relationships/hyperlink" Target="file:///\\cofiles\..\..\Documents%20and%20Settings\cochimica\Dati%20applicazioni\Microsoft\Excel\raccolta%20dati%20AIA\raccolta%20dati%20AIA%202012\documentazione%20inviata%20su%20cd%20rom\130417_AG_report%20PMC%20CV.doc" TargetMode="External"/><Relationship Id="rId16" Type="http://schemas.openxmlformats.org/officeDocument/2006/relationships/hyperlink" Target="file:///\\cofiles\..\..\Documents%20and%20Settings\cochimica\Dati%20applicazioni\Microsoft\Excel\raccolta%20dati%20AIA\raccolta%20dati%20AIA%202015\dati%20per%20AIA%202015.xls" TargetMode="External"/><Relationship Id="rId20" Type="http://schemas.openxmlformats.org/officeDocument/2006/relationships/hyperlink" Target="file:///\\cofiles\..\..\Documents%20and%20Settings\cochimica\Dati%20applicazioni\Microsoft\Excel\raccolta%20dati%20AIA\raccolta%20dati%20AIA%202016\dati%20per%20AIA%202016.xls" TargetMode="External"/><Relationship Id="rId29" Type="http://schemas.openxmlformats.org/officeDocument/2006/relationships/hyperlink" Target="file:///\\cofiles\..\..\Documents%20and%20Settings\cochimica\Dati%20applicazioni\Microsoft\Excel\raccolta%20dati%20AIA\RELAZIONE%20DI%20RIFERIMENTO\RIFERIMENTO%202018\RISCONTRO%20SUSSISTENZA%20RELAZIONE%20DI%20RIFERIMENTO%202018.xlsm" TargetMode="External"/><Relationship Id="rId41" Type="http://schemas.openxmlformats.org/officeDocument/2006/relationships/hyperlink" Target="raccolta%20dati%20AIA/raccolta%20dati%20AIA%202021/documentazione%20inviata%20via%20PEC/PROMOLOG%20VR%20report%20AIA%20raccolta%20dati%202021.xlsx" TargetMode="External"/><Relationship Id="rId1" Type="http://schemas.openxmlformats.org/officeDocument/2006/relationships/hyperlink" Target="file:///\\cofiles\..\..\Documents%20and%20Settings\cochimica\Dati%20applicazioni\Microsoft\Excel\raccolta%20dati%20AIA\raccolta%20dati%20AIA%202012\dati%20per%20AIA%202012.xls" TargetMode="External"/><Relationship Id="rId6" Type="http://schemas.openxmlformats.org/officeDocument/2006/relationships/hyperlink" Target="file:///\\cofiles\..\..\Documents%20and%20Settings\cochimica\Dati%20applicazioni\Microsoft\Excel\raccolta%20dati%20AIA\raccolta%20dati%20AIA%202013\GMI%20VR%20report%20AIA%20raccolta%20dati%202013.xls" TargetMode="External"/><Relationship Id="rId11" Type="http://schemas.openxmlformats.org/officeDocument/2006/relationships/hyperlink" Target="file:///\\cofiles\..\..\Documents%20and%20Settings\cochimica\Dati%20applicazioni\Microsoft\Excel\raccolta%20dati%20AIA\raccolta%20dati%20AIA%202011\GMI%20VR%20report%20AIA%20raccolta%20dati%202011.xls" TargetMode="External"/><Relationship Id="rId24" Type="http://schemas.openxmlformats.org/officeDocument/2006/relationships/hyperlink" Target="file:///\\cofiles\..\..\Documents%20and%20Settings\cochimica\Dati%20applicazioni\Microsoft\Excel\raccolta%20dati%20AIA\Raccolta%20dati%20AIA%202017\dati%20per%20AIA%202017.xls" TargetMode="External"/><Relationship Id="rId32" Type="http://schemas.openxmlformats.org/officeDocument/2006/relationships/hyperlink" Target="file:///\\cofiles\..\..\Documents%20and%20Settings\cochimica\Dati%20applicazioni\Microsoft\Excel\raccolta%20dati%20AIA\raccolta%20dati%20AIA%202019\dati%20per%20AIA%202019.xls" TargetMode="External"/><Relationship Id="rId37" Type="http://schemas.openxmlformats.org/officeDocument/2006/relationships/hyperlink" Target="file:///\\cofiles\..\..\Documents%20and%20Settings\cochimica\Dati%20applicazioni\Microsoft\Excel\raccolta%20dati%20AIA\raccolta%20dati%20AIA%202019\documentazione%20inviata%20via%20PEC\PROMOLOG_AIA%20relazione%20dati%20caratteristici%202019.pdf" TargetMode="External"/><Relationship Id="rId40" Type="http://schemas.openxmlformats.org/officeDocument/2006/relationships/hyperlink" Target="raccolta%20dati%20AIA/raccolta%20dati%20AIA%202020/documentazione%20inviata%20via%20PEC/PROMOLOG%20VR%20report%20AIA%20raccolta%20dati%202020.xlsx" TargetMode="External"/><Relationship Id="rId45" Type="http://schemas.openxmlformats.org/officeDocument/2006/relationships/hyperlink" Target="raccolta%20dati%20AIA/raccolta%20dati%20AIA%202021/documentazione%20inviata%20via%20PEC/PROMOLOG_AIA%20relazione%20dati%20caratteristici%202021.pdf" TargetMode="External"/><Relationship Id="rId5" Type="http://schemas.openxmlformats.org/officeDocument/2006/relationships/hyperlink" Target="file:///\\cofiles\..\..\Documents%20and%20Settings\cochimica\Dati%20applicazioni\Microsoft\Excel\raccolta%20dati%20AIA\raccolta%20dati%20AIA%202012\GMI%20VR%20report%20AIA%20raccolta%20dati%202012.xls" TargetMode="External"/><Relationship Id="rId15" Type="http://schemas.openxmlformats.org/officeDocument/2006/relationships/hyperlink" Target="file:///\\cofiles\..\..\Documents%20and%20Settings\cochimica\Dati%20applicazioni\Microsoft\Excel\raccolta%20dati%20AIA\raccolta%20dati%20AIA%202013\PROMOLOG%20DATI%20AIA%202013\Documentazione%20PROMOLOG%20inviata%20su%20cd%20rom\AIA%20relazione%20attivit&#224;%202013.pdf" TargetMode="External"/><Relationship Id="rId23" Type="http://schemas.openxmlformats.org/officeDocument/2006/relationships/hyperlink" Target="file:///\\cofiles\..\..\Documents%20and%20Settings\cochimica\Dati%20applicazioni\Microsoft\Excel\raccolta%20dati%20AIA\RELAZIONE%20DI%20RIFERIMENTO\RIFERIMENTO%202016\RISCONTRO%20SUSSISTENZA%20RELAZIONE%20RIFERIMENTO%202016.xls" TargetMode="External"/><Relationship Id="rId28" Type="http://schemas.openxmlformats.org/officeDocument/2006/relationships/hyperlink" Target="file:///\\cofiles\..\..\Documents%20and%20Settings\cochimica\Dati%20applicazioni\Microsoft\Excel\raccolta%20dati%20AIA\Raccolta%20dati%20AIA%202017\documentazione%20inviata%20via%20PEC\PROMOLOG_AIA%20relazione%20dati%20caratteristici%202017.pdf" TargetMode="External"/><Relationship Id="rId36" Type="http://schemas.openxmlformats.org/officeDocument/2006/relationships/hyperlink" Target="file:///\\cofiles\..\..\Documents%20and%20Settings\cochimica\Dati%20applicazioni\Microsoft\Excel\raccolta%20dati%20AIA\raccolta%20dati%20AIA%202018\documentazione%20inviata%20via%20PEC\PROMOLOG_AIA%20relazione%20dati%20caratteristici%202018.pdf" TargetMode="External"/><Relationship Id="rId49" Type="http://schemas.openxmlformats.org/officeDocument/2006/relationships/printerSettings" Target="../printerSettings/printerSettings16.bin"/><Relationship Id="rId10" Type="http://schemas.openxmlformats.org/officeDocument/2006/relationships/hyperlink" Target="file:///\\cofiles\..\..\Documents%20and%20Settings\cochimica\Dati%20applicazioni\Microsoft\Excel\raccolta%20dati%20AIA\raccolta%20dati%20AIA%202011\dati%20per%20AIA%202011.xls" TargetMode="External"/><Relationship Id="rId19" Type="http://schemas.openxmlformats.org/officeDocument/2006/relationships/hyperlink" Target="file:///\\cofiles\..\..\Documents%20and%20Settings\cochimica\Dati%20applicazioni\Microsoft\Excel\raccolta%20dati%20AIA\raccolta%20dati%20AIA%202016\PROMOLOG%20VR%20report%20AIA%20raccolta%20dati%202016.xls" TargetMode="External"/><Relationship Id="rId31" Type="http://schemas.openxmlformats.org/officeDocument/2006/relationships/hyperlink" Target="file:///\\cofiles\..\..\Documents%20and%20Settings\cochimica\Dati%20applicazioni\Microsoft\Excel\raccolta%20dati%20AIA\raccolta%20dati%20AIA%202020\dati%20per%20AIA%202020.xls" TargetMode="External"/><Relationship Id="rId44" Type="http://schemas.openxmlformats.org/officeDocument/2006/relationships/hyperlink" Target="raccolta%20dati%20AIA/raccolta%20dati%20AIA%202022/dati%20per%20AIA%202022.xls" TargetMode="External"/><Relationship Id="rId4" Type="http://schemas.openxmlformats.org/officeDocument/2006/relationships/hyperlink" Target="file:///\\cofiles\..\..\Documents%20and%20Settings\cochimica\Dati%20applicazioni\Microsoft\Excel\raccolta%20dati%20AIA\raccolta%20dati%20AIA%202013\dati%20per%20AIA%202013.xls" TargetMode="External"/><Relationship Id="rId9" Type="http://schemas.openxmlformats.org/officeDocument/2006/relationships/hyperlink" Target="file:///\\cofiles\..\..\Documents%20and%20Settings\cochimica\Dati%20applicazioni\Microsoft\Excel\raccolta%20dati%20AIA\raccolta%20dati%20AIA%202014\dati%20per%20AIA%202014.xls" TargetMode="External"/><Relationship Id="rId14" Type="http://schemas.openxmlformats.org/officeDocument/2006/relationships/hyperlink" Target="file:///\\cofiles\..\..\Documents%20and%20Settings\cochimica\Dati%20applicazioni\Microsoft\Excel\raccolta%20dati%20AIA\raccolta%20dati%20AIA%202013\documentazione%20GMI%20inviata%20su%20cd%20rom\AIA%20relazione%20attivit&#224;%202013.pdf" TargetMode="External"/><Relationship Id="rId22" Type="http://schemas.openxmlformats.org/officeDocument/2006/relationships/hyperlink" Target="file:///\\cofiles\..\..\Documents%20and%20Settings\cochimica\Dati%20applicazioni\Microsoft\Excel\raccolta%20dati%20AIA\RELAZIONE%20DI%20RIFERIMENTO\RIFERIMENTO%202015\PROMOLOG%20SRL_verifica%20di%20sussistenza%20dell'obbligo%20di%20presentazione%20della%20relazione%20di%20riferimento.pdf" TargetMode="External"/><Relationship Id="rId27" Type="http://schemas.openxmlformats.org/officeDocument/2006/relationships/hyperlink" Target="file:///\\cofiles\..\..\Documents%20and%20Settings\cochimica\Dati%20applicazioni\Microsoft\Excel\raccolta%20dati%20AIA\raccolta%20dati%20AIA%202016\documentazione%20inviata%20per%20PEC\PROMOLOG_AIA_relazione%20dati%20caratteristici%202016.pdf" TargetMode="External"/><Relationship Id="rId30" Type="http://schemas.openxmlformats.org/officeDocument/2006/relationships/hyperlink" Target="file:///\\cofiles\..\..\Documents%20and%20Settings\cochimica\Dati%20applicazioni\Microsoft\Excel\raccolta%20dati%20AIA\RELAZIONE%20DI%20RIFERIMENTO\RIFERIMENTO%202018\RISCONTRO%20SUSSISTENZA%20RELAZIONE%20DI%20RIFERIMENTO%202018.xlsm" TargetMode="External"/><Relationship Id="rId35" Type="http://schemas.openxmlformats.org/officeDocument/2006/relationships/hyperlink" Target="file:///\\cofiles\..\..\Documents%20and%20Settings\cochimica\Dati%20applicazioni\Microsoft\Excel\raccolta%20dati%20AIA\raccolta%20dati%20AIA%202018\documentazione%20inviata%20via%20PEC\PMC%202018.xls" TargetMode="External"/><Relationship Id="rId43" Type="http://schemas.openxmlformats.org/officeDocument/2006/relationships/hyperlink" Target="raccolta%20dati%20AIA/raccolta%20dati%20AIA%202021/dati%20per%20AIA%202021.xls" TargetMode="External"/><Relationship Id="rId48" Type="http://schemas.openxmlformats.org/officeDocument/2006/relationships/hyperlink" Target="raccolta%20dati%20AIA/raccolta%20dati%20AIA%202022/documentazione%20inviata%20via%20PEC/PROMOLOG_AIA%20relazione%20dati%20caratteristici%202022.pdf" TargetMode="External"/><Relationship Id="rId8" Type="http://schemas.openxmlformats.org/officeDocument/2006/relationships/hyperlink" Target="file:///\\cofiles\..\..\Documents%20and%20Settings\cochimica\Dati%20applicazioni\Microsoft\Excel\raccolta%20dati%20AIA\raccolta%20dati%20AIA%202014\PROMOLOG%20VR%20report%20AIA%20raccolta%20dati%202014.xls" TargetMode="External"/></Relationships>
</file>

<file path=xl/worksheets/_rels/sheet33.xml.rels><?xml version="1.0" encoding="UTF-8" standalone="yes"?>
<Relationships xmlns="http://schemas.openxmlformats.org/package/2006/relationships"><Relationship Id="rId8" Type="http://schemas.openxmlformats.org/officeDocument/2006/relationships/drawing" Target="../drawings/drawing5.xml"/><Relationship Id="rId3" Type="http://schemas.openxmlformats.org/officeDocument/2006/relationships/hyperlink" Target="file:///\\cofiles\..\..\Documents%20and%20Settings\cochimica\Dati%20applicazioni\Microsoft\Excel\IMPIANTI%20RISCALDAMENTO\report%20caldaia%20molino%20%2028-12-2015.pdf" TargetMode="External"/><Relationship Id="rId7" Type="http://schemas.openxmlformats.org/officeDocument/2006/relationships/printerSettings" Target="../printerSettings/printerSettings17.bin"/><Relationship Id="rId2" Type="http://schemas.openxmlformats.org/officeDocument/2006/relationships/hyperlink" Target="file:///\\cofiles\..\..\Documents%20and%20Settings\cochimica\Dati%20applicazioni\Microsoft\Excel\IMPIANTI%20RISCALDAMENTO\report%20caldaia%20uffici%2023-12-2015.pdf" TargetMode="External"/><Relationship Id="rId1" Type="http://schemas.openxmlformats.org/officeDocument/2006/relationships/hyperlink" Target="file:///\\cofiles\..\..\Documents%20and%20Settings\cochimica\Dati%20applicazioni\Microsoft\Excel\NORME\nuovi%20libretti%20impianti%20termici%20conformi%20al%20DM%2010_02_2014.pdf" TargetMode="External"/><Relationship Id="rId6" Type="http://schemas.openxmlformats.org/officeDocument/2006/relationships/hyperlink" Target="IMPIANTI%20RISCALDAMENTO/CONTROLLI%202022/messa%20in%20servizio%20nuova%20caldaia%2023-12-2022.pdf" TargetMode="External"/><Relationship Id="rId5" Type="http://schemas.openxmlformats.org/officeDocument/2006/relationships/hyperlink" Target="IMPIANTI%20RISCALDAMENTO/dismissione%20caldaia%20del%2013_05_2022.pdf" TargetMode="External"/><Relationship Id="rId10" Type="http://schemas.openxmlformats.org/officeDocument/2006/relationships/comments" Target="../comments4.xml"/><Relationship Id="rId4" Type="http://schemas.openxmlformats.org/officeDocument/2006/relationships/hyperlink" Target="file:///\\cofiles\..\..\Documents%20and%20Settings\cochimica\Dati%20applicazioni\Microsoft\Excel\IMPIANTI%20RISCALDAMENTO\reprot%20caldaia%20spogliatoi%2023-12-2015.pdf" TargetMode="External"/><Relationship Id="rId9" Type="http://schemas.openxmlformats.org/officeDocument/2006/relationships/vmlDrawing" Target="../drawings/vmlDrawing4.vml"/></Relationships>
</file>

<file path=xl/worksheets/_rels/sheet34.xml.rels><?xml version="1.0" encoding="UTF-8" standalone="yes"?>
<Relationships xmlns="http://schemas.openxmlformats.org/package/2006/relationships"><Relationship Id="rId13" Type="http://schemas.openxmlformats.org/officeDocument/2006/relationships/hyperlink" Target="file:///\\cofiles\..\..\Documents%20and%20Settings\cochimica\Dati%20applicazioni\Microsoft\Excel\ISCRIZIONE%20MANUTENTORI%20AI%20SENSI%20DPR%2043\DICHIARAZIONI%20F%20GAS\DICHIARAZIONE%20F-GAS%20RELATIVA%20AL%202017\Dichiarazione_fgas_2017_GMI.pdf" TargetMode="External"/><Relationship Id="rId18" Type="http://schemas.openxmlformats.org/officeDocument/2006/relationships/hyperlink" Target="file:///\\cofiles\..\..\Documents%20and%20Settings\cochimica\Dati%20applicazioni\Microsoft\Excel\ISCRIZIONE%20MANUTENTORI%20AI%20SENSI%20DPR%2043\DICHIARAZIONI%20F%20GAS\CONTROLLI%20E%20VERIFICHE%202021\HITACHI%204EE44857_01183270378_IS.2326891.210426.pdf" TargetMode="External"/><Relationship Id="rId26" Type="http://schemas.openxmlformats.org/officeDocument/2006/relationships/hyperlink" Target="CONDIZIONATORI/REGISTRI%20APPARECCHIATURA/GMI%20-%20Mappatura%20Climatizzatori%20Coriano%202023.pdf" TargetMode="External"/><Relationship Id="rId39" Type="http://schemas.openxmlformats.org/officeDocument/2006/relationships/hyperlink" Target="CONDIZIONATORI/SOSTITUZIONE%20CONDIZIONATORE%20del%2005_08_2022/01183270378_IS.5315790.220902.pdf" TargetMode="External"/><Relationship Id="rId3" Type="http://schemas.openxmlformats.org/officeDocument/2006/relationships/hyperlink" Target="file:///\\cofiles\..\..\Documents%20and%20Settings\cochimica\Dati%20applicazioni\Microsoft\Excel\ISCRIZIONE%20MANUTENTORI%20AI%20SENSI%20DPR%2043\ECOASSISTANCE\MX-3111U_20130603_150729.pdf" TargetMode="External"/><Relationship Id="rId21" Type="http://schemas.openxmlformats.org/officeDocument/2006/relationships/hyperlink" Target="file:///\\cofiles\..\..\Documents%20and%20Settings\cochimica\Dati%20applicazioni\Microsoft\Excel\ISCRIZIONE%20MANUTENTORI%20AI%20SENSI%20DPR%2043\DICHIARAZIONI%20F%20GAS\CONTROLLI%20E%20VERIFICHE%202021\HITACHI%204GE74056_01183270378_IS.2327012.210426.pdf" TargetMode="External"/><Relationship Id="rId34" Type="http://schemas.openxmlformats.org/officeDocument/2006/relationships/hyperlink" Target="ISCRIZIONE%20MANUTENTORI%20AI%20SENSI%20DPR%2043/DICHIARAZIONI%20F%20GAS/CONTROLLI%20E%20VERIFICHE%202022/01183270378_IS.4437541.220510.pdf" TargetMode="External"/><Relationship Id="rId42" Type="http://schemas.openxmlformats.org/officeDocument/2006/relationships/hyperlink" Target="CONDIZIONATORI/CONTROLLI%20E%20MANUTENZIONI%20AI%20SENSI%20DEL%20REG%20517_14/CONTROLLI%20E%20MANUTENZIONI%202023/RAPPORTI%20INTERVENTI%202023/01183270378_IS.6638999.230519.pdf" TargetMode="External"/><Relationship Id="rId47" Type="http://schemas.openxmlformats.org/officeDocument/2006/relationships/hyperlink" Target="CONDIZIONATORI/CONTROLLI%20E%20MANUTENZIONI%20AI%20SENSI%20DEL%20REG%20517_14/CONTROLLI%20E%20MANUTENZIONI%202023/RAPPORTI%20INTERVENTI%202023/01183270378_IS.6639446.230519.pdf" TargetMode="External"/><Relationship Id="rId50" Type="http://schemas.openxmlformats.org/officeDocument/2006/relationships/hyperlink" Target="CONDIZIONATORI/SOSTITUZIONE%20CONDIZIONATORE%20del%2011_08_2023/00363690298_IS.7810706.231107.pdf" TargetMode="External"/><Relationship Id="rId7" Type="http://schemas.openxmlformats.org/officeDocument/2006/relationships/hyperlink" Target="file:///\\cofiles\..\..\Documents%20and%20Settings\cochimica\Dati%20applicazioni\Microsoft\Excel\ISCRIZIONE%20MANUTENTORI%20AI%20SENSI%20DPR%2043\DICHIARAZIONI%20F%20GAS\DICHIARAZIONE%20F-GAS%20RELATIVA%20AL%202014\Dichiarazione_fgas_2014_GMI.pdf" TargetMode="External"/><Relationship Id="rId12" Type="http://schemas.openxmlformats.org/officeDocument/2006/relationships/hyperlink" Target="file:///\\cofiles\..\..\Documents%20and%20Settings\cochimica\Dati%20applicazioni\Microsoft\Excel\ISCRIZIONE%20MANUTENTORI%20AI%20SENSI%20DPR%2043\DICHIARAZIONI%20F%20GAS\DICHIARAZIONE%20F-GAS%20RELATIVA%20AL%202016\Dichiarazione_fgas_2016_GMI.pdf" TargetMode="External"/><Relationship Id="rId17" Type="http://schemas.openxmlformats.org/officeDocument/2006/relationships/hyperlink" Target="file:///\\cofiles\..\..\Documents%20and%20Settings\cochimica\Dati%20applicazioni\Microsoft\Excel\ISCRIZIONE%20MANUTENTORI%20AI%20SENSI%20DPR%2043\DICHIARAZIONI%20F%20GAS\CONTROLLI%20E%20VERIFICHE%202021\CLIVET%20AC1P202H0033_01183270378_IS.2326865.210426.pdf" TargetMode="External"/><Relationship Id="rId25" Type="http://schemas.openxmlformats.org/officeDocument/2006/relationships/hyperlink" Target="file:///\\cofiles\..\..\Documents%20and%20Settings\cochimica\Dati%20applicazioni\Microsoft\Excel\CONDIZIONATORI\SOSTITUZIONE%20CONDIZIONATORE%20DEL%2011_08_2020\01183270378_IS.1296615.200824.pdf" TargetMode="External"/><Relationship Id="rId33" Type="http://schemas.openxmlformats.org/officeDocument/2006/relationships/hyperlink" Target="ISCRIZIONE%20MANUTENTORI%20AI%20SENSI%20DPR%2043/DICHIARAZIONI%20F%20GAS/CONTROLLI%20E%20VERIFICHE%202022/01183270378_IS.4437467.220510.pdf" TargetMode="External"/><Relationship Id="rId38" Type="http://schemas.openxmlformats.org/officeDocument/2006/relationships/hyperlink" Target="CONDIZIONATORI/SOSTITUZIONE%20CONDIZIONATORE%20del%2005_08_2022/01183270378_IS.5315790.220902.pdf" TargetMode="External"/><Relationship Id="rId46" Type="http://schemas.openxmlformats.org/officeDocument/2006/relationships/hyperlink" Target="CONDIZIONATORI/CONTROLLI%20E%20MANUTENZIONI%20AI%20SENSI%20DEL%20REG%20517_14/CONTROLLI%20E%20MANUTENZIONI%202023/RAPPORTI%20INTERVENTI%202023/01183270378_IS.6639306.230519.pdf" TargetMode="External"/><Relationship Id="rId2" Type="http://schemas.openxmlformats.org/officeDocument/2006/relationships/hyperlink" Target="file:///\\cofiles\..\..\Documents%20and%20Settings\cochimica\Dati%20applicazioni\Microsoft\Excel\ISCRIZIONE%20MANUTENTORI%20AI%20SENSI%20DPR%2043\DICHIARAZIONI%20F%20GAS\DICHIARAZIONE%20F-GAS%20RELATIVA%20AL%202013\dichiarazione%20F_GAS%20anno%20riferimento%202013.pdf" TargetMode="External"/><Relationship Id="rId16" Type="http://schemas.openxmlformats.org/officeDocument/2006/relationships/hyperlink" Target="file:///\\cofiles\..\..\Documents%20and%20Settings\cochimica\Dati%20applicazioni\Microsoft\Excel\CONDIZIONATORI\CONTROLLI%20EFFICIENZA%20ENERGETICA\2020\In_%20interventi%20condizionatori%2030%20aprile%202020.pdf" TargetMode="External"/><Relationship Id="rId20" Type="http://schemas.openxmlformats.org/officeDocument/2006/relationships/hyperlink" Target="file:///\\cofiles\..\..\Documents%20and%20Settings\cochimica\Dati%20applicazioni\Microsoft\Excel\ISCRIZIONE%20MANUTENTORI%20AI%20SENSI%20DPR%2043\DICHIARAZIONI%20F%20GAS\CONTROLLI%20E%20VERIFICHE%202021\HITACHI%204CE49966_01183270378_IS.2326977.210426.pdf" TargetMode="External"/><Relationship Id="rId29" Type="http://schemas.openxmlformats.org/officeDocument/2006/relationships/hyperlink" Target="file:///\\cofiles\..\..\Documents%20and%20Settings\cochimica\Dati%20applicazioni\Microsoft\Excel\CONDIZIONATORI\SOSTITUZIONE%20DEL%20CONDIZIONATORE%20DEL%2015_07_2021\01183270378_IS.2951459.210721.pdf" TargetMode="External"/><Relationship Id="rId41" Type="http://schemas.openxmlformats.org/officeDocument/2006/relationships/hyperlink" Target="CONDIZIONATORI/CONTROLLI%20E%20MANUTENZIONI%20AI%20SENSI%20DEL%20REG%20517_14/CONTROLLI%20E%20MANUTENZIONI%202023/RAPPORTI%20INTERVENTI%202023/01183270378_IS.6638842.230519.pdf" TargetMode="External"/><Relationship Id="rId54" Type="http://schemas.openxmlformats.org/officeDocument/2006/relationships/comments" Target="../comments5.xml"/><Relationship Id="rId1" Type="http://schemas.openxmlformats.org/officeDocument/2006/relationships/hyperlink" Target="file:///\\cofiles\..\..\Documents%20and%20Settings\cochimica\Dati%20applicazioni\Microsoft\Excel\ISCRIZIONE%20MANUTENTORI%20AI%20SENSI%20DPR%2043\disposizione%20DPR%2043_2012.pdf" TargetMode="External"/><Relationship Id="rId6" Type="http://schemas.openxmlformats.org/officeDocument/2006/relationships/hyperlink" Target="file:///\\cofiles\..\..\Documents%20and%20Settings\cochimica\Dati%20applicazioni\Microsoft\Excel\CONDIZIONATORI\regolamento_ue_517_16_04_2014.pdf" TargetMode="External"/><Relationship Id="rId11" Type="http://schemas.openxmlformats.org/officeDocument/2006/relationships/hyperlink" Target="file:///\\cofiles\..\..\Documents%20and%20Settings\cochimica\Dati%20applicazioni\Microsoft\Excel\CONDIZIONATORI\CONTROLLI%20E%20MANUTENZIONI%20AI%20SENSI%20DEL%20REG%20517_14\CONTROLLI%20E%20MANUTENZIONI%202016\MANUTENZIONE%20SPOGLIATOI.pdf" TargetMode="External"/><Relationship Id="rId24" Type="http://schemas.openxmlformats.org/officeDocument/2006/relationships/hyperlink" Target="file:///\\cofiles\..\..\Documents%20and%20Settings\cochimica\Dati%20applicazioni\Microsoft\Excel\ISCRIZIONE%20MANUTENTORI%20AI%20SENSI%20DPR%2043\DICHIARAZIONI%20F%20GAS\CONTROLLI%20E%20VERIFICHE%202021\HITACHI%204GE60123_01183270378_IS.2327079.210426.pdf" TargetMode="External"/><Relationship Id="rId32" Type="http://schemas.openxmlformats.org/officeDocument/2006/relationships/hyperlink" Target="ISCRIZIONE%20MANUTENTORI%20AI%20SENSI%20DPR%2043/DICHIARAZIONI%20F%20GAS/CONTROLLI%20E%20VERIFICHE%202022/01183270378_IS.4437396.220510.pdf" TargetMode="External"/><Relationship Id="rId37" Type="http://schemas.openxmlformats.org/officeDocument/2006/relationships/hyperlink" Target="ISCRIZIONE%20MANUTENTORI%20AI%20SENSI%20DPR%2043/DICHIARAZIONI%20F%20GAS/CONTROLLI%20E%20VERIFICHE%202022/01183270378_IS.4437787.220510.pdf" TargetMode="External"/><Relationship Id="rId40" Type="http://schemas.openxmlformats.org/officeDocument/2006/relationships/hyperlink" Target="CONDIZIONATORI/SOSTITUZIONE%20CONDIZIONATORE%20del%2005_08_2022/smantellamento_01183270378_IS.5610324.221025.pdf" TargetMode="External"/><Relationship Id="rId45" Type="http://schemas.openxmlformats.org/officeDocument/2006/relationships/hyperlink" Target="CONDIZIONATORI/CONTROLLI%20E%20MANUTENZIONI%20AI%20SENSI%20DEL%20REG%20517_14/CONTROLLI%20E%20MANUTENZIONI%202023/RAPPORTI%20INTERVENTI%202023/01183270378_IS.6639265.230519.pdf" TargetMode="External"/><Relationship Id="rId53" Type="http://schemas.openxmlformats.org/officeDocument/2006/relationships/vmlDrawing" Target="../drawings/vmlDrawing5.vml"/><Relationship Id="rId5" Type="http://schemas.openxmlformats.org/officeDocument/2006/relationships/hyperlink" Target="file:///\\cofiles\..\..\Documents%20and%20Settings\cochimica\Dati%20applicazioni\Microsoft\Excel\CONDIZIONATORI\CO2%20EQUIVALENTI\CALCOLO%202017\Calcoli%20CO2%20equivalenti%20Promolog.xlsx" TargetMode="External"/><Relationship Id="rId15" Type="http://schemas.openxmlformats.org/officeDocument/2006/relationships/hyperlink" Target="file:///\\cofiles\..\..\Documents%20and%20Settings\cochimica\Dati%20applicazioni\Microsoft\Excel\CONDIZIONATORI\CONTROLLI%20EFFICIENZA%20ENERGETICA\2020\In_%20interventi%20condizionatori%2030%20aprile%202020.pdf" TargetMode="External"/><Relationship Id="rId23" Type="http://schemas.openxmlformats.org/officeDocument/2006/relationships/hyperlink" Target="file:///\\cofiles\..\..\Documents%20and%20Settings\cochimica\Dati%20applicazioni\Microsoft\Excel\ISCRIZIONE%20MANUTENTORI%20AI%20SENSI%20DPR%2043\DICHIARAZIONI%20F%20GAS\CONTROLLI%20E%20VERIFICHE%202021\HITACHI%204HE88482_01183270378_IS.2327110.210426.pdf" TargetMode="External"/><Relationship Id="rId28" Type="http://schemas.openxmlformats.org/officeDocument/2006/relationships/hyperlink" Target="file:///\\cofiles\..\..\Documents%20and%20Settings\cochimica\Dati%20applicazioni\Microsoft\Excel\CONDIZIONATORI\SOSTITUZIONE%20DEL%20CONDIZIONATORE%20DEL%2015_07_2021\01183270378_IS.2951291.210721.pdf" TargetMode="External"/><Relationship Id="rId36" Type="http://schemas.openxmlformats.org/officeDocument/2006/relationships/hyperlink" Target="ISCRIZIONE%20MANUTENTORI%20AI%20SENSI%20DPR%2043/DICHIARAZIONI%20F%20GAS/CONTROLLI%20E%20VERIFICHE%202022/01183270378_IS.4437737.220510.pdf" TargetMode="External"/><Relationship Id="rId49" Type="http://schemas.openxmlformats.org/officeDocument/2006/relationships/hyperlink" Target="CONDIZIONATORI/SOSTITUZIONE%20CONDIZIONATORE%20del%2011_08_2023/00363690298_IS.7747457.231024.pdf" TargetMode="External"/><Relationship Id="rId10" Type="http://schemas.openxmlformats.org/officeDocument/2006/relationships/hyperlink" Target="file:///\\cofiles\..\..\Documents%20and%20Settings\cochimica\Dati%20applicazioni\Microsoft\Excel\CONDIZIONATORI\CONTROLLI%20E%20MANUTENZIONI%20AI%20SENSI%20DEL%20REG%20517_14\CONTROLLI%20E%20MANUTENZIONI%202016\MANUTENZIONE%20MENSA.pdf" TargetMode="External"/><Relationship Id="rId19" Type="http://schemas.openxmlformats.org/officeDocument/2006/relationships/hyperlink" Target="file:///\\cofiles\..\..\Documents%20and%20Settings\cochimica\Dati%20applicazioni\Microsoft\Excel\ISCRIZIONE%20MANUTENTORI%20AI%20SENSI%20DPR%2043\DICHIARAZIONI%20F%20GAS\CONTROLLI%20E%20VERIFICHE%202021\HITACHI%204EE6613_01183270378_IS.2326936.210426.pdf" TargetMode="External"/><Relationship Id="rId31" Type="http://schemas.openxmlformats.org/officeDocument/2006/relationships/hyperlink" Target="ISCRIZIONE%20MANUTENTORI%20AI%20SENSI%20DPR%2043/DICHIARAZIONI%20F%20GAS/CONTROLLI%20E%20VERIFICHE%202022/01183270378_IS.4437350.220510.pdf" TargetMode="External"/><Relationship Id="rId44" Type="http://schemas.openxmlformats.org/officeDocument/2006/relationships/hyperlink" Target="CONDIZIONATORI/CONTROLLI%20E%20MANUTENZIONI%20AI%20SENSI%20DEL%20REG%20517_14/CONTROLLI%20E%20MANUTENZIONI%202023/RAPPORTI%20INTERVENTI%202023/01183270378_IS.6639198.230519.pdf" TargetMode="External"/><Relationship Id="rId52" Type="http://schemas.openxmlformats.org/officeDocument/2006/relationships/printerSettings" Target="../printerSettings/printerSettings18.bin"/><Relationship Id="rId4" Type="http://schemas.openxmlformats.org/officeDocument/2006/relationships/hyperlink" Target="file:///\\cofiles\..\..\Documents%20and%20Settings\cochimica\Dati%20applicazioni\Microsoft\Excel\NORME\nuovi%20libretti%20impianti%20termici%20conformi%20al%20DM%2010_02_2014.pdf" TargetMode="External"/><Relationship Id="rId9" Type="http://schemas.openxmlformats.org/officeDocument/2006/relationships/hyperlink" Target="file:///\\cofiles\..\..\Documents%20and%20Settings\cochimica\Dati%20applicazioni\Microsoft\Excel\CONDIZIONATORI\CONTROLLI%20E%20MANUTENZIONI%20AI%20SENSI%20DEL%20REG%20517_14\CONTROLLI%20E%20MANUTENZIONI%202016\MANUTENZIONE%20CLIVET.pdf" TargetMode="External"/><Relationship Id="rId14" Type="http://schemas.openxmlformats.org/officeDocument/2006/relationships/hyperlink" Target="file:///\\cofiles\..\..\Documents%20and%20Settings\cochimica\Dati%20applicazioni\Microsoft\Excel\CONDIZIONATORI\CONTROLLI%20E%20MANUTENZIONI%20AI%20SENSI%20DEL%20REG%20517_14\CONTROLLI%202019\rapportino%20faoro%2030_04_2019.pdf" TargetMode="External"/><Relationship Id="rId22" Type="http://schemas.openxmlformats.org/officeDocument/2006/relationships/hyperlink" Target="file:///\\cofiles\..\..\Documents%20and%20Settings\cochimica\Dati%20applicazioni\Microsoft\Excel\ISCRIZIONE%20MANUTENTORI%20AI%20SENSI%20DPR%2043\DICHIARAZIONI%20F%20GAS\CONTROLLI%20E%20VERIFICHE%202021\HITACHI%20U46J8011_01183270378_IS.2327024.210426.pdf" TargetMode="External"/><Relationship Id="rId27" Type="http://schemas.openxmlformats.org/officeDocument/2006/relationships/hyperlink" Target="file:///\\cofiles\..\..\Documents%20and%20Settings\cochimica\Dati%20applicazioni\Microsoft\Excel\CONDIZIONATORI\SOSTITUZIONE%20CONDIZIONATORE%20DEL%2011_08_2020\GMI%20-%20Registro%209%20-%20UFFICIO%20CONTROL%20ROOM%20MAG%202020.pdf" TargetMode="External"/><Relationship Id="rId30" Type="http://schemas.openxmlformats.org/officeDocument/2006/relationships/hyperlink" Target="ISCRIZIONE%20MANUTENTORI%20AI%20SENSI%20DPR%2043/DICHIARAZIONI%20F%20GAS/CONTROLLI%20E%20VERIFICHE%202022/01183270378_IS.4437268.220510.pdf" TargetMode="External"/><Relationship Id="rId35" Type="http://schemas.openxmlformats.org/officeDocument/2006/relationships/hyperlink" Target="ISCRIZIONE%20MANUTENTORI%20AI%20SENSI%20DPR%2043/DICHIARAZIONI%20F%20GAS/CONTROLLI%20E%20VERIFICHE%202022/01183270378_IS.4437680.220510.pdf" TargetMode="External"/><Relationship Id="rId43" Type="http://schemas.openxmlformats.org/officeDocument/2006/relationships/hyperlink" Target="CONDIZIONATORI/CONTROLLI%20E%20MANUTENZIONI%20AI%20SENSI%20DEL%20REG%20517_14/CONTROLLI%20E%20MANUTENZIONI%202023/RAPPORTI%20INTERVENTI%202023/01183270378_IS.6639121.230519.pdf" TargetMode="External"/><Relationship Id="rId48" Type="http://schemas.openxmlformats.org/officeDocument/2006/relationships/hyperlink" Target="CONDIZIONATORI/CONTROLLI%20E%20MANUTENZIONI%20AI%20SENSI%20DEL%20REG%20517_14/CONTROLLI%20E%20MANUTENZIONI%202023/RAPPORTI%20INTERVENTI%202023/01183270378_IS.6639534.230519.pdf" TargetMode="External"/><Relationship Id="rId8" Type="http://schemas.openxmlformats.org/officeDocument/2006/relationships/hyperlink" Target="file:///\\cofiles\..\..\Documents%20and%20Settings\cochimica\Dati%20applicazioni\Microsoft\Excel\ISCRIZIONE%20MANUTENTORI%20AI%20SENSI%20DPR%2043\DICHIARAZIONI%20F%20GAS\DICHIARAZIONE%20F-GAS%20RELATIVA%20AL%202015\Dichiarazione_fgas_2015_GMI.pdf" TargetMode="External"/><Relationship Id="rId51" Type="http://schemas.openxmlformats.org/officeDocument/2006/relationships/hyperlink" Target="CONDIZIONATORI/REGISTRI%20APPARECCHIATURA/GMI%20-%20Registro%202-2A%20-%20CABINA%20TRASF%202023.pdf" TargetMode="External"/></Relationships>
</file>

<file path=xl/worksheets/_rels/sheet35.xml.rels><?xml version="1.0" encoding="UTF-8" standalone="yes"?>
<Relationships xmlns="http://schemas.openxmlformats.org/package/2006/relationships"><Relationship Id="rId3" Type="http://schemas.openxmlformats.org/officeDocument/2006/relationships/hyperlink" Target="file:///\\cofiles\..\..\Documents%20and%20Settings\cochimica\Dati%20applicazioni\Microsoft\Excel\14001\14001%20STUDIO%20BSA\FORMAZIONE\CV%20Piano%20Annuale%20di%20Formazione%20e%20Addestramento%202018%20rev%201.xls" TargetMode="External"/><Relationship Id="rId7" Type="http://schemas.openxmlformats.org/officeDocument/2006/relationships/printerSettings" Target="../printerSettings/printerSettings19.bin"/><Relationship Id="rId2" Type="http://schemas.openxmlformats.org/officeDocument/2006/relationships/hyperlink" Target="file:///\\cofiles\..\..\Documents%20and%20Settings\cochimica\Dati%20applicazioni\Microsoft\Excel\14001\14001%20STUDIO%20BSA\FORMAZIONE\Piano%20Annuale%20di%20Formazione%20e%20Addestramento%202019.xls" TargetMode="External"/><Relationship Id="rId1" Type="http://schemas.openxmlformats.org/officeDocument/2006/relationships/hyperlink" Target="file:///\\cofiles\..\..\Documents%20and%20Settings\cochimica\Dati%20applicazioni\Microsoft\Excel\14001\14001%20STUDIO%20BSA\FORMAZIONE\Piano%20Annuale%20di%20Formazione%20e%20Addestramento%202020%20rev2.xls" TargetMode="External"/><Relationship Id="rId6" Type="http://schemas.openxmlformats.org/officeDocument/2006/relationships/hyperlink" Target="../FORMAZIONE/2023/Piano%20Annuale%20di%20Formazione%20e%20Addestramento%202023%20_VR%20REV%2002.xls" TargetMode="External"/><Relationship Id="rId5" Type="http://schemas.openxmlformats.org/officeDocument/2006/relationships/hyperlink" Target="14001/14001%20STUDIO%20BSA/FORMAZIONE/Piano%20Annuale%20di%20Formazione%20e%20Addestramento%202021_2022_VR%20rev%201.xls" TargetMode="External"/><Relationship Id="rId4" Type="http://schemas.openxmlformats.org/officeDocument/2006/relationships/hyperlink" Target="file:///\\cofiles\..\..\Documents%20and%20Settings\cochimica\Dati%20applicazioni\Microsoft\Excel\14001\14001%20STUDIO%20BSA\FORMAZIONE\Piano%20Annuale%20di%20Formazione%20e%20Addestramento%202021.xlsx" TargetMode="External"/></Relationships>
</file>

<file path=xl/worksheets/_rels/sheet3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D3:M26"/>
  <sheetViews>
    <sheetView workbookViewId="0">
      <selection activeCell="D7" sqref="D7"/>
    </sheetView>
  </sheetViews>
  <sheetFormatPr defaultRowHeight="13.2" x14ac:dyDescent="0.25"/>
  <cols>
    <col min="1" max="1" width="3.44140625" customWidth="1"/>
    <col min="2" max="2" width="2.88671875" customWidth="1"/>
    <col min="3" max="3" width="5.33203125" customWidth="1"/>
    <col min="4" max="4" width="48.6640625" customWidth="1"/>
    <col min="5" max="5" width="25.109375" style="10" customWidth="1"/>
    <col min="6" max="6" width="19.33203125" style="10" customWidth="1"/>
  </cols>
  <sheetData>
    <row r="3" spans="4:13" ht="13.8" thickBot="1" x14ac:dyDescent="0.3"/>
    <row r="4" spans="4:13" ht="45" customHeight="1" thickBot="1" x14ac:dyDescent="0.3">
      <c r="D4" s="1068" t="s">
        <v>1069</v>
      </c>
      <c r="E4" s="1069"/>
      <c r="F4" s="1069"/>
      <c r="G4" s="1069"/>
      <c r="H4" s="1069"/>
      <c r="I4" s="1069"/>
      <c r="J4" s="1069"/>
      <c r="K4" s="1069"/>
      <c r="L4" s="1069"/>
      <c r="M4" s="1070"/>
    </row>
    <row r="6" spans="4:13" s="12" customFormat="1" ht="22.95" customHeight="1" x14ac:dyDescent="0.25">
      <c r="D6" s="1048"/>
      <c r="E6" s="448" t="s">
        <v>1070</v>
      </c>
      <c r="F6" s="448" t="s">
        <v>153</v>
      </c>
    </row>
    <row r="7" spans="4:13" s="1051" customFormat="1" ht="13.2" customHeight="1" x14ac:dyDescent="0.25">
      <c r="D7" s="1052" t="s">
        <v>1084</v>
      </c>
      <c r="E7" s="1050"/>
      <c r="F7" s="1050"/>
    </row>
    <row r="8" spans="4:13" x14ac:dyDescent="0.25">
      <c r="D8" s="202" t="s">
        <v>1071</v>
      </c>
      <c r="E8" s="134" t="s">
        <v>1082</v>
      </c>
      <c r="F8" s="97"/>
    </row>
    <row r="9" spans="4:13" x14ac:dyDescent="0.25">
      <c r="D9" s="202" t="s">
        <v>1072</v>
      </c>
      <c r="E9" s="134" t="s">
        <v>1082</v>
      </c>
      <c r="F9" s="97"/>
    </row>
    <row r="10" spans="4:13" x14ac:dyDescent="0.25">
      <c r="D10" s="202" t="s">
        <v>1073</v>
      </c>
      <c r="E10" s="134" t="s">
        <v>1082</v>
      </c>
      <c r="F10" s="97"/>
    </row>
    <row r="11" spans="4:13" x14ac:dyDescent="0.25">
      <c r="D11" s="202" t="s">
        <v>1074</v>
      </c>
      <c r="E11" s="134" t="s">
        <v>1082</v>
      </c>
      <c r="F11" s="97"/>
    </row>
    <row r="12" spans="4:13" x14ac:dyDescent="0.25">
      <c r="D12" s="202" t="s">
        <v>1075</v>
      </c>
      <c r="E12" s="134" t="s">
        <v>1082</v>
      </c>
      <c r="F12" s="97"/>
    </row>
    <row r="13" spans="4:13" x14ac:dyDescent="0.25">
      <c r="D13" s="202" t="s">
        <v>1076</v>
      </c>
      <c r="E13" s="134" t="s">
        <v>1082</v>
      </c>
      <c r="F13" s="97"/>
    </row>
    <row r="14" spans="4:13" x14ac:dyDescent="0.25">
      <c r="D14" s="202" t="s">
        <v>1077</v>
      </c>
      <c r="E14" s="134" t="s">
        <v>1082</v>
      </c>
      <c r="F14" s="97"/>
    </row>
    <row r="15" spans="4:13" x14ac:dyDescent="0.25">
      <c r="D15" s="202" t="s">
        <v>1078</v>
      </c>
      <c r="E15" s="134" t="s">
        <v>1082</v>
      </c>
      <c r="F15" s="97"/>
    </row>
    <row r="16" spans="4:13" x14ac:dyDescent="0.25">
      <c r="D16" s="202" t="s">
        <v>1079</v>
      </c>
      <c r="E16" s="134" t="s">
        <v>1082</v>
      </c>
      <c r="F16" s="97"/>
    </row>
    <row r="17" spans="4:6" x14ac:dyDescent="0.25">
      <c r="D17" s="202" t="s">
        <v>1080</v>
      </c>
      <c r="E17" s="134" t="s">
        <v>1082</v>
      </c>
      <c r="F17" s="97"/>
    </row>
    <row r="18" spans="4:6" x14ac:dyDescent="0.25">
      <c r="D18" s="27"/>
      <c r="E18" s="134" t="s">
        <v>1082</v>
      </c>
      <c r="F18" s="97"/>
    </row>
    <row r="19" spans="4:6" x14ac:dyDescent="0.25">
      <c r="D19" s="202" t="s">
        <v>1081</v>
      </c>
      <c r="E19" s="134"/>
      <c r="F19" s="97"/>
    </row>
    <row r="20" spans="4:6" x14ac:dyDescent="0.25">
      <c r="D20" s="27"/>
      <c r="E20" s="97"/>
      <c r="F20" s="97"/>
    </row>
    <row r="21" spans="4:6" x14ac:dyDescent="0.25">
      <c r="D21" s="27"/>
      <c r="E21" s="97"/>
      <c r="F21" s="97"/>
    </row>
    <row r="22" spans="4:6" x14ac:dyDescent="0.25">
      <c r="D22" s="27"/>
      <c r="E22" s="97"/>
      <c r="F22" s="97"/>
    </row>
    <row r="23" spans="4:6" x14ac:dyDescent="0.25">
      <c r="D23" s="27"/>
      <c r="E23" s="97"/>
      <c r="F23" s="97"/>
    </row>
    <row r="24" spans="4:6" x14ac:dyDescent="0.25">
      <c r="D24" s="27"/>
      <c r="E24" s="97"/>
      <c r="F24" s="97"/>
    </row>
    <row r="25" spans="4:6" x14ac:dyDescent="0.25">
      <c r="D25" s="27"/>
      <c r="E25" s="97"/>
      <c r="F25" s="97"/>
    </row>
    <row r="26" spans="4:6" x14ac:dyDescent="0.25">
      <c r="D26" s="27"/>
      <c r="E26" s="97"/>
      <c r="F26" s="97"/>
    </row>
  </sheetData>
  <mergeCells count="1">
    <mergeCell ref="D4:M4"/>
  </mergeCells>
  <hyperlinks>
    <hyperlink ref="D8" location="'schede sicurezza prodotti'!A1" display="Schede sicurezza prodotti" xr:uid="{00000000-0004-0000-0000-000000000000}"/>
    <hyperlink ref="D9" location="'elenco accumulatori'!A1" display="Elenco accumulatori" xr:uid="{00000000-0004-0000-0000-000001000000}"/>
    <hyperlink ref="D11" location="'Kit in USO'!A1" display="KIT in USO (prodotto neutralizzante le soluzioni acide)" xr:uid="{00000000-0004-0000-0000-000002000000}"/>
    <hyperlink ref="D10" location="'kit SCADUTO'!A1" display="KIT SCADUTO (proodtto neutralizzante le soluzioni acide)" xr:uid="{00000000-0004-0000-0000-000003000000}"/>
    <hyperlink ref="D12" location="'Registro Legislativo'!A1" display="Registro Legislativo" xr:uid="{00000000-0004-0000-0000-000004000000}"/>
    <hyperlink ref="D16" location="'Emissioni in atm '!A1" display="Emiss. In atmosfera" xr:uid="{00000000-0004-0000-0000-000005000000}"/>
    <hyperlink ref="D15" location="'autorizzazioni fornitori'!A1" display="Autorizzazioni fornitori (rifiuti)" xr:uid="{00000000-0004-0000-0000-000006000000}"/>
    <hyperlink ref="D14" location="'contratti fornitori'!A1" display="Contratti fornitori (rifiuti)" xr:uid="{00000000-0004-0000-0000-000007000000}"/>
    <hyperlink ref="D17" location="'Prevenzione incendi'!A1" display="Prevenzione Incendi" xr:uid="{00000000-0004-0000-0000-000008000000}"/>
    <hyperlink ref="D13" location="adempimenti!A1" display="Adempimenti" xr:uid="{00000000-0004-0000-0000-000009000000}"/>
    <hyperlink ref="D19" location="'INDICATORI DI PRESTAZIONE'!A1" display="Indicatori di prestazione" xr:uid="{00000000-0004-0000-0000-00000A000000}"/>
    <hyperlink ref="D7" location="'SCADENZE complessive'!A1" display="SCADENZE complessive" xr:uid="{00000000-0004-0000-0000-00000B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K62"/>
  <sheetViews>
    <sheetView tabSelected="1" workbookViewId="0">
      <pane xSplit="3" ySplit="4" topLeftCell="D5" activePane="bottomRight" state="frozen"/>
      <selection pane="topRight" activeCell="D1" sqref="D1"/>
      <selection pane="bottomLeft" activeCell="A5" sqref="A5"/>
      <selection pane="bottomRight" activeCell="G6" sqref="G6"/>
    </sheetView>
  </sheetViews>
  <sheetFormatPr defaultRowHeight="13.2" x14ac:dyDescent="0.25"/>
  <cols>
    <col min="1" max="1" width="10.109375" customWidth="1"/>
    <col min="2" max="2" width="15.5546875" customWidth="1"/>
    <col min="3" max="4" width="18.33203125" customWidth="1"/>
    <col min="5" max="6" width="16.6640625" customWidth="1"/>
    <col min="7" max="7" width="107" customWidth="1"/>
    <col min="8" max="8" width="24" customWidth="1"/>
    <col min="9" max="10" width="19.6640625" customWidth="1"/>
    <col min="11" max="11" width="14" customWidth="1"/>
  </cols>
  <sheetData>
    <row r="1" spans="1:11" ht="15" customHeight="1" thickBot="1" x14ac:dyDescent="0.3">
      <c r="A1" s="1053" t="s">
        <v>1083</v>
      </c>
    </row>
    <row r="3" spans="1:11" ht="13.8" thickBot="1" x14ac:dyDescent="0.3"/>
    <row r="4" spans="1:11" s="5" customFormat="1" ht="45" customHeight="1" thickBot="1" x14ac:dyDescent="0.3">
      <c r="B4" s="1058" t="s">
        <v>1124</v>
      </c>
      <c r="C4" s="1060" t="s">
        <v>1087</v>
      </c>
      <c r="D4" s="1059" t="s">
        <v>1125</v>
      </c>
      <c r="E4" s="1061" t="s">
        <v>1088</v>
      </c>
      <c r="F4" s="1061" t="s">
        <v>1127</v>
      </c>
      <c r="G4" s="1062" t="s">
        <v>1085</v>
      </c>
      <c r="H4" s="1063" t="s">
        <v>1108</v>
      </c>
      <c r="I4" s="1063" t="s">
        <v>1111</v>
      </c>
      <c r="J4" s="1063" t="s">
        <v>1112</v>
      </c>
      <c r="K4" s="1064" t="s">
        <v>1110</v>
      </c>
    </row>
    <row r="5" spans="1:11" ht="15.6" x14ac:dyDescent="0.3">
      <c r="B5" s="1065" t="s">
        <v>1126</v>
      </c>
      <c r="C5" s="1055">
        <v>45777</v>
      </c>
      <c r="D5" s="1055"/>
      <c r="E5" s="348" t="s">
        <v>930</v>
      </c>
      <c r="F5" s="348"/>
      <c r="G5" s="97" t="s">
        <v>1105</v>
      </c>
      <c r="H5" s="97"/>
      <c r="I5" s="97"/>
      <c r="J5" s="97"/>
      <c r="K5" s="97"/>
    </row>
    <row r="6" spans="1:11" ht="15.6" x14ac:dyDescent="0.3">
      <c r="B6" s="1065" t="s">
        <v>1126</v>
      </c>
      <c r="C6" s="1056">
        <v>45817</v>
      </c>
      <c r="D6" s="1056"/>
      <c r="E6" s="1057">
        <v>45812</v>
      </c>
      <c r="F6" s="1057"/>
      <c r="G6" s="100" t="s">
        <v>1086</v>
      </c>
      <c r="H6" s="100" t="s">
        <v>1114</v>
      </c>
      <c r="I6" s="100" t="s">
        <v>1115</v>
      </c>
      <c r="J6" s="97"/>
      <c r="K6" s="97"/>
    </row>
    <row r="7" spans="1:11" ht="15.6" x14ac:dyDescent="0.3">
      <c r="B7" s="1065" t="s">
        <v>1126</v>
      </c>
      <c r="C7" s="1055">
        <v>45823</v>
      </c>
      <c r="D7" s="1055"/>
      <c r="E7" s="1057">
        <v>45821</v>
      </c>
      <c r="F7" s="1057"/>
      <c r="G7" s="100" t="s">
        <v>1107</v>
      </c>
      <c r="H7" s="97"/>
      <c r="I7" s="97"/>
      <c r="J7" s="97"/>
      <c r="K7" s="97"/>
    </row>
    <row r="8" spans="1:11" ht="15.6" x14ac:dyDescent="0.3">
      <c r="B8" s="1065" t="s">
        <v>1126</v>
      </c>
      <c r="C8" s="1055">
        <v>45835</v>
      </c>
      <c r="D8" s="1055"/>
      <c r="E8" s="1057">
        <v>45824</v>
      </c>
      <c r="F8" s="1057"/>
      <c r="G8" s="440" t="s">
        <v>1106</v>
      </c>
      <c r="H8" s="100" t="s">
        <v>1116</v>
      </c>
      <c r="I8" s="97"/>
      <c r="J8" s="97"/>
      <c r="K8" s="97"/>
    </row>
    <row r="9" spans="1:11" ht="15.6" x14ac:dyDescent="0.3">
      <c r="B9" s="1065" t="s">
        <v>1126</v>
      </c>
      <c r="C9" s="1055">
        <v>45838</v>
      </c>
      <c r="D9" s="1055"/>
      <c r="E9" s="348"/>
      <c r="F9" s="348"/>
      <c r="G9" s="440" t="s">
        <v>1089</v>
      </c>
      <c r="H9" s="97"/>
      <c r="I9" s="97"/>
      <c r="J9" s="97"/>
      <c r="K9" s="97"/>
    </row>
    <row r="10" spans="1:11" ht="15.6" x14ac:dyDescent="0.3">
      <c r="B10" s="1065" t="s">
        <v>1126</v>
      </c>
      <c r="C10" s="1055">
        <v>45838</v>
      </c>
      <c r="D10" s="1055"/>
      <c r="E10" s="1057">
        <v>45838</v>
      </c>
      <c r="F10" s="1057"/>
      <c r="G10" s="440" t="s">
        <v>1090</v>
      </c>
      <c r="H10" s="97"/>
      <c r="I10" s="97"/>
      <c r="J10" s="97"/>
      <c r="K10" s="97"/>
    </row>
    <row r="11" spans="1:11" ht="15.6" x14ac:dyDescent="0.3">
      <c r="B11" s="1065" t="s">
        <v>1126</v>
      </c>
      <c r="C11" s="1055">
        <v>45838</v>
      </c>
      <c r="D11" s="1055"/>
      <c r="E11" s="1057">
        <v>38528</v>
      </c>
      <c r="F11" s="1057"/>
      <c r="G11" s="97" t="s">
        <v>1092</v>
      </c>
      <c r="H11" s="100" t="s">
        <v>1109</v>
      </c>
      <c r="I11" s="134">
        <v>45814</v>
      </c>
      <c r="J11" s="97"/>
      <c r="K11" s="97"/>
    </row>
    <row r="12" spans="1:11" ht="15.6" x14ac:dyDescent="0.3">
      <c r="B12" s="1065" t="s">
        <v>1126</v>
      </c>
      <c r="C12" s="1055">
        <v>45838</v>
      </c>
      <c r="D12" s="1055"/>
      <c r="E12" s="348"/>
      <c r="F12" s="348"/>
      <c r="G12" s="97" t="s">
        <v>1094</v>
      </c>
      <c r="H12" s="97"/>
      <c r="I12" s="97"/>
      <c r="J12" s="97"/>
      <c r="K12" s="97"/>
    </row>
    <row r="13" spans="1:11" ht="15.6" x14ac:dyDescent="0.3">
      <c r="B13" s="1065" t="s">
        <v>1126</v>
      </c>
      <c r="C13" s="1056">
        <v>45838</v>
      </c>
      <c r="D13" s="1056"/>
      <c r="E13" s="348"/>
      <c r="F13" s="348"/>
      <c r="G13" s="97" t="s">
        <v>1113</v>
      </c>
      <c r="H13" s="97"/>
      <c r="I13" s="97"/>
      <c r="J13" s="97"/>
      <c r="K13" s="97"/>
    </row>
    <row r="14" spans="1:11" ht="15.6" x14ac:dyDescent="0.3">
      <c r="B14" s="1065" t="s">
        <v>1126</v>
      </c>
      <c r="C14" s="1055">
        <v>45869</v>
      </c>
      <c r="D14" s="1055"/>
      <c r="E14" s="348"/>
      <c r="F14" s="348"/>
      <c r="G14" s="97" t="s">
        <v>1092</v>
      </c>
      <c r="H14" s="97"/>
      <c r="I14" s="97"/>
      <c r="J14" s="97"/>
      <c r="K14" s="97"/>
    </row>
    <row r="15" spans="1:11" ht="15.6" x14ac:dyDescent="0.3">
      <c r="B15" s="1065" t="s">
        <v>1126</v>
      </c>
      <c r="C15" s="1055">
        <v>45871</v>
      </c>
      <c r="D15" s="1055"/>
      <c r="E15" s="546">
        <v>45861</v>
      </c>
      <c r="F15" s="546"/>
      <c r="G15" s="97" t="s">
        <v>1102</v>
      </c>
      <c r="H15" s="100" t="s">
        <v>1117</v>
      </c>
      <c r="I15" s="97"/>
      <c r="J15" s="97"/>
      <c r="K15" s="97"/>
    </row>
    <row r="16" spans="1:11" ht="15.6" x14ac:dyDescent="0.3">
      <c r="B16" s="1065" t="s">
        <v>1126</v>
      </c>
      <c r="C16" s="1055">
        <v>45899</v>
      </c>
      <c r="D16" s="1055"/>
      <c r="E16" s="348"/>
      <c r="F16" s="348"/>
      <c r="G16" s="97" t="s">
        <v>1092</v>
      </c>
      <c r="H16" s="97"/>
      <c r="I16" s="97"/>
      <c r="J16" s="97"/>
      <c r="K16" s="97"/>
    </row>
    <row r="17" spans="2:11" ht="15.6" x14ac:dyDescent="0.3">
      <c r="B17" s="1065" t="s">
        <v>1126</v>
      </c>
      <c r="C17" s="1055">
        <v>45899</v>
      </c>
      <c r="D17" s="1055"/>
      <c r="E17" s="348"/>
      <c r="F17" s="348"/>
      <c r="G17" s="97" t="s">
        <v>1099</v>
      </c>
      <c r="H17" s="97"/>
      <c r="I17" s="97"/>
      <c r="J17" s="97"/>
      <c r="K17" s="97"/>
    </row>
    <row r="18" spans="2:11" ht="15.6" x14ac:dyDescent="0.3">
      <c r="B18" s="1065" t="s">
        <v>1126</v>
      </c>
      <c r="C18" s="1055">
        <v>45899</v>
      </c>
      <c r="D18" s="1055"/>
      <c r="E18" s="348"/>
      <c r="F18" s="348"/>
      <c r="G18" s="97" t="s">
        <v>1105</v>
      </c>
      <c r="H18" s="97"/>
      <c r="I18" s="97"/>
      <c r="J18" s="97"/>
      <c r="K18" s="97"/>
    </row>
    <row r="19" spans="2:11" ht="15.6" x14ac:dyDescent="0.3">
      <c r="B19" s="1065" t="s">
        <v>1126</v>
      </c>
      <c r="C19" s="1055">
        <v>45930</v>
      </c>
      <c r="D19" s="1055"/>
      <c r="E19" s="348"/>
      <c r="F19" s="348"/>
      <c r="G19" s="440" t="s">
        <v>1100</v>
      </c>
      <c r="H19" s="97"/>
      <c r="I19" s="97"/>
      <c r="J19" s="97"/>
      <c r="K19" s="97"/>
    </row>
    <row r="20" spans="2:11" ht="15.6" x14ac:dyDescent="0.3">
      <c r="B20" s="1065" t="s">
        <v>1126</v>
      </c>
      <c r="C20" s="1055">
        <v>45991</v>
      </c>
      <c r="D20" s="1055"/>
      <c r="E20" s="348"/>
      <c r="F20" s="348"/>
      <c r="G20" s="97" t="s">
        <v>1098</v>
      </c>
      <c r="H20" s="97"/>
      <c r="I20" s="97"/>
      <c r="J20" s="97"/>
      <c r="K20" s="97"/>
    </row>
    <row r="21" spans="2:11" ht="15.6" x14ac:dyDescent="0.3">
      <c r="B21" s="1065" t="s">
        <v>1126</v>
      </c>
      <c r="C21" s="1055">
        <v>45991</v>
      </c>
      <c r="D21" s="1055"/>
      <c r="E21" s="348"/>
      <c r="F21" s="348"/>
      <c r="G21" s="97" t="s">
        <v>1094</v>
      </c>
      <c r="H21" s="97"/>
      <c r="I21" s="97"/>
      <c r="J21" s="97"/>
      <c r="K21" s="97"/>
    </row>
    <row r="22" spans="2:11" ht="15.6" x14ac:dyDescent="0.3">
      <c r="B22" s="1065" t="s">
        <v>1126</v>
      </c>
      <c r="C22" s="1055">
        <v>46022</v>
      </c>
      <c r="D22" s="1055"/>
      <c r="E22" s="348"/>
      <c r="F22" s="348"/>
      <c r="G22" s="97" t="s">
        <v>1095</v>
      </c>
      <c r="H22" s="97"/>
      <c r="I22" s="97"/>
      <c r="J22" s="97"/>
      <c r="K22" s="97"/>
    </row>
    <row r="23" spans="2:11" ht="15.6" x14ac:dyDescent="0.3">
      <c r="B23" s="1065" t="s">
        <v>1126</v>
      </c>
      <c r="C23" s="1055">
        <v>46022</v>
      </c>
      <c r="D23" s="1055"/>
      <c r="E23" s="348"/>
      <c r="F23" s="348"/>
      <c r="G23" s="440" t="s">
        <v>1104</v>
      </c>
      <c r="H23" s="97"/>
      <c r="I23" s="97"/>
      <c r="J23" s="97"/>
      <c r="K23" s="97"/>
    </row>
    <row r="24" spans="2:11" ht="15.6" x14ac:dyDescent="0.3">
      <c r="B24" s="1065" t="s">
        <v>1126</v>
      </c>
      <c r="C24" s="1055">
        <v>46022</v>
      </c>
      <c r="D24" s="1055"/>
      <c r="E24" s="348"/>
      <c r="F24" s="348"/>
      <c r="G24" s="97" t="s">
        <v>1105</v>
      </c>
      <c r="H24" s="97"/>
      <c r="I24" s="97"/>
      <c r="J24" s="97"/>
      <c r="K24" s="97"/>
    </row>
    <row r="25" spans="2:11" ht="15.6" x14ac:dyDescent="0.3">
      <c r="B25" s="1065" t="s">
        <v>1126</v>
      </c>
      <c r="C25" s="1055">
        <v>46053</v>
      </c>
      <c r="D25" s="1055"/>
      <c r="E25" s="545" t="s">
        <v>1133</v>
      </c>
      <c r="F25" s="545" t="s">
        <v>1134</v>
      </c>
      <c r="G25" s="97" t="s">
        <v>1093</v>
      </c>
      <c r="H25" s="440" t="s">
        <v>1135</v>
      </c>
      <c r="I25" s="97"/>
      <c r="J25" s="97"/>
      <c r="K25" s="97"/>
    </row>
    <row r="26" spans="2:11" ht="15.6" x14ac:dyDescent="0.3">
      <c r="B26" s="1065" t="s">
        <v>1126</v>
      </c>
      <c r="C26" s="1055">
        <v>46142</v>
      </c>
      <c r="D26" s="1055"/>
      <c r="E26" s="348"/>
      <c r="F26" s="348"/>
      <c r="G26" s="97" t="s">
        <v>1103</v>
      </c>
      <c r="H26" s="97"/>
      <c r="I26" s="97"/>
      <c r="J26" s="97"/>
      <c r="K26" s="97"/>
    </row>
    <row r="27" spans="2:11" ht="15.6" x14ac:dyDescent="0.3">
      <c r="B27" s="1065" t="s">
        <v>1126</v>
      </c>
      <c r="C27" s="1055">
        <v>46142</v>
      </c>
      <c r="D27" s="1055"/>
      <c r="E27" s="348"/>
      <c r="F27" s="348"/>
      <c r="G27" s="440" t="s">
        <v>1097</v>
      </c>
      <c r="H27" s="97"/>
      <c r="I27" s="97"/>
      <c r="J27" s="97"/>
      <c r="K27" s="97"/>
    </row>
    <row r="28" spans="2:11" ht="15.6" x14ac:dyDescent="0.3">
      <c r="B28" s="1065" t="s">
        <v>1126</v>
      </c>
      <c r="C28" s="1055">
        <v>46142</v>
      </c>
      <c r="D28" s="1055"/>
      <c r="E28" s="348"/>
      <c r="F28" s="348"/>
      <c r="G28" s="97" t="s">
        <v>1105</v>
      </c>
      <c r="H28" s="97"/>
      <c r="I28" s="97"/>
      <c r="J28" s="97"/>
      <c r="K28" s="97"/>
    </row>
    <row r="29" spans="2:11" ht="15.6" x14ac:dyDescent="0.3">
      <c r="B29" s="1065" t="s">
        <v>1126</v>
      </c>
      <c r="C29" s="1055">
        <v>46203</v>
      </c>
      <c r="D29" s="1055"/>
      <c r="E29" s="348"/>
      <c r="F29" s="348"/>
      <c r="G29" s="97" t="s">
        <v>1091</v>
      </c>
      <c r="H29" s="97"/>
      <c r="I29" s="97"/>
      <c r="J29" s="97"/>
      <c r="K29" s="97"/>
    </row>
    <row r="30" spans="2:11" ht="15.6" x14ac:dyDescent="0.3">
      <c r="B30" s="1065" t="s">
        <v>1126</v>
      </c>
      <c r="C30" s="1055">
        <v>46203</v>
      </c>
      <c r="D30" s="1055"/>
      <c r="E30" s="348"/>
      <c r="F30" s="348"/>
      <c r="G30" s="97" t="s">
        <v>1094</v>
      </c>
      <c r="H30" s="97"/>
      <c r="I30" s="97"/>
      <c r="J30" s="97"/>
      <c r="K30" s="97"/>
    </row>
    <row r="31" spans="2:11" ht="15.6" x14ac:dyDescent="0.3">
      <c r="B31" s="1065" t="s">
        <v>1126</v>
      </c>
      <c r="C31" s="1055">
        <v>46356</v>
      </c>
      <c r="D31" s="1055"/>
      <c r="E31" s="348"/>
      <c r="F31" s="348"/>
      <c r="G31" s="97" t="s">
        <v>1094</v>
      </c>
      <c r="H31" s="97"/>
      <c r="I31" s="97"/>
      <c r="J31" s="97"/>
      <c r="K31" s="97"/>
    </row>
    <row r="32" spans="2:11" ht="15.6" x14ac:dyDescent="0.3">
      <c r="B32" s="1065" t="s">
        <v>1126</v>
      </c>
      <c r="C32" s="1055">
        <v>46387</v>
      </c>
      <c r="D32" s="1055"/>
      <c r="E32" s="348"/>
      <c r="F32" s="348"/>
      <c r="G32" s="97" t="s">
        <v>1096</v>
      </c>
      <c r="H32" s="97"/>
      <c r="I32" s="97"/>
      <c r="J32" s="97"/>
      <c r="K32" s="97"/>
    </row>
    <row r="33" spans="2:11" ht="15.6" x14ac:dyDescent="0.3">
      <c r="B33" s="1065" t="s">
        <v>1126</v>
      </c>
      <c r="C33" s="1055">
        <v>46721</v>
      </c>
      <c r="D33" s="1055"/>
      <c r="E33" s="348"/>
      <c r="F33" s="348"/>
      <c r="G33" s="97" t="s">
        <v>1101</v>
      </c>
      <c r="H33" s="97"/>
      <c r="I33" s="97"/>
      <c r="J33" s="97"/>
      <c r="K33" s="97"/>
    </row>
    <row r="34" spans="2:11" ht="15.6" x14ac:dyDescent="0.3">
      <c r="B34" s="1065" t="s">
        <v>1126</v>
      </c>
      <c r="C34" s="1055">
        <v>46234</v>
      </c>
      <c r="D34" s="1054"/>
      <c r="E34" s="97"/>
      <c r="F34" s="348" t="s">
        <v>1129</v>
      </c>
      <c r="G34" s="97" t="s">
        <v>1130</v>
      </c>
      <c r="H34" s="97"/>
      <c r="I34" s="97"/>
      <c r="J34" s="97"/>
      <c r="K34" s="97"/>
    </row>
    <row r="35" spans="2:11" ht="52.8" x14ac:dyDescent="0.3">
      <c r="B35" s="1066" t="s">
        <v>1126</v>
      </c>
      <c r="C35" s="1067">
        <v>47350</v>
      </c>
      <c r="D35" s="1054"/>
      <c r="E35" s="97"/>
      <c r="F35" s="741" t="s">
        <v>1132</v>
      </c>
      <c r="G35" s="741" t="s">
        <v>1131</v>
      </c>
      <c r="H35" s="97"/>
      <c r="I35" s="97"/>
      <c r="J35" s="97"/>
      <c r="K35" s="97"/>
    </row>
    <row r="36" spans="2:11" ht="15.6" x14ac:dyDescent="0.3">
      <c r="B36" s="1066" t="s">
        <v>1126</v>
      </c>
      <c r="C36" s="1055">
        <v>46142</v>
      </c>
      <c r="D36" s="1055">
        <v>46117</v>
      </c>
      <c r="E36" s="97"/>
      <c r="F36" s="440" t="s">
        <v>1136</v>
      </c>
      <c r="G36" s="440" t="s">
        <v>1137</v>
      </c>
      <c r="H36" s="97"/>
      <c r="I36" s="97"/>
      <c r="J36" s="97"/>
      <c r="K36" s="97"/>
    </row>
    <row r="37" spans="2:11" ht="15.6" x14ac:dyDescent="0.3">
      <c r="B37" s="1066" t="s">
        <v>1126</v>
      </c>
      <c r="C37" s="1055">
        <v>46173</v>
      </c>
      <c r="D37" s="1055">
        <v>46147</v>
      </c>
      <c r="E37" s="27"/>
      <c r="F37" s="440" t="s">
        <v>1136</v>
      </c>
      <c r="G37" s="440" t="s">
        <v>1137</v>
      </c>
      <c r="H37" s="27"/>
      <c r="I37" s="27"/>
      <c r="J37" s="27"/>
      <c r="K37" s="27"/>
    </row>
    <row r="38" spans="2:11" ht="15.6" x14ac:dyDescent="0.3">
      <c r="B38" s="1066" t="s">
        <v>1126</v>
      </c>
      <c r="C38" s="1055">
        <v>46203</v>
      </c>
      <c r="D38" s="1055">
        <v>46178</v>
      </c>
      <c r="E38" s="27"/>
      <c r="F38" s="440" t="s">
        <v>1136</v>
      </c>
      <c r="G38" s="440" t="s">
        <v>1137</v>
      </c>
      <c r="H38" s="27"/>
      <c r="I38" s="27"/>
      <c r="J38" s="27"/>
      <c r="K38" s="27"/>
    </row>
    <row r="39" spans="2:11" ht="15.6" x14ac:dyDescent="0.3">
      <c r="B39" s="1066" t="s">
        <v>1126</v>
      </c>
      <c r="C39" s="1055">
        <v>46234</v>
      </c>
      <c r="D39" s="1055">
        <v>46208</v>
      </c>
      <c r="E39" s="27"/>
      <c r="F39" s="440" t="s">
        <v>1136</v>
      </c>
      <c r="G39" s="440" t="s">
        <v>1137</v>
      </c>
      <c r="H39" s="27"/>
      <c r="I39" s="27"/>
      <c r="J39" s="27"/>
      <c r="K39" s="27"/>
    </row>
    <row r="40" spans="2:11" ht="15.6" x14ac:dyDescent="0.3">
      <c r="B40" s="1066" t="s">
        <v>1126</v>
      </c>
      <c r="C40" s="1055">
        <v>46265</v>
      </c>
      <c r="D40" s="1055">
        <v>46239</v>
      </c>
      <c r="E40" s="27"/>
      <c r="F40" s="440" t="s">
        <v>1136</v>
      </c>
      <c r="G40" s="440" t="s">
        <v>1137</v>
      </c>
      <c r="H40" s="27"/>
      <c r="I40" s="27"/>
      <c r="J40" s="27"/>
      <c r="K40" s="27"/>
    </row>
    <row r="41" spans="2:11" ht="15.6" x14ac:dyDescent="0.3">
      <c r="B41" s="1066" t="s">
        <v>1126</v>
      </c>
      <c r="C41" s="1055">
        <v>46295</v>
      </c>
      <c r="D41" s="1055">
        <v>46208</v>
      </c>
      <c r="E41" s="27"/>
      <c r="F41" s="440" t="s">
        <v>1136</v>
      </c>
      <c r="G41" s="440" t="s">
        <v>1138</v>
      </c>
      <c r="H41" s="27"/>
      <c r="I41" s="27"/>
      <c r="J41" s="27"/>
      <c r="K41" s="27"/>
    </row>
    <row r="42" spans="2:11" x14ac:dyDescent="0.25">
      <c r="B42" s="27"/>
      <c r="C42" s="27"/>
      <c r="D42" s="27"/>
      <c r="E42" s="27"/>
      <c r="F42" s="27"/>
      <c r="G42" s="27"/>
      <c r="H42" s="27"/>
      <c r="I42" s="27"/>
      <c r="J42" s="27"/>
      <c r="K42" s="27"/>
    </row>
    <row r="43" spans="2:11" x14ac:dyDescent="0.25">
      <c r="B43" s="27"/>
      <c r="C43" s="27"/>
      <c r="D43" s="27"/>
      <c r="E43" s="27"/>
      <c r="F43" s="27"/>
      <c r="G43" s="27"/>
      <c r="H43" s="27"/>
      <c r="I43" s="27"/>
      <c r="J43" s="27"/>
      <c r="K43" s="27"/>
    </row>
    <row r="44" spans="2:11" x14ac:dyDescent="0.25">
      <c r="B44" s="27"/>
      <c r="C44" s="27"/>
      <c r="D44" s="27"/>
      <c r="E44" s="27"/>
      <c r="F44" s="27"/>
      <c r="G44" s="27"/>
      <c r="H44" s="27"/>
      <c r="I44" s="27"/>
      <c r="J44" s="27"/>
      <c r="K44" s="27"/>
    </row>
    <row r="45" spans="2:11" ht="15.6" x14ac:dyDescent="0.3">
      <c r="B45" s="1066" t="s">
        <v>1126</v>
      </c>
      <c r="C45" s="1055">
        <v>46142</v>
      </c>
      <c r="D45" s="27"/>
      <c r="E45" s="27"/>
      <c r="F45" s="440" t="s">
        <v>1136</v>
      </c>
      <c r="G45" s="97" t="s">
        <v>1105</v>
      </c>
      <c r="H45" s="27"/>
      <c r="I45" s="27"/>
      <c r="J45" s="27"/>
      <c r="K45" s="27"/>
    </row>
    <row r="46" spans="2:11" ht="15.6" x14ac:dyDescent="0.3">
      <c r="B46" s="1066" t="s">
        <v>1126</v>
      </c>
      <c r="C46" s="1055">
        <v>46265</v>
      </c>
      <c r="D46" s="27"/>
      <c r="E46" s="27"/>
      <c r="F46" s="440" t="s">
        <v>1136</v>
      </c>
      <c r="G46" s="97" t="s">
        <v>1105</v>
      </c>
      <c r="H46" s="27"/>
      <c r="I46" s="27"/>
      <c r="J46" s="27"/>
      <c r="K46" s="27"/>
    </row>
    <row r="47" spans="2:11" ht="15.6" x14ac:dyDescent="0.3">
      <c r="B47" s="1066" t="s">
        <v>1126</v>
      </c>
      <c r="C47" s="1055">
        <v>46387</v>
      </c>
      <c r="D47" s="27"/>
      <c r="E47" s="27"/>
      <c r="F47" s="440" t="s">
        <v>1136</v>
      </c>
      <c r="G47" s="97" t="s">
        <v>1105</v>
      </c>
      <c r="H47" s="27"/>
      <c r="I47" s="27"/>
      <c r="J47" s="27"/>
      <c r="K47" s="27"/>
    </row>
    <row r="48" spans="2:11" ht="15.6" x14ac:dyDescent="0.3">
      <c r="B48" s="1066" t="s">
        <v>1126</v>
      </c>
      <c r="C48" s="1055">
        <v>46325</v>
      </c>
      <c r="D48" s="27"/>
      <c r="E48" s="27"/>
      <c r="F48" s="440" t="s">
        <v>1136</v>
      </c>
      <c r="G48" s="440" t="s">
        <v>1139</v>
      </c>
      <c r="H48" s="27"/>
      <c r="I48" s="27"/>
      <c r="J48" s="27"/>
      <c r="K48" s="27"/>
    </row>
    <row r="49" spans="2:11" ht="15.6" x14ac:dyDescent="0.3">
      <c r="B49" s="263"/>
      <c r="C49" s="1055"/>
      <c r="D49" s="97"/>
      <c r="E49" s="97"/>
      <c r="F49" s="440"/>
      <c r="G49" s="440"/>
      <c r="H49" s="27"/>
      <c r="I49" s="27"/>
      <c r="J49" s="27"/>
      <c r="K49" s="27"/>
    </row>
    <row r="50" spans="2:11" x14ac:dyDescent="0.25">
      <c r="B50" s="27"/>
      <c r="C50" s="27"/>
      <c r="D50" s="27"/>
      <c r="E50" s="27"/>
      <c r="F50" s="27"/>
      <c r="G50" s="27"/>
      <c r="H50" s="27"/>
      <c r="I50" s="27"/>
      <c r="J50" s="27"/>
      <c r="K50" s="27"/>
    </row>
    <row r="51" spans="2:11" x14ac:dyDescent="0.25">
      <c r="B51" s="27"/>
      <c r="C51" s="27"/>
      <c r="D51" s="27"/>
      <c r="E51" s="27"/>
      <c r="F51" s="27"/>
      <c r="G51" s="27"/>
      <c r="H51" s="27"/>
      <c r="I51" s="27"/>
      <c r="J51" s="27"/>
      <c r="K51" s="27"/>
    </row>
    <row r="52" spans="2:11" x14ac:dyDescent="0.25">
      <c r="B52" s="27"/>
      <c r="C52" s="27"/>
      <c r="D52" s="27"/>
      <c r="E52" s="27"/>
      <c r="F52" s="27"/>
      <c r="G52" s="27"/>
      <c r="H52" s="27"/>
      <c r="I52" s="27"/>
      <c r="J52" s="27"/>
      <c r="K52" s="27"/>
    </row>
    <row r="53" spans="2:11" x14ac:dyDescent="0.25">
      <c r="B53" s="27"/>
      <c r="C53" s="27"/>
      <c r="D53" s="27"/>
      <c r="E53" s="27"/>
      <c r="F53" s="27"/>
      <c r="G53" s="27"/>
      <c r="H53" s="27"/>
      <c r="I53" s="27"/>
      <c r="J53" s="27"/>
      <c r="K53" s="27"/>
    </row>
    <row r="54" spans="2:11" x14ac:dyDescent="0.25">
      <c r="B54" s="27"/>
      <c r="C54" s="27"/>
      <c r="D54" s="27"/>
      <c r="E54" s="27"/>
      <c r="F54" s="27"/>
      <c r="G54" s="27"/>
      <c r="H54" s="27"/>
      <c r="I54" s="27"/>
      <c r="J54" s="27"/>
      <c r="K54" s="27"/>
    </row>
    <row r="55" spans="2:11" x14ac:dyDescent="0.25">
      <c r="B55" s="27"/>
      <c r="C55" s="27"/>
      <c r="D55" s="27"/>
      <c r="E55" s="27"/>
      <c r="F55" s="27"/>
      <c r="G55" s="27"/>
      <c r="H55" s="27"/>
      <c r="I55" s="27"/>
      <c r="J55" s="27"/>
      <c r="K55" s="27"/>
    </row>
    <row r="56" spans="2:11" x14ac:dyDescent="0.25">
      <c r="B56" s="27"/>
      <c r="C56" s="27"/>
      <c r="D56" s="27"/>
      <c r="E56" s="27"/>
      <c r="F56" s="27"/>
      <c r="G56" s="27"/>
      <c r="H56" s="27"/>
      <c r="I56" s="27"/>
      <c r="J56" s="27"/>
      <c r="K56" s="27"/>
    </row>
    <row r="57" spans="2:11" x14ac:dyDescent="0.25">
      <c r="B57" s="27"/>
      <c r="C57" s="27"/>
      <c r="D57" s="27"/>
      <c r="E57" s="27"/>
      <c r="F57" s="27"/>
      <c r="G57" s="27"/>
      <c r="H57" s="27"/>
      <c r="I57" s="27"/>
      <c r="J57" s="27"/>
      <c r="K57" s="27"/>
    </row>
    <row r="58" spans="2:11" x14ac:dyDescent="0.25">
      <c r="B58" s="27"/>
      <c r="C58" s="27"/>
      <c r="D58" s="27"/>
      <c r="E58" s="27"/>
      <c r="F58" s="27"/>
      <c r="G58" s="27"/>
      <c r="H58" s="27"/>
      <c r="I58" s="27"/>
      <c r="J58" s="27"/>
      <c r="K58" s="27"/>
    </row>
    <row r="59" spans="2:11" x14ac:dyDescent="0.25">
      <c r="B59" s="27"/>
      <c r="C59" s="27"/>
      <c r="D59" s="27"/>
      <c r="E59" s="27"/>
      <c r="F59" s="27"/>
      <c r="G59" s="27"/>
      <c r="H59" s="27"/>
      <c r="I59" s="27"/>
      <c r="J59" s="27"/>
      <c r="K59" s="27"/>
    </row>
    <row r="60" spans="2:11" x14ac:dyDescent="0.25">
      <c r="B60" s="27"/>
      <c r="C60" s="27"/>
      <c r="D60" s="27"/>
      <c r="E60" s="27"/>
      <c r="F60" s="27"/>
      <c r="G60" s="27"/>
      <c r="H60" s="27"/>
      <c r="I60" s="27"/>
      <c r="J60" s="27"/>
      <c r="K60" s="27"/>
    </row>
    <row r="61" spans="2:11" x14ac:dyDescent="0.25">
      <c r="B61" s="27"/>
      <c r="C61" s="27"/>
      <c r="D61" s="27"/>
      <c r="E61" s="27"/>
      <c r="F61" s="27"/>
      <c r="G61" s="27"/>
      <c r="H61" s="27"/>
      <c r="I61" s="27"/>
      <c r="J61" s="27"/>
      <c r="K61" s="27"/>
    </row>
    <row r="62" spans="2:11" x14ac:dyDescent="0.25">
      <c r="B62" s="27"/>
      <c r="C62" s="27"/>
      <c r="D62" s="27"/>
      <c r="E62" s="27"/>
      <c r="F62" s="27"/>
      <c r="G62" s="27"/>
      <c r="H62" s="27"/>
      <c r="I62" s="27"/>
      <c r="J62" s="27"/>
      <c r="K62" s="27"/>
    </row>
  </sheetData>
  <autoFilter ref="A4:K4" xr:uid="{00000000-0009-0000-0000-000001000000}"/>
  <hyperlinks>
    <hyperlink ref="A1" location="INDICE!A1" display="INDICE" xr:uid="{00000000-0004-0000-0100-000000000000}"/>
    <hyperlink ref="H11" r:id="rId1" xr:uid="{00000000-0004-0000-0100-000001000000}"/>
    <hyperlink ref="H6" r:id="rId2" xr:uid="{00000000-0004-0000-0100-000002000000}"/>
    <hyperlink ref="G6" r:id="rId3" xr:uid="{00000000-0004-0000-0100-000003000000}"/>
    <hyperlink ref="I6" r:id="rId4" xr:uid="{00000000-0004-0000-0100-000004000000}"/>
    <hyperlink ref="G7" r:id="rId5" xr:uid="{00000000-0004-0000-0100-000005000000}"/>
    <hyperlink ref="H8" r:id="rId6" xr:uid="{00000000-0004-0000-0100-000006000000}"/>
    <hyperlink ref="H15" r:id="rId7" xr:uid="{00000000-0004-0000-0100-000007000000}"/>
  </hyperlinks>
  <pageMargins left="0.7" right="0.7" top="0.75" bottom="0.75" header="0.3" footer="0.3"/>
  <pageSetup paperSize="9" orientation="landscape" r:id="rId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53"/>
  <sheetViews>
    <sheetView workbookViewId="0">
      <pane ySplit="1" topLeftCell="A2" activePane="bottomLeft" state="frozen"/>
      <selection pane="bottomLeft" activeCell="A8" sqref="A8"/>
    </sheetView>
  </sheetViews>
  <sheetFormatPr defaultColWidth="8.88671875" defaultRowHeight="14.4" x14ac:dyDescent="0.3"/>
  <cols>
    <col min="1" max="1" width="10.109375" style="607" customWidth="1"/>
    <col min="2" max="2" width="86.88671875" style="607" customWidth="1"/>
    <col min="3" max="3" width="117" style="607" customWidth="1"/>
    <col min="4" max="4" width="32.6640625" style="607" customWidth="1"/>
    <col min="5" max="5" width="30.5546875" style="607" customWidth="1"/>
    <col min="6" max="6" width="30.33203125" style="607" customWidth="1"/>
    <col min="7" max="7" width="45.44140625" style="607" customWidth="1"/>
    <col min="8" max="16384" width="8.88671875" style="607"/>
  </cols>
  <sheetData>
    <row r="1" spans="1:7" ht="15" thickBot="1" x14ac:dyDescent="0.35">
      <c r="A1" s="1053" t="s">
        <v>1083</v>
      </c>
    </row>
    <row r="4" spans="1:7" ht="21" customHeight="1" x14ac:dyDescent="0.3">
      <c r="B4" s="622" t="s">
        <v>853</v>
      </c>
      <c r="C4" s="622" t="s">
        <v>852</v>
      </c>
      <c r="D4" s="608" t="s">
        <v>851</v>
      </c>
      <c r="E4" s="622" t="s">
        <v>850</v>
      </c>
      <c r="F4" s="622" t="s">
        <v>849</v>
      </c>
      <c r="G4" s="622" t="s">
        <v>28</v>
      </c>
    </row>
    <row r="5" spans="1:7" ht="30" customHeight="1" x14ac:dyDescent="0.3">
      <c r="B5" s="608" t="s">
        <v>848</v>
      </c>
      <c r="C5" s="618" t="s">
        <v>847</v>
      </c>
      <c r="D5" s="613">
        <v>43635</v>
      </c>
      <c r="E5" s="608" t="s">
        <v>822</v>
      </c>
      <c r="F5" s="608" t="s">
        <v>12</v>
      </c>
      <c r="G5" s="610" t="s">
        <v>749</v>
      </c>
    </row>
    <row r="6" spans="1:7" ht="30" customHeight="1" x14ac:dyDescent="0.3">
      <c r="B6" s="608" t="s">
        <v>846</v>
      </c>
      <c r="C6" s="618" t="s">
        <v>845</v>
      </c>
      <c r="D6" s="611">
        <v>44694</v>
      </c>
      <c r="E6" s="608" t="s">
        <v>832</v>
      </c>
      <c r="F6" s="608" t="s">
        <v>12</v>
      </c>
      <c r="G6" s="610" t="s">
        <v>749</v>
      </c>
    </row>
    <row r="7" spans="1:7" ht="30" customHeight="1" x14ac:dyDescent="0.3">
      <c r="B7" s="608" t="s">
        <v>844</v>
      </c>
      <c r="C7" s="619" t="s">
        <v>807</v>
      </c>
      <c r="D7" s="608"/>
      <c r="E7" s="608" t="s">
        <v>835</v>
      </c>
      <c r="F7" s="608" t="s">
        <v>12</v>
      </c>
      <c r="G7" s="610" t="s">
        <v>749</v>
      </c>
    </row>
    <row r="8" spans="1:7" ht="30" customHeight="1" x14ac:dyDescent="0.3">
      <c r="B8" s="608" t="s">
        <v>843</v>
      </c>
      <c r="C8" s="620" t="s">
        <v>842</v>
      </c>
      <c r="D8" s="611">
        <v>45005</v>
      </c>
      <c r="E8" s="608" t="s">
        <v>822</v>
      </c>
      <c r="F8" s="608" t="s">
        <v>12</v>
      </c>
      <c r="G8" s="610" t="s">
        <v>749</v>
      </c>
    </row>
    <row r="9" spans="1:7" ht="28.8" x14ac:dyDescent="0.3">
      <c r="B9" s="608" t="s">
        <v>841</v>
      </c>
      <c r="C9" s="619" t="s">
        <v>807</v>
      </c>
      <c r="D9" s="608"/>
      <c r="E9" s="608" t="s">
        <v>840</v>
      </c>
      <c r="F9" s="608" t="s">
        <v>12</v>
      </c>
      <c r="G9" s="610" t="s">
        <v>749</v>
      </c>
    </row>
    <row r="10" spans="1:7" ht="28.8" x14ac:dyDescent="0.3">
      <c r="B10" s="608" t="s">
        <v>839</v>
      </c>
      <c r="C10" s="619" t="s">
        <v>807</v>
      </c>
      <c r="D10" s="608"/>
      <c r="E10" s="608" t="s">
        <v>751</v>
      </c>
      <c r="F10" s="608" t="s">
        <v>12</v>
      </c>
      <c r="G10" s="610" t="s">
        <v>749</v>
      </c>
    </row>
    <row r="11" spans="1:7" ht="28.8" x14ac:dyDescent="0.3">
      <c r="B11" s="608" t="s">
        <v>838</v>
      </c>
      <c r="C11" s="619" t="s">
        <v>807</v>
      </c>
      <c r="D11" s="608"/>
      <c r="E11" s="608" t="s">
        <v>751</v>
      </c>
      <c r="F11" s="608" t="s">
        <v>12</v>
      </c>
      <c r="G11" s="610" t="s">
        <v>749</v>
      </c>
    </row>
    <row r="12" spans="1:7" ht="28.8" x14ac:dyDescent="0.3">
      <c r="B12" s="608" t="s">
        <v>837</v>
      </c>
      <c r="C12" s="619" t="s">
        <v>807</v>
      </c>
      <c r="D12" s="608"/>
      <c r="E12" s="608" t="s">
        <v>751</v>
      </c>
      <c r="F12" s="608" t="s">
        <v>12</v>
      </c>
      <c r="G12" s="610" t="s">
        <v>749</v>
      </c>
    </row>
    <row r="13" spans="1:7" ht="28.8" x14ac:dyDescent="0.3">
      <c r="B13" s="608" t="s">
        <v>836</v>
      </c>
      <c r="C13" s="619" t="s">
        <v>807</v>
      </c>
      <c r="D13" s="608"/>
      <c r="E13" s="608" t="s">
        <v>835</v>
      </c>
      <c r="F13" s="608" t="s">
        <v>12</v>
      </c>
      <c r="G13" s="610" t="s">
        <v>749</v>
      </c>
    </row>
    <row r="14" spans="1:7" ht="28.8" x14ac:dyDescent="0.3">
      <c r="B14" s="608" t="s">
        <v>834</v>
      </c>
      <c r="C14" s="618" t="s">
        <v>833</v>
      </c>
      <c r="D14" s="613">
        <v>44399</v>
      </c>
      <c r="E14" s="608" t="s">
        <v>832</v>
      </c>
      <c r="F14" s="608" t="s">
        <v>12</v>
      </c>
      <c r="G14" s="610" t="s">
        <v>749</v>
      </c>
    </row>
    <row r="15" spans="1:7" ht="28.8" x14ac:dyDescent="0.3">
      <c r="B15" s="608" t="s">
        <v>831</v>
      </c>
      <c r="C15" s="618" t="s">
        <v>830</v>
      </c>
      <c r="D15" s="613">
        <v>43714</v>
      </c>
      <c r="E15" s="608" t="s">
        <v>829</v>
      </c>
      <c r="F15" s="608" t="s">
        <v>12</v>
      </c>
      <c r="G15" s="610" t="s">
        <v>749</v>
      </c>
    </row>
    <row r="16" spans="1:7" ht="28.8" x14ac:dyDescent="0.3">
      <c r="B16" s="608" t="s">
        <v>828</v>
      </c>
      <c r="C16" s="619" t="s">
        <v>807</v>
      </c>
      <c r="D16" s="608"/>
      <c r="E16" s="608" t="s">
        <v>751</v>
      </c>
      <c r="F16" s="608" t="s">
        <v>12</v>
      </c>
      <c r="G16" s="610" t="s">
        <v>749</v>
      </c>
    </row>
    <row r="17" spans="2:7" ht="28.8" x14ac:dyDescent="0.3">
      <c r="B17" s="608" t="s">
        <v>827</v>
      </c>
      <c r="C17" s="619" t="s">
        <v>807</v>
      </c>
      <c r="D17" s="608"/>
      <c r="E17" s="608" t="s">
        <v>822</v>
      </c>
      <c r="F17" s="608" t="s">
        <v>12</v>
      </c>
      <c r="G17" s="610" t="s">
        <v>749</v>
      </c>
    </row>
    <row r="18" spans="2:7" ht="28.8" x14ac:dyDescent="0.3">
      <c r="B18" s="608" t="s">
        <v>826</v>
      </c>
      <c r="C18" s="618" t="s">
        <v>825</v>
      </c>
      <c r="D18" s="613">
        <v>44489</v>
      </c>
      <c r="E18" s="608" t="s">
        <v>824</v>
      </c>
      <c r="F18" s="608" t="s">
        <v>12</v>
      </c>
      <c r="G18" s="610" t="s">
        <v>749</v>
      </c>
    </row>
    <row r="19" spans="2:7" ht="28.8" x14ac:dyDescent="0.3">
      <c r="B19" s="608" t="s">
        <v>823</v>
      </c>
      <c r="C19" s="619" t="s">
        <v>807</v>
      </c>
      <c r="D19" s="608"/>
      <c r="E19" s="608" t="s">
        <v>822</v>
      </c>
      <c r="F19" s="608" t="s">
        <v>12</v>
      </c>
      <c r="G19" s="610" t="s">
        <v>749</v>
      </c>
    </row>
    <row r="20" spans="2:7" ht="28.8" x14ac:dyDescent="0.3">
      <c r="B20" s="608" t="s">
        <v>821</v>
      </c>
      <c r="C20" s="619" t="s">
        <v>807</v>
      </c>
      <c r="D20" s="608"/>
      <c r="E20" s="608" t="s">
        <v>751</v>
      </c>
      <c r="F20" s="608" t="s">
        <v>12</v>
      </c>
      <c r="G20" s="610" t="s">
        <v>749</v>
      </c>
    </row>
    <row r="21" spans="2:7" ht="28.8" x14ac:dyDescent="0.3">
      <c r="B21" s="608" t="s">
        <v>820</v>
      </c>
      <c r="C21" s="619" t="s">
        <v>807</v>
      </c>
      <c r="D21" s="608"/>
      <c r="E21" s="608" t="s">
        <v>751</v>
      </c>
      <c r="F21" s="608" t="s">
        <v>12</v>
      </c>
      <c r="G21" s="610" t="s">
        <v>749</v>
      </c>
    </row>
    <row r="22" spans="2:7" ht="28.8" x14ac:dyDescent="0.3">
      <c r="B22" s="608" t="s">
        <v>819</v>
      </c>
      <c r="C22" s="619" t="s">
        <v>807</v>
      </c>
      <c r="D22" s="608"/>
      <c r="E22" s="608" t="s">
        <v>751</v>
      </c>
      <c r="F22" s="608" t="s">
        <v>12</v>
      </c>
      <c r="G22" s="610" t="s">
        <v>749</v>
      </c>
    </row>
    <row r="23" spans="2:7" ht="28.8" x14ac:dyDescent="0.3">
      <c r="B23" s="608" t="s">
        <v>818</v>
      </c>
      <c r="C23" s="621" t="s">
        <v>817</v>
      </c>
      <c r="D23" s="611">
        <v>44748</v>
      </c>
      <c r="E23" s="608" t="s">
        <v>751</v>
      </c>
      <c r="F23" s="608" t="s">
        <v>12</v>
      </c>
      <c r="G23" s="610" t="s">
        <v>749</v>
      </c>
    </row>
    <row r="24" spans="2:7" ht="28.8" x14ac:dyDescent="0.3">
      <c r="B24" s="608" t="s">
        <v>816</v>
      </c>
      <c r="C24" s="619" t="s">
        <v>807</v>
      </c>
      <c r="D24" s="608"/>
      <c r="E24" s="608" t="s">
        <v>751</v>
      </c>
      <c r="F24" s="608" t="s">
        <v>12</v>
      </c>
      <c r="G24" s="610" t="s">
        <v>749</v>
      </c>
    </row>
    <row r="25" spans="2:7" ht="28.8" x14ac:dyDescent="0.3">
      <c r="B25" s="608" t="s">
        <v>815</v>
      </c>
      <c r="C25" s="620" t="s">
        <v>812</v>
      </c>
      <c r="D25" s="611">
        <v>45215</v>
      </c>
      <c r="E25" s="608" t="s">
        <v>751</v>
      </c>
      <c r="F25" s="608" t="s">
        <v>12</v>
      </c>
      <c r="G25" s="610" t="s">
        <v>749</v>
      </c>
    </row>
    <row r="26" spans="2:7" ht="28.8" x14ac:dyDescent="0.3">
      <c r="B26" s="608" t="s">
        <v>814</v>
      </c>
      <c r="C26" s="619" t="s">
        <v>807</v>
      </c>
      <c r="D26" s="608"/>
      <c r="E26" s="608" t="s">
        <v>751</v>
      </c>
      <c r="F26" s="608" t="s">
        <v>12</v>
      </c>
      <c r="G26" s="610" t="s">
        <v>749</v>
      </c>
    </row>
    <row r="27" spans="2:7" ht="28.8" x14ac:dyDescent="0.3">
      <c r="B27" s="608" t="s">
        <v>813</v>
      </c>
      <c r="C27" s="620" t="s">
        <v>812</v>
      </c>
      <c r="D27" s="611">
        <v>44881</v>
      </c>
      <c r="E27" s="608" t="s">
        <v>751</v>
      </c>
      <c r="F27" s="608" t="s">
        <v>12</v>
      </c>
      <c r="G27" s="610" t="s">
        <v>749</v>
      </c>
    </row>
    <row r="28" spans="2:7" ht="28.8" x14ac:dyDescent="0.3">
      <c r="B28" s="608" t="s">
        <v>811</v>
      </c>
      <c r="C28" s="612" t="s">
        <v>810</v>
      </c>
      <c r="D28" s="611">
        <v>44770</v>
      </c>
      <c r="E28" s="609"/>
      <c r="F28" s="609"/>
      <c r="G28" s="610" t="s">
        <v>749</v>
      </c>
    </row>
    <row r="29" spans="2:7" ht="28.8" x14ac:dyDescent="0.3">
      <c r="B29" s="608" t="s">
        <v>809</v>
      </c>
      <c r="C29" s="612" t="s">
        <v>808</v>
      </c>
      <c r="D29" s="619" t="s">
        <v>807</v>
      </c>
      <c r="E29" s="609"/>
      <c r="F29" s="609"/>
      <c r="G29" s="610" t="s">
        <v>749</v>
      </c>
    </row>
    <row r="30" spans="2:7" ht="28.8" x14ac:dyDescent="0.3">
      <c r="B30" s="608" t="s">
        <v>806</v>
      </c>
      <c r="C30" s="618" t="s">
        <v>805</v>
      </c>
      <c r="D30" s="613">
        <v>43269</v>
      </c>
      <c r="E30" s="608" t="s">
        <v>751</v>
      </c>
      <c r="F30" s="608" t="s">
        <v>12</v>
      </c>
      <c r="G30" s="610" t="s">
        <v>749</v>
      </c>
    </row>
    <row r="31" spans="2:7" ht="30" customHeight="1" x14ac:dyDescent="0.3">
      <c r="B31" s="608" t="s">
        <v>804</v>
      </c>
      <c r="C31" s="618" t="s">
        <v>803</v>
      </c>
      <c r="D31" s="613">
        <v>43418</v>
      </c>
      <c r="E31" s="608" t="s">
        <v>802</v>
      </c>
      <c r="F31" s="608" t="s">
        <v>12</v>
      </c>
      <c r="G31" s="610" t="s">
        <v>749</v>
      </c>
    </row>
    <row r="32" spans="2:7" ht="28.8" x14ac:dyDescent="0.3">
      <c r="B32" s="608" t="s">
        <v>801</v>
      </c>
      <c r="C32" s="618" t="s">
        <v>800</v>
      </c>
      <c r="D32" s="613">
        <v>43343</v>
      </c>
      <c r="E32" s="608" t="s">
        <v>799</v>
      </c>
      <c r="F32" s="608" t="s">
        <v>12</v>
      </c>
      <c r="G32" s="610" t="s">
        <v>749</v>
      </c>
    </row>
    <row r="33" spans="2:7" ht="28.8" x14ac:dyDescent="0.3">
      <c r="B33" s="608" t="s">
        <v>798</v>
      </c>
      <c r="C33" s="616" t="s">
        <v>797</v>
      </c>
      <c r="D33" s="611">
        <v>44811</v>
      </c>
      <c r="E33" s="617" t="s">
        <v>796</v>
      </c>
      <c r="F33" s="608" t="s">
        <v>12</v>
      </c>
      <c r="G33" s="610" t="s">
        <v>749</v>
      </c>
    </row>
    <row r="34" spans="2:7" ht="28.8" x14ac:dyDescent="0.3">
      <c r="B34" s="608" t="s">
        <v>795</v>
      </c>
      <c r="C34" s="612" t="s">
        <v>794</v>
      </c>
      <c r="D34" s="608" t="s">
        <v>278</v>
      </c>
      <c r="E34" s="608" t="s">
        <v>761</v>
      </c>
      <c r="F34" s="608" t="s">
        <v>12</v>
      </c>
      <c r="G34" s="610" t="s">
        <v>749</v>
      </c>
    </row>
    <row r="35" spans="2:7" ht="28.8" x14ac:dyDescent="0.3">
      <c r="B35" s="608" t="s">
        <v>793</v>
      </c>
      <c r="C35" s="612" t="s">
        <v>792</v>
      </c>
      <c r="D35" s="608" t="s">
        <v>278</v>
      </c>
      <c r="E35" s="608" t="s">
        <v>761</v>
      </c>
      <c r="F35" s="608" t="s">
        <v>12</v>
      </c>
      <c r="G35" s="610" t="s">
        <v>749</v>
      </c>
    </row>
    <row r="36" spans="2:7" ht="28.8" x14ac:dyDescent="0.3">
      <c r="B36" s="608" t="s">
        <v>791</v>
      </c>
      <c r="C36" s="612" t="s">
        <v>790</v>
      </c>
      <c r="D36" s="608" t="s">
        <v>278</v>
      </c>
      <c r="E36" s="608" t="s">
        <v>761</v>
      </c>
      <c r="F36" s="608" t="s">
        <v>12</v>
      </c>
      <c r="G36" s="610" t="s">
        <v>749</v>
      </c>
    </row>
    <row r="37" spans="2:7" ht="28.8" x14ac:dyDescent="0.3">
      <c r="B37" s="608" t="s">
        <v>789</v>
      </c>
      <c r="C37" s="612" t="s">
        <v>788</v>
      </c>
      <c r="D37" s="608" t="s">
        <v>278</v>
      </c>
      <c r="E37" s="608" t="s">
        <v>761</v>
      </c>
      <c r="F37" s="608" t="s">
        <v>12</v>
      </c>
      <c r="G37" s="610" t="s">
        <v>749</v>
      </c>
    </row>
    <row r="38" spans="2:7" ht="28.8" x14ac:dyDescent="0.3">
      <c r="B38" s="608" t="s">
        <v>787</v>
      </c>
      <c r="C38" s="612" t="s">
        <v>786</v>
      </c>
      <c r="D38" s="613">
        <v>42328</v>
      </c>
      <c r="E38" s="608" t="s">
        <v>761</v>
      </c>
      <c r="F38" s="608" t="s">
        <v>785</v>
      </c>
      <c r="G38" s="610" t="s">
        <v>749</v>
      </c>
    </row>
    <row r="39" spans="2:7" ht="28.8" x14ac:dyDescent="0.3">
      <c r="B39" s="608" t="s">
        <v>784</v>
      </c>
      <c r="C39" s="612" t="s">
        <v>783</v>
      </c>
      <c r="D39" s="608" t="s">
        <v>278</v>
      </c>
      <c r="E39" s="608" t="s">
        <v>761</v>
      </c>
      <c r="F39" s="608" t="s">
        <v>782</v>
      </c>
      <c r="G39" s="610" t="s">
        <v>749</v>
      </c>
    </row>
    <row r="40" spans="2:7" ht="28.8" x14ac:dyDescent="0.3">
      <c r="B40" s="608" t="s">
        <v>781</v>
      </c>
      <c r="C40" s="612" t="s">
        <v>780</v>
      </c>
      <c r="D40" s="613">
        <v>43889</v>
      </c>
      <c r="E40" s="608" t="s">
        <v>761</v>
      </c>
      <c r="F40" s="608" t="s">
        <v>773</v>
      </c>
      <c r="G40" s="610" t="s">
        <v>749</v>
      </c>
    </row>
    <row r="41" spans="2:7" ht="28.8" x14ac:dyDescent="0.3">
      <c r="B41" s="608" t="s">
        <v>779</v>
      </c>
      <c r="C41" s="612" t="s">
        <v>778</v>
      </c>
      <c r="D41" s="613">
        <v>43889</v>
      </c>
      <c r="E41" s="608" t="s">
        <v>761</v>
      </c>
      <c r="F41" s="608" t="s">
        <v>773</v>
      </c>
      <c r="G41" s="610" t="s">
        <v>749</v>
      </c>
    </row>
    <row r="42" spans="2:7" ht="28.8" x14ac:dyDescent="0.3">
      <c r="B42" s="608" t="s">
        <v>777</v>
      </c>
      <c r="C42" s="612" t="s">
        <v>776</v>
      </c>
      <c r="D42" s="613">
        <v>43889</v>
      </c>
      <c r="E42" s="608" t="s">
        <v>761</v>
      </c>
      <c r="F42" s="608" t="s">
        <v>773</v>
      </c>
      <c r="G42" s="610" t="s">
        <v>749</v>
      </c>
    </row>
    <row r="43" spans="2:7" ht="28.8" x14ac:dyDescent="0.3">
      <c r="B43" s="608" t="s">
        <v>775</v>
      </c>
      <c r="C43" s="612" t="s">
        <v>774</v>
      </c>
      <c r="D43" s="613">
        <v>43889</v>
      </c>
      <c r="E43" s="608" t="s">
        <v>761</v>
      </c>
      <c r="F43" s="608" t="s">
        <v>773</v>
      </c>
      <c r="G43" s="610" t="s">
        <v>749</v>
      </c>
    </row>
    <row r="44" spans="2:7" ht="28.8" x14ac:dyDescent="0.3">
      <c r="B44" s="608" t="s">
        <v>772</v>
      </c>
      <c r="C44" s="616" t="s">
        <v>771</v>
      </c>
      <c r="D44" s="613">
        <v>43181</v>
      </c>
      <c r="E44" s="608" t="s">
        <v>761</v>
      </c>
      <c r="F44" s="608" t="s">
        <v>770</v>
      </c>
      <c r="G44" s="610" t="s">
        <v>749</v>
      </c>
    </row>
    <row r="45" spans="2:7" ht="28.8" x14ac:dyDescent="0.3">
      <c r="B45" s="615" t="s">
        <v>769</v>
      </c>
      <c r="C45" s="612" t="s">
        <v>768</v>
      </c>
      <c r="D45" s="613">
        <v>44272</v>
      </c>
      <c r="E45" s="608" t="s">
        <v>761</v>
      </c>
      <c r="F45" s="608" t="s">
        <v>767</v>
      </c>
      <c r="G45" s="610" t="s">
        <v>749</v>
      </c>
    </row>
    <row r="46" spans="2:7" ht="28.8" x14ac:dyDescent="0.3">
      <c r="B46" s="614" t="s">
        <v>766</v>
      </c>
      <c r="C46" s="612" t="s">
        <v>765</v>
      </c>
      <c r="D46" s="611">
        <v>45078</v>
      </c>
      <c r="E46" s="608" t="s">
        <v>761</v>
      </c>
      <c r="F46" s="608" t="s">
        <v>764</v>
      </c>
      <c r="G46" s="610" t="s">
        <v>749</v>
      </c>
    </row>
    <row r="47" spans="2:7" ht="28.8" x14ac:dyDescent="0.3">
      <c r="B47" s="614" t="s">
        <v>763</v>
      </c>
      <c r="C47" s="612" t="s">
        <v>762</v>
      </c>
      <c r="D47" s="608" t="s">
        <v>278</v>
      </c>
      <c r="E47" s="608" t="s">
        <v>761</v>
      </c>
      <c r="F47" s="608" t="s">
        <v>760</v>
      </c>
      <c r="G47" s="610" t="s">
        <v>749</v>
      </c>
    </row>
    <row r="48" spans="2:7" ht="28.8" x14ac:dyDescent="0.3">
      <c r="B48" s="608" t="s">
        <v>759</v>
      </c>
      <c r="C48" s="611" t="s">
        <v>758</v>
      </c>
      <c r="D48" s="613">
        <v>44629</v>
      </c>
      <c r="E48" s="608" t="s">
        <v>757</v>
      </c>
      <c r="F48" s="608" t="s">
        <v>756</v>
      </c>
      <c r="G48" s="610" t="s">
        <v>749</v>
      </c>
    </row>
    <row r="49" spans="2:7" ht="28.8" x14ac:dyDescent="0.3">
      <c r="B49" s="608" t="s">
        <v>755</v>
      </c>
      <c r="C49" s="612" t="s">
        <v>752</v>
      </c>
      <c r="D49" s="611">
        <v>44945</v>
      </c>
      <c r="E49" s="608" t="s">
        <v>754</v>
      </c>
      <c r="F49" s="608" t="s">
        <v>750</v>
      </c>
      <c r="G49" s="610" t="s">
        <v>749</v>
      </c>
    </row>
    <row r="50" spans="2:7" ht="28.8" x14ac:dyDescent="0.3">
      <c r="B50" s="608" t="s">
        <v>753</v>
      </c>
      <c r="C50" s="612" t="s">
        <v>752</v>
      </c>
      <c r="D50" s="611">
        <v>45082</v>
      </c>
      <c r="E50" s="608" t="s">
        <v>751</v>
      </c>
      <c r="F50" s="608" t="s">
        <v>750</v>
      </c>
      <c r="G50" s="610" t="s">
        <v>749</v>
      </c>
    </row>
    <row r="51" spans="2:7" x14ac:dyDescent="0.3">
      <c r="B51" s="608"/>
      <c r="C51" s="608"/>
      <c r="D51" s="609"/>
      <c r="E51" s="608"/>
      <c r="F51" s="608"/>
      <c r="G51" s="608"/>
    </row>
    <row r="52" spans="2:7" x14ac:dyDescent="0.3">
      <c r="B52" s="608"/>
      <c r="C52" s="608"/>
      <c r="D52" s="609"/>
      <c r="E52" s="608"/>
      <c r="F52" s="608"/>
      <c r="G52" s="608"/>
    </row>
    <row r="53" spans="2:7" x14ac:dyDescent="0.3">
      <c r="B53" s="608"/>
      <c r="C53" s="608"/>
      <c r="D53" s="609"/>
      <c r="E53" s="608"/>
      <c r="F53" s="608"/>
      <c r="G53" s="608"/>
    </row>
  </sheetData>
  <hyperlinks>
    <hyperlink ref="C34" r:id="rId1" xr:uid="{00000000-0004-0000-0200-000000000000}"/>
    <hyperlink ref="C35" r:id="rId2" xr:uid="{00000000-0004-0000-0200-000001000000}"/>
    <hyperlink ref="C36" r:id="rId3" xr:uid="{00000000-0004-0000-0200-000002000000}"/>
    <hyperlink ref="C37" r:id="rId4" xr:uid="{00000000-0004-0000-0200-000003000000}"/>
    <hyperlink ref="C38" r:id="rId5" xr:uid="{00000000-0004-0000-0200-000004000000}"/>
    <hyperlink ref="C39" r:id="rId6" xr:uid="{00000000-0004-0000-0200-000005000000}"/>
    <hyperlink ref="C40" r:id="rId7" xr:uid="{00000000-0004-0000-0200-000006000000}"/>
    <hyperlink ref="C41" r:id="rId8" xr:uid="{00000000-0004-0000-0200-000007000000}"/>
    <hyperlink ref="C42" r:id="rId9" xr:uid="{00000000-0004-0000-0200-000008000000}"/>
    <hyperlink ref="C43" r:id="rId10" xr:uid="{00000000-0004-0000-0200-000009000000}"/>
    <hyperlink ref="C44" r:id="rId11" xr:uid="{00000000-0004-0000-0200-00000A000000}"/>
    <hyperlink ref="C45" r:id="rId12" xr:uid="{00000000-0004-0000-0200-00000B000000}"/>
    <hyperlink ref="C46" r:id="rId13" xr:uid="{00000000-0004-0000-0200-00000C000000}"/>
    <hyperlink ref="C47" r:id="rId14" xr:uid="{00000000-0004-0000-0200-00000D000000}"/>
    <hyperlink ref="C6" r:id="rId15" xr:uid="{00000000-0004-0000-0200-00000E000000}"/>
    <hyperlink ref="C5" r:id="rId16" xr:uid="{00000000-0004-0000-0200-00000F000000}"/>
    <hyperlink ref="C30" r:id="rId17" xr:uid="{00000000-0004-0000-0200-000010000000}"/>
    <hyperlink ref="C31" r:id="rId18" xr:uid="{00000000-0004-0000-0200-000011000000}"/>
    <hyperlink ref="C32" r:id="rId19" xr:uid="{00000000-0004-0000-0200-000012000000}"/>
    <hyperlink ref="C18" r:id="rId20" xr:uid="{00000000-0004-0000-0200-000013000000}"/>
    <hyperlink ref="C15" r:id="rId21" xr:uid="{00000000-0004-0000-0200-000014000000}"/>
    <hyperlink ref="C14" r:id="rId22" xr:uid="{00000000-0004-0000-0200-000015000000}"/>
    <hyperlink ref="C49" r:id="rId23" display="https://service.scar.it/scarservice/AreaWEB/SDSChimici/894200000_sds_it_reg08.pdf" xr:uid="{00000000-0004-0000-0200-000016000000}"/>
    <hyperlink ref="C33" r:id="rId24" xr:uid="{00000000-0004-0000-0200-000017000000}"/>
    <hyperlink ref="C8" r:id="rId25" xr:uid="{00000000-0004-0000-0200-000018000000}"/>
    <hyperlink ref="C25" r:id="rId26" xr:uid="{00000000-0004-0000-0200-000019000000}"/>
    <hyperlink ref="C27" r:id="rId27" xr:uid="{00000000-0004-0000-0200-00001A000000}"/>
    <hyperlink ref="C28" r:id="rId28" display="TAMOIL CARTER EP 680 SICUREZZA.pdf" xr:uid="{00000000-0004-0000-0200-00001B000000}"/>
    <hyperlink ref="C23" r:id="rId29" xr:uid="{00000000-0004-0000-0200-00001C000000}"/>
    <hyperlink ref="C29" r:id="rId30" xr:uid="{00000000-0004-0000-0200-00001D000000}"/>
    <hyperlink ref="C50" r:id="rId31" xr:uid="{00000000-0004-0000-0200-00001E000000}"/>
    <hyperlink ref="A1" location="INDICE!A1" display="INDICE" xr:uid="{00000000-0004-0000-0200-00001F000000}"/>
  </hyperlinks>
  <pageMargins left="0.7" right="0.7" top="0.75" bottom="0.75" header="0.3" footer="0.3"/>
  <pageSetup paperSize="9" orientation="portrait" r:id="rId3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O29"/>
  <sheetViews>
    <sheetView topLeftCell="C1" zoomScale="75" zoomScaleNormal="75" zoomScaleSheetLayoutView="75" workbookViewId="0">
      <pane ySplit="5" topLeftCell="A12" activePane="bottomLeft" state="frozen"/>
      <selection activeCell="C1" sqref="C1"/>
      <selection pane="bottomLeft" activeCell="C1" sqref="C1"/>
    </sheetView>
  </sheetViews>
  <sheetFormatPr defaultRowHeight="13.2" x14ac:dyDescent="0.25"/>
  <cols>
    <col min="3" max="3" width="19.5546875" customWidth="1"/>
    <col min="4" max="4" width="21.6640625" customWidth="1"/>
    <col min="5" max="5" width="18.6640625" customWidth="1"/>
    <col min="6" max="6" width="28.5546875" customWidth="1"/>
    <col min="7" max="7" width="31.6640625" customWidth="1"/>
    <col min="8" max="8" width="12.33203125" customWidth="1"/>
    <col min="9" max="9" width="14.109375" customWidth="1"/>
    <col min="10" max="10" width="21.6640625" customWidth="1"/>
    <col min="11" max="11" width="47" customWidth="1"/>
    <col min="12" max="12" width="65.5546875" customWidth="1"/>
    <col min="13" max="13" width="36.33203125" customWidth="1"/>
    <col min="14" max="14" width="40.44140625" customWidth="1"/>
    <col min="15" max="15" width="32.44140625" customWidth="1"/>
  </cols>
  <sheetData>
    <row r="1" spans="1:15" ht="20.25" customHeight="1" x14ac:dyDescent="0.25">
      <c r="C1" s="1049" t="s">
        <v>1083</v>
      </c>
    </row>
    <row r="2" spans="1:15" x14ac:dyDescent="0.25">
      <c r="C2" s="1071" t="s">
        <v>748</v>
      </c>
      <c r="D2" s="1072"/>
      <c r="E2" s="1072"/>
      <c r="F2" s="1072"/>
      <c r="G2" s="1072"/>
      <c r="H2" s="1072"/>
      <c r="I2" s="1072"/>
      <c r="J2" s="1072"/>
      <c r="K2" s="1073"/>
      <c r="L2" s="1073"/>
      <c r="M2" s="1073"/>
      <c r="N2" s="1073"/>
      <c r="O2" s="1074"/>
    </row>
    <row r="3" spans="1:15" ht="27.75" customHeight="1" x14ac:dyDescent="0.25">
      <c r="C3" s="1075"/>
      <c r="D3" s="1076"/>
      <c r="E3" s="1076"/>
      <c r="F3" s="1076"/>
      <c r="G3" s="1076"/>
      <c r="H3" s="1076"/>
      <c r="I3" s="1076"/>
      <c r="J3" s="1076"/>
      <c r="K3" s="1077"/>
      <c r="L3" s="1077"/>
      <c r="M3" s="1077"/>
      <c r="N3" s="1077"/>
      <c r="O3" s="1078"/>
    </row>
    <row r="5" spans="1:15" s="603" customFormat="1" ht="55.5" customHeight="1" x14ac:dyDescent="0.25">
      <c r="A5" s="606"/>
      <c r="B5" s="606"/>
      <c r="C5" s="151" t="s">
        <v>747</v>
      </c>
      <c r="D5" s="151" t="s">
        <v>746</v>
      </c>
      <c r="E5" s="151" t="s">
        <v>745</v>
      </c>
      <c r="F5" s="151" t="s">
        <v>744</v>
      </c>
      <c r="G5" s="151" t="s">
        <v>743</v>
      </c>
      <c r="H5" s="151" t="s">
        <v>742</v>
      </c>
      <c r="I5" s="151" t="s">
        <v>741</v>
      </c>
      <c r="J5" s="605" t="s">
        <v>740</v>
      </c>
      <c r="K5" s="151" t="s">
        <v>739</v>
      </c>
      <c r="L5" s="151" t="s">
        <v>738</v>
      </c>
      <c r="M5" s="604" t="s">
        <v>737</v>
      </c>
      <c r="N5" s="151" t="s">
        <v>736</v>
      </c>
      <c r="O5" s="151" t="s">
        <v>735</v>
      </c>
    </row>
    <row r="6" spans="1:15" ht="18" customHeight="1" x14ac:dyDescent="0.25">
      <c r="C6" s="97" t="s">
        <v>734</v>
      </c>
      <c r="D6" s="97" t="s">
        <v>733</v>
      </c>
      <c r="E6" s="97" t="s">
        <v>732</v>
      </c>
      <c r="F6" s="97" t="s">
        <v>688</v>
      </c>
      <c r="G6" s="97">
        <v>36</v>
      </c>
      <c r="H6" s="97">
        <v>24</v>
      </c>
      <c r="I6" s="97">
        <v>300</v>
      </c>
      <c r="J6" s="170">
        <v>36</v>
      </c>
      <c r="K6" s="97" t="s">
        <v>731</v>
      </c>
      <c r="L6" s="97" t="s">
        <v>713</v>
      </c>
      <c r="M6" s="171" t="s">
        <v>703</v>
      </c>
      <c r="N6" s="97" t="s">
        <v>730</v>
      </c>
      <c r="O6" s="97">
        <v>6141471</v>
      </c>
    </row>
    <row r="7" spans="1:15" ht="18" customHeight="1" x14ac:dyDescent="0.25">
      <c r="C7" s="97" t="s">
        <v>727</v>
      </c>
      <c r="D7" s="97" t="s">
        <v>726</v>
      </c>
      <c r="E7" s="97">
        <v>5897279001</v>
      </c>
      <c r="F7" s="97" t="s">
        <v>688</v>
      </c>
      <c r="G7" s="97">
        <v>57.6</v>
      </c>
      <c r="H7" s="97">
        <v>48</v>
      </c>
      <c r="I7" s="97">
        <v>240</v>
      </c>
      <c r="J7" s="170">
        <v>58</v>
      </c>
      <c r="K7" s="97" t="s">
        <v>210</v>
      </c>
      <c r="L7" s="97" t="s">
        <v>725</v>
      </c>
      <c r="M7" s="171" t="s">
        <v>703</v>
      </c>
      <c r="N7" s="97" t="s">
        <v>724</v>
      </c>
      <c r="O7" s="97" t="s">
        <v>729</v>
      </c>
    </row>
    <row r="8" spans="1:15" ht="18" customHeight="1" x14ac:dyDescent="0.25">
      <c r="C8" s="97" t="s">
        <v>727</v>
      </c>
      <c r="D8" s="97" t="s">
        <v>726</v>
      </c>
      <c r="E8" s="97">
        <v>5897279003</v>
      </c>
      <c r="F8" s="97" t="s">
        <v>688</v>
      </c>
      <c r="G8" s="97">
        <v>57.6</v>
      </c>
      <c r="H8" s="97">
        <v>48</v>
      </c>
      <c r="I8" s="97">
        <v>240</v>
      </c>
      <c r="J8" s="170">
        <v>58</v>
      </c>
      <c r="K8" s="97" t="s">
        <v>210</v>
      </c>
      <c r="L8" s="97" t="s">
        <v>725</v>
      </c>
      <c r="M8" s="171" t="s">
        <v>703</v>
      </c>
      <c r="N8" s="97" t="s">
        <v>724</v>
      </c>
      <c r="O8" s="97" t="s">
        <v>728</v>
      </c>
    </row>
    <row r="9" spans="1:15" ht="18" customHeight="1" x14ac:dyDescent="0.25">
      <c r="C9" s="97" t="s">
        <v>727</v>
      </c>
      <c r="D9" s="97" t="s">
        <v>726</v>
      </c>
      <c r="E9" s="97">
        <v>5897279002</v>
      </c>
      <c r="F9" s="97" t="s">
        <v>688</v>
      </c>
      <c r="G9" s="97">
        <v>57.6</v>
      </c>
      <c r="H9" s="97">
        <v>48</v>
      </c>
      <c r="I9" s="97">
        <v>240</v>
      </c>
      <c r="J9" s="170">
        <v>57.6</v>
      </c>
      <c r="K9" s="97" t="s">
        <v>210</v>
      </c>
      <c r="L9" s="97" t="s">
        <v>725</v>
      </c>
      <c r="M9" s="171" t="s">
        <v>703</v>
      </c>
      <c r="N9" s="97" t="s">
        <v>724</v>
      </c>
      <c r="O9" s="97">
        <v>12489</v>
      </c>
    </row>
    <row r="10" spans="1:15" ht="18" customHeight="1" x14ac:dyDescent="0.25">
      <c r="C10" s="97" t="s">
        <v>723</v>
      </c>
      <c r="D10" s="97" t="s">
        <v>722</v>
      </c>
      <c r="E10" s="97">
        <v>149528.18</v>
      </c>
      <c r="F10" s="97" t="s">
        <v>688</v>
      </c>
      <c r="G10" s="97">
        <v>162.47999999999999</v>
      </c>
      <c r="H10" s="97">
        <v>48</v>
      </c>
      <c r="I10" s="97">
        <v>625</v>
      </c>
      <c r="J10" s="170">
        <v>162.47999999999999</v>
      </c>
      <c r="K10" s="97" t="s">
        <v>718</v>
      </c>
      <c r="L10" s="97" t="s">
        <v>713</v>
      </c>
      <c r="M10" s="171" t="s">
        <v>703</v>
      </c>
      <c r="N10" s="97" t="s">
        <v>717</v>
      </c>
      <c r="O10" s="97" t="s">
        <v>721</v>
      </c>
    </row>
    <row r="11" spans="1:15" ht="18" customHeight="1" x14ac:dyDescent="0.25">
      <c r="C11" s="97" t="s">
        <v>720</v>
      </c>
      <c r="D11" s="97" t="s">
        <v>719</v>
      </c>
      <c r="E11" s="97">
        <v>8277138001</v>
      </c>
      <c r="F11" s="97" t="s">
        <v>688</v>
      </c>
      <c r="G11" s="97">
        <v>150</v>
      </c>
      <c r="H11" s="97">
        <v>48</v>
      </c>
      <c r="I11" s="97">
        <v>625</v>
      </c>
      <c r="J11" s="170">
        <v>150</v>
      </c>
      <c r="K11" s="97" t="s">
        <v>718</v>
      </c>
      <c r="L11" s="97" t="s">
        <v>713</v>
      </c>
      <c r="M11" s="171" t="s">
        <v>703</v>
      </c>
      <c r="N11" s="97" t="s">
        <v>717</v>
      </c>
      <c r="O11" s="97" t="s">
        <v>716</v>
      </c>
    </row>
    <row r="12" spans="1:15" ht="18" customHeight="1" x14ac:dyDescent="0.25">
      <c r="C12" s="97" t="s">
        <v>715</v>
      </c>
      <c r="D12" s="97" t="s">
        <v>687</v>
      </c>
      <c r="E12" s="97" t="s">
        <v>687</v>
      </c>
      <c r="F12" s="97" t="s">
        <v>688</v>
      </c>
      <c r="G12" s="97" t="s">
        <v>81</v>
      </c>
      <c r="H12" s="97">
        <v>24</v>
      </c>
      <c r="I12" s="97">
        <v>200</v>
      </c>
      <c r="J12" s="170">
        <v>40</v>
      </c>
      <c r="K12" s="97" t="s">
        <v>714</v>
      </c>
      <c r="L12" s="97" t="s">
        <v>713</v>
      </c>
      <c r="M12" s="171" t="s">
        <v>703</v>
      </c>
      <c r="N12" s="97" t="s">
        <v>712</v>
      </c>
      <c r="O12" s="97">
        <v>6565623</v>
      </c>
    </row>
    <row r="13" spans="1:15" ht="18" customHeight="1" x14ac:dyDescent="0.25">
      <c r="C13" s="97" t="s">
        <v>707</v>
      </c>
      <c r="D13" s="97" t="s">
        <v>711</v>
      </c>
      <c r="E13" s="97" t="s">
        <v>687</v>
      </c>
      <c r="F13" s="97" t="s">
        <v>688</v>
      </c>
      <c r="G13" s="97" t="s">
        <v>81</v>
      </c>
      <c r="H13" s="97">
        <v>12</v>
      </c>
      <c r="I13" s="97">
        <v>50</v>
      </c>
      <c r="J13" s="170">
        <v>4</v>
      </c>
      <c r="K13" s="97" t="s">
        <v>710</v>
      </c>
      <c r="L13" s="97" t="s">
        <v>704</v>
      </c>
      <c r="M13" s="171" t="s">
        <v>703</v>
      </c>
      <c r="N13" s="97" t="s">
        <v>709</v>
      </c>
      <c r="O13" s="97" t="s">
        <v>708</v>
      </c>
    </row>
    <row r="14" spans="1:15" ht="18" customHeight="1" x14ac:dyDescent="0.25">
      <c r="C14" s="97" t="s">
        <v>707</v>
      </c>
      <c r="D14" s="97" t="s">
        <v>711</v>
      </c>
      <c r="E14" s="97" t="s">
        <v>687</v>
      </c>
      <c r="F14" s="97" t="s">
        <v>688</v>
      </c>
      <c r="G14" s="97" t="s">
        <v>81</v>
      </c>
      <c r="H14" s="97">
        <v>12</v>
      </c>
      <c r="I14" s="97">
        <v>50</v>
      </c>
      <c r="J14" s="170">
        <v>4</v>
      </c>
      <c r="K14" s="97" t="s">
        <v>710</v>
      </c>
      <c r="L14" s="97" t="s">
        <v>704</v>
      </c>
      <c r="M14" s="171" t="s">
        <v>703</v>
      </c>
      <c r="N14" s="97" t="s">
        <v>709</v>
      </c>
      <c r="O14" s="97" t="s">
        <v>708</v>
      </c>
    </row>
    <row r="15" spans="1:15" ht="18" customHeight="1" x14ac:dyDescent="0.25">
      <c r="C15" s="97" t="s">
        <v>707</v>
      </c>
      <c r="D15" s="97" t="s">
        <v>706</v>
      </c>
      <c r="E15" s="97" t="s">
        <v>687</v>
      </c>
      <c r="F15" s="97" t="s">
        <v>688</v>
      </c>
      <c r="G15" s="97" t="s">
        <v>81</v>
      </c>
      <c r="H15" s="97">
        <v>6</v>
      </c>
      <c r="I15" s="97">
        <v>180</v>
      </c>
      <c r="J15" s="170">
        <v>20</v>
      </c>
      <c r="K15" s="97" t="s">
        <v>705</v>
      </c>
      <c r="L15" s="97" t="s">
        <v>704</v>
      </c>
      <c r="M15" s="171" t="s">
        <v>703</v>
      </c>
      <c r="N15" s="440" t="s">
        <v>702</v>
      </c>
      <c r="O15" s="97">
        <v>80402044</v>
      </c>
    </row>
    <row r="16" spans="1:15" ht="18" customHeight="1" x14ac:dyDescent="0.25">
      <c r="C16" s="440" t="s">
        <v>707</v>
      </c>
      <c r="D16" s="440" t="s">
        <v>706</v>
      </c>
      <c r="E16" s="97" t="s">
        <v>687</v>
      </c>
      <c r="F16" s="97" t="s">
        <v>688</v>
      </c>
      <c r="G16" s="97" t="s">
        <v>81</v>
      </c>
      <c r="H16" s="97">
        <v>6</v>
      </c>
      <c r="I16" s="97">
        <v>180</v>
      </c>
      <c r="J16" s="170">
        <v>20</v>
      </c>
      <c r="K16" s="97" t="s">
        <v>705</v>
      </c>
      <c r="L16" s="440" t="s">
        <v>704</v>
      </c>
      <c r="M16" s="171" t="s">
        <v>703</v>
      </c>
      <c r="N16" s="440" t="s">
        <v>702</v>
      </c>
      <c r="O16" s="97">
        <v>80402044</v>
      </c>
    </row>
    <row r="17" spans="3:15" ht="18" customHeight="1" x14ac:dyDescent="0.25">
      <c r="C17" s="440" t="s">
        <v>707</v>
      </c>
      <c r="D17" s="440" t="s">
        <v>706</v>
      </c>
      <c r="E17" s="97" t="s">
        <v>687</v>
      </c>
      <c r="F17" s="97" t="s">
        <v>688</v>
      </c>
      <c r="G17" s="97" t="s">
        <v>81</v>
      </c>
      <c r="H17" s="97">
        <v>6</v>
      </c>
      <c r="I17" s="97">
        <v>180</v>
      </c>
      <c r="J17" s="170">
        <v>20</v>
      </c>
      <c r="K17" s="97" t="s">
        <v>705</v>
      </c>
      <c r="L17" s="440" t="s">
        <v>704</v>
      </c>
      <c r="M17" s="171" t="s">
        <v>703</v>
      </c>
      <c r="N17" s="440" t="s">
        <v>702</v>
      </c>
      <c r="O17" s="97">
        <v>80402044</v>
      </c>
    </row>
    <row r="18" spans="3:15" ht="18" customHeight="1" x14ac:dyDescent="0.25">
      <c r="C18" s="440" t="s">
        <v>707</v>
      </c>
      <c r="D18" s="440" t="s">
        <v>706</v>
      </c>
      <c r="E18" s="97" t="s">
        <v>687</v>
      </c>
      <c r="F18" s="97" t="s">
        <v>688</v>
      </c>
      <c r="G18" s="97" t="s">
        <v>81</v>
      </c>
      <c r="H18" s="97">
        <v>6</v>
      </c>
      <c r="I18" s="97">
        <v>180</v>
      </c>
      <c r="J18" s="170">
        <v>20</v>
      </c>
      <c r="K18" s="97" t="s">
        <v>705</v>
      </c>
      <c r="L18" s="440" t="s">
        <v>704</v>
      </c>
      <c r="M18" s="171" t="s">
        <v>703</v>
      </c>
      <c r="N18" s="440" t="s">
        <v>702</v>
      </c>
      <c r="O18" s="97">
        <v>80402044</v>
      </c>
    </row>
    <row r="19" spans="3:15" ht="18" customHeight="1" x14ac:dyDescent="0.25">
      <c r="C19" s="97" t="s">
        <v>687</v>
      </c>
      <c r="D19" s="97" t="s">
        <v>687</v>
      </c>
      <c r="E19" s="97" t="s">
        <v>687</v>
      </c>
      <c r="F19" s="97" t="s">
        <v>688</v>
      </c>
      <c r="G19" s="97" t="s">
        <v>81</v>
      </c>
      <c r="H19" s="97">
        <v>12</v>
      </c>
      <c r="I19" s="97">
        <v>50</v>
      </c>
      <c r="J19" s="170">
        <v>4</v>
      </c>
      <c r="K19" s="97" t="s">
        <v>701</v>
      </c>
      <c r="L19" s="97" t="s">
        <v>693</v>
      </c>
      <c r="M19" s="171" t="s">
        <v>692</v>
      </c>
      <c r="N19" s="97" t="s">
        <v>700</v>
      </c>
      <c r="O19" s="97" t="s">
        <v>699</v>
      </c>
    </row>
    <row r="20" spans="3:15" ht="18" customHeight="1" x14ac:dyDescent="0.25">
      <c r="C20" s="97" t="s">
        <v>698</v>
      </c>
      <c r="D20" s="97" t="s">
        <v>687</v>
      </c>
      <c r="E20" s="97" t="s">
        <v>687</v>
      </c>
      <c r="F20" s="97" t="s">
        <v>688</v>
      </c>
      <c r="G20" s="97" t="s">
        <v>81</v>
      </c>
      <c r="H20" s="97">
        <v>12</v>
      </c>
      <c r="I20" s="97">
        <v>50</v>
      </c>
      <c r="J20" s="170">
        <v>4</v>
      </c>
      <c r="K20" s="97" t="s">
        <v>698</v>
      </c>
      <c r="L20" s="97" t="s">
        <v>693</v>
      </c>
      <c r="M20" s="171" t="s">
        <v>692</v>
      </c>
      <c r="N20" s="97" t="s">
        <v>698</v>
      </c>
      <c r="O20" s="97" t="s">
        <v>697</v>
      </c>
    </row>
    <row r="21" spans="3:15" ht="18" customHeight="1" x14ac:dyDescent="0.25">
      <c r="C21" s="97" t="s">
        <v>696</v>
      </c>
      <c r="D21" s="97" t="s">
        <v>695</v>
      </c>
      <c r="E21" s="97" t="s">
        <v>687</v>
      </c>
      <c r="F21" s="97" t="s">
        <v>688</v>
      </c>
      <c r="G21" s="97" t="s">
        <v>81</v>
      </c>
      <c r="H21" s="97">
        <v>6</v>
      </c>
      <c r="I21" s="97">
        <v>205</v>
      </c>
      <c r="J21" s="170">
        <v>25</v>
      </c>
      <c r="K21" s="97" t="s">
        <v>694</v>
      </c>
      <c r="L21" s="97" t="s">
        <v>693</v>
      </c>
      <c r="M21" s="171" t="s">
        <v>692</v>
      </c>
      <c r="N21" s="97" t="s">
        <v>691</v>
      </c>
      <c r="O21" s="97">
        <v>20000486</v>
      </c>
    </row>
    <row r="22" spans="3:15" ht="18" customHeight="1" x14ac:dyDescent="0.25">
      <c r="C22" s="97" t="s">
        <v>696</v>
      </c>
      <c r="D22" s="97" t="s">
        <v>695</v>
      </c>
      <c r="E22" s="97" t="s">
        <v>687</v>
      </c>
      <c r="F22" s="97" t="s">
        <v>688</v>
      </c>
      <c r="G22" s="97" t="s">
        <v>81</v>
      </c>
      <c r="H22" s="97">
        <v>6</v>
      </c>
      <c r="I22" s="97">
        <v>205</v>
      </c>
      <c r="J22" s="170">
        <v>25</v>
      </c>
      <c r="K22" s="97" t="s">
        <v>694</v>
      </c>
      <c r="L22" s="97" t="s">
        <v>693</v>
      </c>
      <c r="M22" s="171" t="s">
        <v>692</v>
      </c>
      <c r="N22" s="97" t="s">
        <v>691</v>
      </c>
      <c r="O22" s="97">
        <v>20000486</v>
      </c>
    </row>
    <row r="23" spans="3:15" ht="18" customHeight="1" x14ac:dyDescent="0.25">
      <c r="C23" s="97" t="s">
        <v>696</v>
      </c>
      <c r="D23" s="97" t="s">
        <v>695</v>
      </c>
      <c r="E23" s="97" t="s">
        <v>687</v>
      </c>
      <c r="F23" s="97" t="s">
        <v>688</v>
      </c>
      <c r="G23" s="97" t="s">
        <v>81</v>
      </c>
      <c r="H23" s="97">
        <v>6</v>
      </c>
      <c r="I23" s="97">
        <v>205</v>
      </c>
      <c r="J23" s="170">
        <v>25</v>
      </c>
      <c r="K23" s="97" t="s">
        <v>694</v>
      </c>
      <c r="L23" s="97" t="s">
        <v>693</v>
      </c>
      <c r="M23" s="171" t="s">
        <v>692</v>
      </c>
      <c r="N23" s="97" t="s">
        <v>691</v>
      </c>
      <c r="O23" s="97">
        <v>20000486</v>
      </c>
    </row>
    <row r="24" spans="3:15" ht="18" customHeight="1" x14ac:dyDescent="0.25">
      <c r="C24" s="97" t="s">
        <v>696</v>
      </c>
      <c r="D24" s="97" t="s">
        <v>695</v>
      </c>
      <c r="E24" s="97" t="s">
        <v>687</v>
      </c>
      <c r="F24" s="97" t="s">
        <v>688</v>
      </c>
      <c r="G24" s="97" t="s">
        <v>81</v>
      </c>
      <c r="H24" s="97">
        <v>6</v>
      </c>
      <c r="I24" s="97">
        <v>205</v>
      </c>
      <c r="J24" s="170">
        <v>25</v>
      </c>
      <c r="K24" s="97" t="s">
        <v>694</v>
      </c>
      <c r="L24" s="97" t="s">
        <v>693</v>
      </c>
      <c r="M24" s="171" t="s">
        <v>692</v>
      </c>
      <c r="N24" s="97" t="s">
        <v>691</v>
      </c>
      <c r="O24" s="97">
        <v>20000486</v>
      </c>
    </row>
    <row r="25" spans="3:15" ht="18" customHeight="1" x14ac:dyDescent="0.25">
      <c r="C25" s="97" t="s">
        <v>690</v>
      </c>
      <c r="D25" s="97" t="s">
        <v>689</v>
      </c>
      <c r="E25" s="97" t="s">
        <v>687</v>
      </c>
      <c r="F25" s="97" t="s">
        <v>688</v>
      </c>
      <c r="G25" s="97" t="s">
        <v>81</v>
      </c>
      <c r="H25" s="97">
        <v>12</v>
      </c>
      <c r="I25" s="97">
        <v>140</v>
      </c>
      <c r="J25" s="170">
        <v>10</v>
      </c>
      <c r="K25" s="97" t="s">
        <v>686</v>
      </c>
      <c r="L25" s="97" t="s">
        <v>685</v>
      </c>
      <c r="M25" s="171" t="s">
        <v>684</v>
      </c>
      <c r="N25" s="97" t="s">
        <v>683</v>
      </c>
      <c r="O25" s="97"/>
    </row>
    <row r="26" spans="3:15" ht="18" customHeight="1" x14ac:dyDescent="0.25">
      <c r="C26" s="97" t="s">
        <v>690</v>
      </c>
      <c r="D26" s="97" t="s">
        <v>689</v>
      </c>
      <c r="E26" s="97" t="s">
        <v>687</v>
      </c>
      <c r="F26" s="97" t="s">
        <v>688</v>
      </c>
      <c r="G26" s="97" t="s">
        <v>81</v>
      </c>
      <c r="H26" s="97">
        <v>12</v>
      </c>
      <c r="I26" s="97">
        <v>140</v>
      </c>
      <c r="J26" s="170">
        <v>10</v>
      </c>
      <c r="K26" s="97" t="s">
        <v>686</v>
      </c>
      <c r="L26" s="97" t="s">
        <v>685</v>
      </c>
      <c r="M26" s="171" t="s">
        <v>684</v>
      </c>
      <c r="N26" s="97" t="s">
        <v>683</v>
      </c>
      <c r="O26" s="97"/>
    </row>
    <row r="27" spans="3:15" ht="18" customHeight="1" x14ac:dyDescent="0.25">
      <c r="C27" s="97" t="s">
        <v>690</v>
      </c>
      <c r="D27" s="97" t="s">
        <v>689</v>
      </c>
      <c r="E27" s="97" t="s">
        <v>687</v>
      </c>
      <c r="F27" s="97" t="s">
        <v>688</v>
      </c>
      <c r="G27" s="97" t="s">
        <v>81</v>
      </c>
      <c r="H27" s="97">
        <v>12</v>
      </c>
      <c r="I27" s="97">
        <v>140</v>
      </c>
      <c r="J27" s="170">
        <v>10</v>
      </c>
      <c r="K27" s="97" t="s">
        <v>686</v>
      </c>
      <c r="L27" s="97" t="s">
        <v>685</v>
      </c>
      <c r="M27" s="171" t="s">
        <v>684</v>
      </c>
      <c r="N27" s="97" t="s">
        <v>683</v>
      </c>
      <c r="O27" s="97"/>
    </row>
    <row r="28" spans="3:15" ht="18" customHeight="1" x14ac:dyDescent="0.25">
      <c r="C28" s="97" t="s">
        <v>690</v>
      </c>
      <c r="D28" s="97" t="s">
        <v>689</v>
      </c>
      <c r="E28" s="97" t="s">
        <v>687</v>
      </c>
      <c r="F28" s="97" t="s">
        <v>688</v>
      </c>
      <c r="G28" s="97" t="s">
        <v>687</v>
      </c>
      <c r="H28" s="97">
        <v>12</v>
      </c>
      <c r="I28" s="97">
        <v>140</v>
      </c>
      <c r="J28" s="170">
        <v>10</v>
      </c>
      <c r="K28" s="97" t="s">
        <v>686</v>
      </c>
      <c r="L28" s="97" t="s">
        <v>685</v>
      </c>
      <c r="M28" s="171" t="s">
        <v>684</v>
      </c>
      <c r="N28" s="97" t="s">
        <v>683</v>
      </c>
      <c r="O28" s="27"/>
    </row>
    <row r="29" spans="3:15" ht="18" customHeight="1" x14ac:dyDescent="0.25">
      <c r="C29" s="27"/>
      <c r="D29" s="27"/>
      <c r="E29" s="27"/>
      <c r="F29" s="27"/>
      <c r="G29" s="27"/>
      <c r="H29" s="27"/>
      <c r="I29" s="27"/>
      <c r="J29" s="27"/>
      <c r="K29" s="27"/>
      <c r="L29" s="27"/>
      <c r="M29" s="27"/>
      <c r="N29" s="27"/>
      <c r="O29" s="27"/>
    </row>
  </sheetData>
  <mergeCells count="1">
    <mergeCell ref="C2:O3"/>
  </mergeCells>
  <hyperlinks>
    <hyperlink ref="C1" location="INDICE!A1" display="INDICE" xr:uid="{00000000-0004-0000-0300-000000000000}"/>
  </hyperlinks>
  <pageMargins left="0.75" right="0.75" top="1" bottom="1" header="0.5" footer="0.5"/>
  <pageSetup paperSize="9" scale="40"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2:O8"/>
  <sheetViews>
    <sheetView topLeftCell="A6" zoomScale="80" zoomScaleNormal="80" zoomScaleSheetLayoutView="70" workbookViewId="0">
      <selection activeCell="S17" sqref="S17"/>
    </sheetView>
  </sheetViews>
  <sheetFormatPr defaultColWidth="9.109375" defaultRowHeight="13.2" x14ac:dyDescent="0.25"/>
  <cols>
    <col min="1" max="1" width="10.88671875" style="176" customWidth="1"/>
    <col min="2" max="2" width="32" style="176" customWidth="1"/>
    <col min="3" max="3" width="31" style="176" customWidth="1"/>
    <col min="4" max="4" width="10.88671875" style="176" customWidth="1"/>
    <col min="5" max="5" width="9.88671875" style="176" customWidth="1"/>
    <col min="6" max="7" width="10.6640625" style="176" customWidth="1"/>
    <col min="8" max="8" width="12.5546875" style="176" customWidth="1"/>
    <col min="9" max="9" width="10.109375" style="176" customWidth="1"/>
    <col min="10" max="10" width="16.44140625" style="176" customWidth="1"/>
    <col min="11" max="11" width="23.44140625" style="176" customWidth="1"/>
    <col min="12" max="12" width="10.109375" style="176" customWidth="1"/>
    <col min="13" max="13" width="7.5546875" style="176" bestFit="1" customWidth="1"/>
    <col min="14" max="14" width="7.5546875" style="176" customWidth="1"/>
    <col min="15" max="15" width="10.109375" style="176" customWidth="1"/>
    <col min="16" max="16384" width="9.109375" style="176"/>
  </cols>
  <sheetData>
    <row r="2" spans="1:15" x14ac:dyDescent="0.25">
      <c r="A2" s="176" t="s">
        <v>358</v>
      </c>
      <c r="J2" s="181" t="s">
        <v>359</v>
      </c>
      <c r="K2" s="180" t="s">
        <v>517</v>
      </c>
      <c r="L2" s="1079" t="s">
        <v>398</v>
      </c>
      <c r="M2" s="1079"/>
      <c r="N2" s="1080"/>
      <c r="O2" s="1080"/>
    </row>
    <row r="3" spans="1:15" ht="15" customHeight="1" x14ac:dyDescent="0.25">
      <c r="J3" s="224" t="s">
        <v>364</v>
      </c>
      <c r="K3" s="180" t="s">
        <v>518</v>
      </c>
      <c r="L3" s="1079" t="s">
        <v>399</v>
      </c>
      <c r="M3" s="1079"/>
    </row>
    <row r="4" spans="1:15" ht="15" customHeight="1" x14ac:dyDescent="0.25">
      <c r="A4" s="177" t="s">
        <v>365</v>
      </c>
      <c r="B4" s="178">
        <v>44335</v>
      </c>
      <c r="C4" s="177"/>
      <c r="J4" s="224" t="s">
        <v>366</v>
      </c>
      <c r="K4" s="459">
        <v>0.375</v>
      </c>
      <c r="L4" s="176" t="s">
        <v>367</v>
      </c>
    </row>
    <row r="5" spans="1:15" ht="15" customHeight="1" x14ac:dyDescent="0.25">
      <c r="A5" s="177"/>
      <c r="B5" s="458"/>
      <c r="C5" s="177"/>
      <c r="J5" s="224" t="s">
        <v>519</v>
      </c>
      <c r="K5" s="460">
        <v>44341</v>
      </c>
    </row>
    <row r="6" spans="1:15" ht="16.5" customHeight="1" x14ac:dyDescent="0.25">
      <c r="A6" s="177"/>
      <c r="B6" s="179"/>
      <c r="C6" s="177"/>
      <c r="J6" s="180" t="s">
        <v>300</v>
      </c>
      <c r="K6" s="461" t="s">
        <v>520</v>
      </c>
    </row>
    <row r="7" spans="1:15" ht="18" customHeight="1" x14ac:dyDescent="0.25">
      <c r="A7" s="177"/>
      <c r="B7" s="179"/>
      <c r="C7" s="177"/>
      <c r="J7" s="180" t="s">
        <v>299</v>
      </c>
      <c r="K7" s="462" t="s">
        <v>521</v>
      </c>
    </row>
    <row r="8" spans="1:15" ht="18.75" customHeight="1" x14ac:dyDescent="0.25"/>
  </sheetData>
  <mergeCells count="3">
    <mergeCell ref="L2:M2"/>
    <mergeCell ref="N2:O2"/>
    <mergeCell ref="L3:M3"/>
  </mergeCells>
  <hyperlinks>
    <hyperlink ref="K7" r:id="rId1" xr:uid="{00000000-0004-0000-0400-000000000000}"/>
    <hyperlink ref="L2:M2" r:id="rId2" display="scheda tecnica" xr:uid="{00000000-0004-0000-0400-000001000000}"/>
    <hyperlink ref="L3:M3" r:id="rId3" display="scheda sicurezza" xr:uid="{00000000-0004-0000-0400-000002000000}"/>
    <hyperlink ref="K5" r:id="rId4" display="..\SCHEDE SICUREZZA PRODOTTI\BATTEREEZY HT\ordine di acquisto.pdf" xr:uid="{00000000-0004-0000-0400-000003000000}"/>
    <hyperlink ref="K6" r:id="rId5" xr:uid="{00000000-0004-0000-0400-000004000000}"/>
  </hyperlinks>
  <pageMargins left="0.74803149606299213" right="0.74803149606299213" top="0.98425196850393704" bottom="0.98425196850393704" header="0.51181102362204722" footer="0.51181102362204722"/>
  <pageSetup paperSize="9" scale="38" orientation="landscape" r:id="rId6"/>
  <headerFooter alignWithMargins="0"/>
  <drawing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1:L38"/>
  <sheetViews>
    <sheetView showGridLines="0" workbookViewId="0">
      <selection activeCell="C4" sqref="C4:K9"/>
    </sheetView>
  </sheetViews>
  <sheetFormatPr defaultRowHeight="13.2" x14ac:dyDescent="0.25"/>
  <cols>
    <col min="11" max="11" width="17.88671875" customWidth="1"/>
    <col min="12" max="12" width="10.88671875" customWidth="1"/>
  </cols>
  <sheetData>
    <row r="1" spans="2:12" ht="13.8" thickBot="1" x14ac:dyDescent="0.3"/>
    <row r="2" spans="2:12" x14ac:dyDescent="0.25">
      <c r="B2" s="102"/>
      <c r="C2" s="103"/>
      <c r="D2" s="103"/>
      <c r="E2" s="103"/>
      <c r="F2" s="103"/>
      <c r="G2" s="103"/>
      <c r="H2" s="103"/>
      <c r="I2" s="103"/>
      <c r="J2" s="103"/>
      <c r="K2" s="103"/>
      <c r="L2" s="104"/>
    </row>
    <row r="3" spans="2:12" x14ac:dyDescent="0.25">
      <c r="B3" s="105"/>
      <c r="L3" s="106"/>
    </row>
    <row r="4" spans="2:12" x14ac:dyDescent="0.25">
      <c r="B4" s="105"/>
      <c r="C4" s="1083" t="s">
        <v>136</v>
      </c>
      <c r="D4" s="1083"/>
      <c r="E4" s="1083"/>
      <c r="F4" s="1083"/>
      <c r="G4" s="1083"/>
      <c r="H4" s="1083"/>
      <c r="I4" s="1083"/>
      <c r="J4" s="1083"/>
      <c r="K4" s="1083"/>
      <c r="L4" s="106"/>
    </row>
    <row r="5" spans="2:12" x14ac:dyDescent="0.25">
      <c r="B5" s="105"/>
      <c r="C5" s="1083"/>
      <c r="D5" s="1083"/>
      <c r="E5" s="1083"/>
      <c r="F5" s="1083"/>
      <c r="G5" s="1083"/>
      <c r="H5" s="1083"/>
      <c r="I5" s="1083"/>
      <c r="J5" s="1083"/>
      <c r="K5" s="1083"/>
      <c r="L5" s="106"/>
    </row>
    <row r="6" spans="2:12" x14ac:dyDescent="0.25">
      <c r="B6" s="105"/>
      <c r="C6" s="1083"/>
      <c r="D6" s="1083"/>
      <c r="E6" s="1083"/>
      <c r="F6" s="1083"/>
      <c r="G6" s="1083"/>
      <c r="H6" s="1083"/>
      <c r="I6" s="1083"/>
      <c r="J6" s="1083"/>
      <c r="K6" s="1083"/>
      <c r="L6" s="106"/>
    </row>
    <row r="7" spans="2:12" x14ac:dyDescent="0.25">
      <c r="B7" s="105"/>
      <c r="C7" s="1083"/>
      <c r="D7" s="1083"/>
      <c r="E7" s="1083"/>
      <c r="F7" s="1083"/>
      <c r="G7" s="1083"/>
      <c r="H7" s="1083"/>
      <c r="I7" s="1083"/>
      <c r="J7" s="1083"/>
      <c r="K7" s="1083"/>
      <c r="L7" s="106"/>
    </row>
    <row r="8" spans="2:12" x14ac:dyDescent="0.25">
      <c r="B8" s="105"/>
      <c r="C8" s="1083"/>
      <c r="D8" s="1083"/>
      <c r="E8" s="1083"/>
      <c r="F8" s="1083"/>
      <c r="G8" s="1083"/>
      <c r="H8" s="1083"/>
      <c r="I8" s="1083"/>
      <c r="J8" s="1083"/>
      <c r="K8" s="1083"/>
      <c r="L8" s="106"/>
    </row>
    <row r="9" spans="2:12" x14ac:dyDescent="0.25">
      <c r="B9" s="105"/>
      <c r="C9" s="1083"/>
      <c r="D9" s="1083"/>
      <c r="E9" s="1083"/>
      <c r="F9" s="1083"/>
      <c r="G9" s="1083"/>
      <c r="H9" s="1083"/>
      <c r="I9" s="1083"/>
      <c r="J9" s="1083"/>
      <c r="K9" s="1083"/>
      <c r="L9" s="106"/>
    </row>
    <row r="10" spans="2:12" x14ac:dyDescent="0.25">
      <c r="B10" s="105"/>
      <c r="C10" s="591"/>
      <c r="D10" s="591"/>
      <c r="E10" s="1083" t="s">
        <v>1000</v>
      </c>
      <c r="F10" s="1083"/>
      <c r="G10" s="1083"/>
      <c r="H10" s="1083"/>
      <c r="I10" s="1083"/>
      <c r="J10" s="1083"/>
      <c r="K10" s="591"/>
      <c r="L10" s="106"/>
    </row>
    <row r="11" spans="2:12" x14ac:dyDescent="0.25">
      <c r="B11" s="105"/>
      <c r="C11" s="751"/>
      <c r="D11" s="751"/>
      <c r="E11" s="751"/>
      <c r="F11" s="751"/>
      <c r="G11" s="751"/>
      <c r="H11" s="751"/>
      <c r="I11" s="751"/>
      <c r="J11" s="591"/>
      <c r="K11" s="591"/>
      <c r="L11" s="106"/>
    </row>
    <row r="12" spans="2:12" x14ac:dyDescent="0.25">
      <c r="B12" s="105"/>
      <c r="C12" s="747"/>
      <c r="D12" s="747"/>
      <c r="E12" s="747"/>
      <c r="F12" s="747"/>
      <c r="G12" s="747"/>
      <c r="H12" s="747"/>
      <c r="I12" s="747"/>
      <c r="L12" s="106"/>
    </row>
    <row r="13" spans="2:12" ht="17.399999999999999" x14ac:dyDescent="0.3">
      <c r="B13" s="105"/>
      <c r="C13" s="752"/>
      <c r="D13" s="752"/>
      <c r="E13" s="752"/>
      <c r="F13" s="752"/>
      <c r="G13" s="747"/>
      <c r="H13" s="747"/>
      <c r="I13" s="747"/>
      <c r="L13" s="106"/>
    </row>
    <row r="14" spans="2:12" x14ac:dyDescent="0.25">
      <c r="B14" s="105"/>
      <c r="C14" s="747"/>
      <c r="D14" s="747"/>
      <c r="E14" s="747"/>
      <c r="F14" s="747"/>
      <c r="G14" s="747"/>
      <c r="H14" s="747"/>
      <c r="I14" s="747"/>
      <c r="J14" s="747"/>
      <c r="K14" s="747"/>
      <c r="L14" s="106"/>
    </row>
    <row r="15" spans="2:12" x14ac:dyDescent="0.25">
      <c r="B15" s="105"/>
      <c r="C15" s="1084"/>
      <c r="D15" s="1084"/>
      <c r="E15" s="1084"/>
      <c r="F15" s="1084"/>
      <c r="G15" s="1084"/>
      <c r="H15" s="1084"/>
      <c r="I15" s="1084"/>
      <c r="J15" s="1084"/>
      <c r="K15" s="748"/>
      <c r="L15" s="106"/>
    </row>
    <row r="16" spans="2:12" x14ac:dyDescent="0.25">
      <c r="B16" s="105"/>
      <c r="C16" s="747"/>
      <c r="D16" s="747"/>
      <c r="E16" s="747"/>
      <c r="F16" s="747"/>
      <c r="G16" s="747"/>
      <c r="H16" s="747"/>
      <c r="I16" s="747"/>
      <c r="J16" s="747"/>
      <c r="K16" s="748"/>
      <c r="L16" s="106"/>
    </row>
    <row r="17" spans="2:12" x14ac:dyDescent="0.25">
      <c r="B17" s="105"/>
      <c r="C17" s="1084"/>
      <c r="D17" s="1084"/>
      <c r="E17" s="1084"/>
      <c r="F17" s="1084"/>
      <c r="G17" s="1084"/>
      <c r="H17" s="1084"/>
      <c r="I17" s="1084"/>
      <c r="J17" s="1082"/>
      <c r="K17" s="748"/>
      <c r="L17" s="106"/>
    </row>
    <row r="18" spans="2:12" x14ac:dyDescent="0.25">
      <c r="B18" s="105"/>
      <c r="C18" s="747"/>
      <c r="D18" s="747"/>
      <c r="E18" s="747"/>
      <c r="F18" s="747"/>
      <c r="G18" s="747"/>
      <c r="H18" s="747"/>
      <c r="I18" s="747"/>
      <c r="J18" s="747"/>
      <c r="K18" s="748"/>
      <c r="L18" s="106"/>
    </row>
    <row r="19" spans="2:12" x14ac:dyDescent="0.25">
      <c r="B19" s="105"/>
      <c r="C19" s="1082"/>
      <c r="D19" s="1082"/>
      <c r="E19" s="1082"/>
      <c r="F19" s="1082"/>
      <c r="G19" s="1082"/>
      <c r="H19" s="1082"/>
      <c r="I19" s="1082"/>
      <c r="J19" s="1082"/>
      <c r="K19" s="748"/>
      <c r="L19" s="106"/>
    </row>
    <row r="20" spans="2:12" x14ac:dyDescent="0.25">
      <c r="B20" s="105"/>
      <c r="C20" s="747"/>
      <c r="D20" s="747"/>
      <c r="E20" s="747"/>
      <c r="F20" s="747"/>
      <c r="G20" s="747"/>
      <c r="H20" s="747"/>
      <c r="I20" s="747"/>
      <c r="J20" s="747"/>
      <c r="K20" s="748"/>
      <c r="L20" s="106"/>
    </row>
    <row r="21" spans="2:12" x14ac:dyDescent="0.25">
      <c r="B21" s="105"/>
      <c r="C21" s="1082"/>
      <c r="D21" s="1082"/>
      <c r="E21" s="1082"/>
      <c r="F21" s="1082"/>
      <c r="G21" s="1082"/>
      <c r="H21" s="1082"/>
      <c r="I21" s="1082"/>
      <c r="J21" s="1082"/>
      <c r="K21" s="748"/>
      <c r="L21" s="106"/>
    </row>
    <row r="22" spans="2:12" x14ac:dyDescent="0.25">
      <c r="B22" s="105"/>
      <c r="C22" s="747"/>
      <c r="D22" s="747"/>
      <c r="E22" s="747"/>
      <c r="F22" s="747"/>
      <c r="G22" s="747"/>
      <c r="H22" s="747"/>
      <c r="I22" s="747"/>
      <c r="J22" s="747"/>
      <c r="K22" s="748"/>
      <c r="L22" s="106"/>
    </row>
    <row r="23" spans="2:12" x14ac:dyDescent="0.25">
      <c r="B23" s="105"/>
      <c r="C23" s="1082"/>
      <c r="D23" s="1082"/>
      <c r="E23" s="1082"/>
      <c r="F23" s="1082"/>
      <c r="G23" s="1082"/>
      <c r="H23" s="1082"/>
      <c r="I23" s="1082"/>
      <c r="J23" s="1082"/>
      <c r="K23" s="748"/>
      <c r="L23" s="106"/>
    </row>
    <row r="24" spans="2:12" x14ac:dyDescent="0.25">
      <c r="B24" s="105"/>
      <c r="C24" s="747"/>
      <c r="D24" s="747"/>
      <c r="E24" s="747"/>
      <c r="F24" s="747"/>
      <c r="G24" s="747"/>
      <c r="H24" s="747"/>
      <c r="I24" s="747"/>
      <c r="J24" s="747"/>
      <c r="K24" s="748"/>
      <c r="L24" s="106"/>
    </row>
    <row r="25" spans="2:12" x14ac:dyDescent="0.25">
      <c r="B25" s="105"/>
      <c r="C25" s="1082"/>
      <c r="D25" s="1082"/>
      <c r="E25" s="1082"/>
      <c r="F25" s="1082"/>
      <c r="G25" s="1082"/>
      <c r="H25" s="1082"/>
      <c r="I25" s="1082"/>
      <c r="J25" s="1082"/>
      <c r="K25" s="748"/>
      <c r="L25" s="106"/>
    </row>
    <row r="26" spans="2:12" x14ac:dyDescent="0.25">
      <c r="B26" s="105"/>
      <c r="C26" s="747"/>
      <c r="D26" s="747"/>
      <c r="E26" s="747"/>
      <c r="F26" s="747"/>
      <c r="G26" s="747"/>
      <c r="H26" s="747"/>
      <c r="I26" s="747"/>
      <c r="J26" s="747"/>
      <c r="K26" s="748"/>
      <c r="L26" s="106"/>
    </row>
    <row r="27" spans="2:12" x14ac:dyDescent="0.25">
      <c r="B27" s="105"/>
      <c r="C27" s="1082"/>
      <c r="D27" s="1082"/>
      <c r="E27" s="1082"/>
      <c r="F27" s="1082"/>
      <c r="G27" s="1082"/>
      <c r="H27" s="1082"/>
      <c r="I27" s="1082"/>
      <c r="J27" s="1082"/>
      <c r="K27" s="748"/>
      <c r="L27" s="106"/>
    </row>
    <row r="28" spans="2:12" x14ac:dyDescent="0.25">
      <c r="B28" s="105"/>
      <c r="C28" s="747"/>
      <c r="D28" s="747"/>
      <c r="E28" s="747"/>
      <c r="F28" s="747"/>
      <c r="G28" s="747"/>
      <c r="H28" s="747"/>
      <c r="I28" s="747"/>
      <c r="J28" s="747"/>
      <c r="K28" s="747"/>
      <c r="L28" s="106"/>
    </row>
    <row r="29" spans="2:12" x14ac:dyDescent="0.25">
      <c r="B29" s="105"/>
      <c r="C29" s="1081"/>
      <c r="D29" s="1082"/>
      <c r="E29" s="1082"/>
      <c r="F29" s="1082"/>
      <c r="G29" s="1082"/>
      <c r="H29" s="1082"/>
      <c r="I29" s="1082"/>
      <c r="J29" s="1082"/>
      <c r="K29" s="750"/>
      <c r="L29" s="106"/>
    </row>
    <row r="30" spans="2:12" x14ac:dyDescent="0.25">
      <c r="B30" s="105"/>
      <c r="C30" s="747"/>
      <c r="D30" s="747"/>
      <c r="E30" s="747"/>
      <c r="F30" s="747"/>
      <c r="G30" s="747"/>
      <c r="H30" s="747"/>
      <c r="I30" s="747"/>
      <c r="J30" s="747"/>
      <c r="K30" s="747"/>
      <c r="L30" s="106"/>
    </row>
    <row r="31" spans="2:12" x14ac:dyDescent="0.25">
      <c r="B31" s="105"/>
      <c r="C31" s="1081"/>
      <c r="D31" s="1082"/>
      <c r="E31" s="1082"/>
      <c r="F31" s="1082"/>
      <c r="G31" s="1082"/>
      <c r="H31" s="1082"/>
      <c r="I31" s="1082"/>
      <c r="J31" s="1082"/>
      <c r="K31" s="750"/>
      <c r="L31" s="106"/>
    </row>
    <row r="32" spans="2:12" x14ac:dyDescent="0.25">
      <c r="B32" s="105"/>
      <c r="C32" s="747"/>
      <c r="D32" s="747"/>
      <c r="E32" s="747"/>
      <c r="F32" s="747"/>
      <c r="G32" s="747"/>
      <c r="H32" s="747"/>
      <c r="I32" s="747"/>
      <c r="J32" s="747"/>
      <c r="K32" s="747"/>
      <c r="L32" s="106"/>
    </row>
    <row r="33" spans="2:12" x14ac:dyDescent="0.25">
      <c r="B33" s="105"/>
      <c r="C33" s="1081"/>
      <c r="D33" s="1082"/>
      <c r="E33" s="1082"/>
      <c r="F33" s="1082"/>
      <c r="G33" s="1082"/>
      <c r="H33" s="1082"/>
      <c r="I33" s="1082"/>
      <c r="J33" s="1082"/>
      <c r="K33" s="750"/>
      <c r="L33" s="106"/>
    </row>
    <row r="34" spans="2:12" x14ac:dyDescent="0.25">
      <c r="B34" s="105"/>
      <c r="C34" s="749"/>
      <c r="D34" s="747"/>
      <c r="E34" s="747"/>
      <c r="F34" s="747"/>
      <c r="G34" s="747"/>
      <c r="H34" s="747"/>
      <c r="I34" s="747"/>
      <c r="J34" s="747"/>
      <c r="K34" s="750"/>
      <c r="L34" s="106"/>
    </row>
    <row r="35" spans="2:12" x14ac:dyDescent="0.25">
      <c r="B35" s="105"/>
      <c r="C35" s="1081"/>
      <c r="D35" s="1082"/>
      <c r="E35" s="1082"/>
      <c r="F35" s="1082"/>
      <c r="G35" s="1082"/>
      <c r="H35" s="1082"/>
      <c r="I35" s="1082"/>
      <c r="J35" s="1082"/>
      <c r="K35" s="750"/>
      <c r="L35" s="106"/>
    </row>
    <row r="36" spans="2:12" x14ac:dyDescent="0.25">
      <c r="B36" s="105"/>
      <c r="C36" s="749"/>
      <c r="D36" s="747"/>
      <c r="E36" s="747"/>
      <c r="F36" s="747"/>
      <c r="G36" s="747"/>
      <c r="H36" s="747"/>
      <c r="I36" s="747"/>
      <c r="J36" s="747"/>
      <c r="K36" s="750"/>
      <c r="L36" s="106"/>
    </row>
    <row r="37" spans="2:12" x14ac:dyDescent="0.25">
      <c r="B37" s="105"/>
      <c r="C37" s="1081"/>
      <c r="D37" s="1082"/>
      <c r="E37" s="1082"/>
      <c r="F37" s="1082"/>
      <c r="G37" s="1082"/>
      <c r="H37" s="1082"/>
      <c r="I37" s="1082"/>
      <c r="J37" s="1082"/>
      <c r="K37" s="750"/>
      <c r="L37" s="106"/>
    </row>
    <row r="38" spans="2:12" ht="13.8" thickBot="1" x14ac:dyDescent="0.3">
      <c r="B38" s="107"/>
      <c r="C38" s="108"/>
      <c r="D38" s="108"/>
      <c r="E38" s="108"/>
      <c r="F38" s="108"/>
      <c r="G38" s="108"/>
      <c r="H38" s="108"/>
      <c r="I38" s="108"/>
      <c r="J38" s="108"/>
      <c r="K38" s="108"/>
      <c r="L38" s="109"/>
    </row>
  </sheetData>
  <mergeCells count="14">
    <mergeCell ref="C4:K9"/>
    <mergeCell ref="C15:J15"/>
    <mergeCell ref="C17:J17"/>
    <mergeCell ref="C25:J25"/>
    <mergeCell ref="C27:J27"/>
    <mergeCell ref="C23:J23"/>
    <mergeCell ref="C21:J21"/>
    <mergeCell ref="C19:J19"/>
    <mergeCell ref="E10:J10"/>
    <mergeCell ref="C37:J37"/>
    <mergeCell ref="C35:J35"/>
    <mergeCell ref="C33:J33"/>
    <mergeCell ref="C31:J31"/>
    <mergeCell ref="C29:J29"/>
  </mergeCells>
  <phoneticPr fontId="0" type="noConversion"/>
  <hyperlinks>
    <hyperlink ref="C4:K9" r:id="rId1" display="REGISTRO LEGISLATIVO" xr:uid="{00000000-0004-0000-0500-000000000000}"/>
    <hyperlink ref="E10:J10" r:id="rId2" display="Valutazione aspetti legislativi al 31/03/2025" xr:uid="{00000000-0004-0000-0500-000001000000}"/>
  </hyperlinks>
  <pageMargins left="0.75" right="0.75" top="1" bottom="1" header="0.5" footer="0.5"/>
  <pageSetup paperSize="9" orientation="portrait" r:id="rId3"/>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I14"/>
  <sheetViews>
    <sheetView zoomScaleNormal="100" zoomScaleSheetLayoutView="75" workbookViewId="0">
      <pane xSplit="1" ySplit="3" topLeftCell="B4" activePane="bottomRight" state="frozen"/>
      <selection pane="topRight" activeCell="B1" sqref="B1"/>
      <selection pane="bottomLeft" activeCell="A4" sqref="A4"/>
      <selection pane="bottomRight" activeCell="F8" sqref="F8"/>
    </sheetView>
  </sheetViews>
  <sheetFormatPr defaultColWidth="9.109375" defaultRowHeight="16.2" x14ac:dyDescent="0.4"/>
  <cols>
    <col min="1" max="1" width="50.33203125" style="1" customWidth="1"/>
    <col min="2" max="2" width="39.6640625" style="4" customWidth="1"/>
    <col min="3" max="4" width="32.44140625" style="4" customWidth="1"/>
    <col min="5" max="5" width="22.5546875" style="4" customWidth="1"/>
    <col min="6" max="7" width="31.5546875" style="4" customWidth="1"/>
    <col min="8" max="8" width="78.33203125" style="1" customWidth="1"/>
    <col min="9" max="9" width="46.88671875" style="1" customWidth="1"/>
    <col min="10" max="16384" width="9.109375" style="1"/>
  </cols>
  <sheetData>
    <row r="1" spans="1:9" x14ac:dyDescent="0.4">
      <c r="A1" s="2"/>
    </row>
    <row r="2" spans="1:9" x14ac:dyDescent="0.4">
      <c r="A2" s="2"/>
    </row>
    <row r="3" spans="1:9" ht="3.75" customHeight="1" x14ac:dyDescent="0.4">
      <c r="A3" s="2"/>
    </row>
    <row r="4" spans="1:9" s="141" customFormat="1" ht="34.5" customHeight="1" x14ac:dyDescent="0.25">
      <c r="A4" s="139" t="s">
        <v>7</v>
      </c>
      <c r="B4" s="139" t="s">
        <v>6</v>
      </c>
      <c r="C4" s="139" t="s">
        <v>32</v>
      </c>
      <c r="D4" s="139" t="s">
        <v>33</v>
      </c>
      <c r="E4" s="139" t="s">
        <v>5</v>
      </c>
      <c r="F4" s="140" t="s">
        <v>14</v>
      </c>
      <c r="G4" s="140" t="s">
        <v>184</v>
      </c>
      <c r="H4" s="140" t="s">
        <v>153</v>
      </c>
      <c r="I4" s="140" t="s">
        <v>606</v>
      </c>
    </row>
    <row r="5" spans="1:9" s="3" customFormat="1" ht="3" customHeight="1" x14ac:dyDescent="0.4">
      <c r="A5" s="16"/>
      <c r="B5" s="17"/>
      <c r="C5" s="17"/>
      <c r="D5" s="17"/>
      <c r="E5" s="17"/>
      <c r="F5" s="17"/>
      <c r="G5" s="17"/>
      <c r="H5" s="135"/>
      <c r="I5" s="135"/>
    </row>
    <row r="6" spans="1:9" s="14" customFormat="1" x14ac:dyDescent="0.4">
      <c r="A6" s="182" t="s">
        <v>232</v>
      </c>
      <c r="B6" s="183" t="s">
        <v>34</v>
      </c>
      <c r="C6" s="184">
        <v>36401</v>
      </c>
      <c r="D6" s="185" t="s">
        <v>135</v>
      </c>
      <c r="E6" s="60" t="s">
        <v>324</v>
      </c>
      <c r="F6" s="183" t="s">
        <v>35</v>
      </c>
      <c r="G6" s="7"/>
      <c r="H6" s="18" t="s">
        <v>369</v>
      </c>
      <c r="I6" s="18"/>
    </row>
    <row r="7" spans="1:9" s="14" customFormat="1" x14ac:dyDescent="0.4">
      <c r="A7" s="182" t="s">
        <v>233</v>
      </c>
      <c r="B7" s="183" t="s">
        <v>36</v>
      </c>
      <c r="C7" s="184">
        <v>38637</v>
      </c>
      <c r="D7" s="185" t="s">
        <v>37</v>
      </c>
      <c r="E7" s="60" t="s">
        <v>324</v>
      </c>
      <c r="F7" s="184">
        <v>43465</v>
      </c>
      <c r="G7" s="15"/>
      <c r="H7" s="18" t="s">
        <v>369</v>
      </c>
      <c r="I7" s="18"/>
    </row>
    <row r="8" spans="1:9" s="14" customFormat="1" x14ac:dyDescent="0.25">
      <c r="A8" s="19" t="s">
        <v>31</v>
      </c>
      <c r="B8" s="7" t="s">
        <v>38</v>
      </c>
      <c r="C8" s="15">
        <v>41820</v>
      </c>
      <c r="D8" s="98">
        <v>16804</v>
      </c>
      <c r="E8" s="7" t="s">
        <v>256</v>
      </c>
      <c r="F8" s="405">
        <v>45473</v>
      </c>
      <c r="G8" s="15">
        <v>45323</v>
      </c>
      <c r="H8" s="18"/>
      <c r="I8" s="18"/>
    </row>
    <row r="9" spans="1:9" ht="24.75" customHeight="1" x14ac:dyDescent="0.45">
      <c r="A9" s="186" t="s">
        <v>370</v>
      </c>
      <c r="B9" s="60" t="s">
        <v>321</v>
      </c>
      <c r="C9" s="67">
        <v>39329</v>
      </c>
      <c r="D9" s="187" t="s">
        <v>134</v>
      </c>
      <c r="E9" s="60" t="s">
        <v>324</v>
      </c>
      <c r="F9" s="188">
        <v>41521</v>
      </c>
      <c r="G9" s="99"/>
      <c r="H9" s="18" t="s">
        <v>369</v>
      </c>
      <c r="I9" s="47"/>
    </row>
    <row r="10" spans="1:9" ht="24.75" customHeight="1" x14ac:dyDescent="0.45">
      <c r="A10" s="47" t="s">
        <v>205</v>
      </c>
      <c r="B10" s="9" t="s">
        <v>165</v>
      </c>
      <c r="C10" s="20">
        <v>40700</v>
      </c>
      <c r="D10" s="100" t="s">
        <v>166</v>
      </c>
      <c r="E10" s="9" t="s">
        <v>324</v>
      </c>
      <c r="F10" s="169">
        <v>42892</v>
      </c>
      <c r="G10" s="253">
        <v>42680</v>
      </c>
      <c r="H10" s="9" t="s">
        <v>278</v>
      </c>
      <c r="I10" s="47"/>
    </row>
    <row r="11" spans="1:9" ht="56.25" customHeight="1" x14ac:dyDescent="0.4">
      <c r="A11" s="223" t="s">
        <v>244</v>
      </c>
      <c r="B11" s="9" t="s">
        <v>165</v>
      </c>
      <c r="C11" s="20">
        <v>41619</v>
      </c>
      <c r="D11" s="100" t="s">
        <v>65</v>
      </c>
      <c r="E11" s="9" t="s">
        <v>324</v>
      </c>
      <c r="F11" s="10" t="s">
        <v>278</v>
      </c>
      <c r="G11" s="9" t="s">
        <v>278</v>
      </c>
      <c r="H11" s="9" t="s">
        <v>278</v>
      </c>
      <c r="I11" s="47"/>
    </row>
    <row r="12" spans="1:9" ht="62.25" customHeight="1" x14ac:dyDescent="0.45">
      <c r="A12" s="47" t="s">
        <v>206</v>
      </c>
      <c r="B12" s="9" t="s">
        <v>165</v>
      </c>
      <c r="C12" s="20">
        <v>42227</v>
      </c>
      <c r="D12" s="100" t="s">
        <v>204</v>
      </c>
      <c r="E12" s="9" t="s">
        <v>324</v>
      </c>
      <c r="F12" s="250" t="s">
        <v>400</v>
      </c>
      <c r="G12" s="169">
        <v>44871</v>
      </c>
      <c r="H12" s="47" t="s">
        <v>207</v>
      </c>
      <c r="I12" s="491" t="s">
        <v>607</v>
      </c>
    </row>
    <row r="13" spans="1:9" s="14" customFormat="1" ht="41.25" customHeight="1" x14ac:dyDescent="0.25">
      <c r="A13" s="19" t="s">
        <v>150</v>
      </c>
      <c r="B13" s="7" t="s">
        <v>148</v>
      </c>
      <c r="C13" s="15">
        <v>40493</v>
      </c>
      <c r="D13" s="101" t="s">
        <v>149</v>
      </c>
      <c r="E13" s="7" t="s">
        <v>324</v>
      </c>
      <c r="F13" s="408">
        <v>43100</v>
      </c>
      <c r="G13" s="490" t="s">
        <v>605</v>
      </c>
      <c r="H13" s="136" t="s">
        <v>154</v>
      </c>
      <c r="I13" s="18"/>
    </row>
    <row r="14" spans="1:9" ht="30" customHeight="1" x14ac:dyDescent="0.4">
      <c r="A14" s="189" t="s">
        <v>181</v>
      </c>
      <c r="B14" s="190" t="s">
        <v>182</v>
      </c>
      <c r="C14" s="184">
        <v>40112</v>
      </c>
      <c r="D14" s="185" t="s">
        <v>183</v>
      </c>
      <c r="E14" s="183" t="s">
        <v>324</v>
      </c>
      <c r="F14" s="183" t="s">
        <v>278</v>
      </c>
      <c r="G14" s="7"/>
      <c r="H14" s="18" t="s">
        <v>369</v>
      </c>
      <c r="I14" s="47"/>
    </row>
  </sheetData>
  <phoneticPr fontId="0" type="noConversion"/>
  <hyperlinks>
    <hyperlink ref="D8" r:id="rId1" display="Nostre Autorizzazioni\COM-VR.REGISTRO UFFICIALE.2015.0001442 (1).pdf" xr:uid="{00000000-0004-0000-0600-000000000000}"/>
    <hyperlink ref="F9" r:id="rId2" display="Nostre Autorizzazioni\Avvio procedimento AIA.pdf" xr:uid="{00000000-0004-0000-0600-000001000000}"/>
    <hyperlink ref="D9" r:id="rId3" xr:uid="{00000000-0004-0000-0600-000002000000}"/>
    <hyperlink ref="D6" r:id="rId4" xr:uid="{00000000-0004-0000-0600-000003000000}"/>
    <hyperlink ref="D7" r:id="rId5" xr:uid="{00000000-0004-0000-0600-000004000000}"/>
    <hyperlink ref="D13" r:id="rId6" xr:uid="{00000000-0004-0000-0600-000005000000}"/>
    <hyperlink ref="D14" r:id="rId7" xr:uid="{00000000-0004-0000-0600-000006000000}"/>
    <hyperlink ref="D10" r:id="rId8" xr:uid="{00000000-0004-0000-0600-000007000000}"/>
    <hyperlink ref="D11" r:id="rId9" xr:uid="{00000000-0004-0000-0600-000008000000}"/>
    <hyperlink ref="D12" r:id="rId10" xr:uid="{00000000-0004-0000-0600-000009000000}"/>
    <hyperlink ref="F12" r:id="rId11" xr:uid="{00000000-0004-0000-0600-00000A000000}"/>
    <hyperlink ref="F8" r:id="rId12" display="Nostre Autorizzazioni\Rinnovo 2019 CPI 16804.pdf" xr:uid="{00000000-0004-0000-0600-00000B000000}"/>
    <hyperlink ref="F13" r:id="rId13" display="POZZO D_3113\Regione Veneto_stato pratica rinnovo al 12_03_2020.pdf" xr:uid="{00000000-0004-0000-0600-00000C000000}"/>
    <hyperlink ref="I12" r:id="rId14" xr:uid="{00000000-0004-0000-0600-00000D000000}"/>
  </hyperlinks>
  <printOptions horizontalCentered="1"/>
  <pageMargins left="0.39370078740157483" right="0.39370078740157483" top="0" bottom="0" header="0" footer="0"/>
  <pageSetup paperSize="9" scale="70" orientation="landscape" r:id="rId15"/>
  <headerFooter alignWithMargins="0"/>
  <drawing r:id="rId16"/>
  <legacyDrawing r:id="rId17"/>
  <oleObjects>
    <mc:AlternateContent xmlns:mc="http://schemas.openxmlformats.org/markup-compatibility/2006">
      <mc:Choice Requires="x14">
        <oleObject progId="MS_ClipArt_Gallery" shapeId="4099" r:id="rId18">
          <objectPr defaultSize="0" autoPict="0" r:id="rId19">
            <anchor moveWithCells="1" sizeWithCells="1">
              <from>
                <xdr:col>4</xdr:col>
                <xdr:colOff>175260</xdr:colOff>
                <xdr:row>6</xdr:row>
                <xdr:rowOff>0</xdr:rowOff>
              </from>
              <to>
                <xdr:col>4</xdr:col>
                <xdr:colOff>198120</xdr:colOff>
                <xdr:row>6</xdr:row>
                <xdr:rowOff>0</xdr:rowOff>
              </to>
            </anchor>
          </objectPr>
        </oleObject>
      </mc:Choice>
      <mc:Fallback>
        <oleObject progId="MS_ClipArt_Gallery" shapeId="4099" r:id="rId18"/>
      </mc:Fallback>
    </mc:AlternateContent>
    <mc:AlternateContent xmlns:mc="http://schemas.openxmlformats.org/markup-compatibility/2006">
      <mc:Choice Requires="x14">
        <oleObject progId="MS_ClipArt_Gallery" shapeId="4100" r:id="rId20">
          <objectPr defaultSize="0" autoPict="0" r:id="rId19">
            <anchor moveWithCells="1" sizeWithCells="1">
              <from>
                <xdr:col>4</xdr:col>
                <xdr:colOff>0</xdr:colOff>
                <xdr:row>6</xdr:row>
                <xdr:rowOff>0</xdr:rowOff>
              </from>
              <to>
                <xdr:col>4</xdr:col>
                <xdr:colOff>38100</xdr:colOff>
                <xdr:row>6</xdr:row>
                <xdr:rowOff>152400</xdr:rowOff>
              </to>
            </anchor>
          </objectPr>
        </oleObject>
      </mc:Choice>
      <mc:Fallback>
        <oleObject progId="MS_ClipArt_Gallery" shapeId="4100" r:id="rId20"/>
      </mc:Fallback>
    </mc:AlternateContent>
    <mc:AlternateContent xmlns:mc="http://schemas.openxmlformats.org/markup-compatibility/2006">
      <mc:Choice Requires="x14">
        <oleObject progId="MS_ClipArt_Gallery" shapeId="4101" r:id="rId21">
          <objectPr defaultSize="0" autoPict="0" r:id="rId19">
            <anchor moveWithCells="1" sizeWithCells="1">
              <from>
                <xdr:col>4</xdr:col>
                <xdr:colOff>83820</xdr:colOff>
                <xdr:row>6</xdr:row>
                <xdr:rowOff>0</xdr:rowOff>
              </from>
              <to>
                <xdr:col>4</xdr:col>
                <xdr:colOff>121920</xdr:colOff>
                <xdr:row>6</xdr:row>
                <xdr:rowOff>152400</xdr:rowOff>
              </to>
            </anchor>
          </objectPr>
        </oleObject>
      </mc:Choice>
      <mc:Fallback>
        <oleObject progId="MS_ClipArt_Gallery" shapeId="4101" r:id="rId21"/>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D2:G24"/>
  <sheetViews>
    <sheetView topLeftCell="A4" workbookViewId="0">
      <selection activeCell="E11" sqref="E11"/>
    </sheetView>
  </sheetViews>
  <sheetFormatPr defaultRowHeight="13.2" x14ac:dyDescent="0.25"/>
  <cols>
    <col min="5" max="5" width="56.6640625" customWidth="1"/>
  </cols>
  <sheetData>
    <row r="2" spans="4:7" ht="13.8" thickBot="1" x14ac:dyDescent="0.3"/>
    <row r="3" spans="4:7" ht="35.4" customHeight="1" thickBot="1" x14ac:dyDescent="0.3">
      <c r="E3" s="635" t="s">
        <v>858</v>
      </c>
    </row>
    <row r="4" spans="4:7" ht="60.6" customHeight="1" thickBot="1" x14ac:dyDescent="0.3"/>
    <row r="5" spans="4:7" x14ac:dyDescent="0.25">
      <c r="D5" s="623"/>
      <c r="E5" s="629"/>
      <c r="F5" s="629"/>
      <c r="G5" s="624"/>
    </row>
    <row r="6" spans="4:7" ht="24.6" x14ac:dyDescent="0.4">
      <c r="D6" s="625"/>
      <c r="E6" s="632" t="s">
        <v>854</v>
      </c>
      <c r="F6" s="630"/>
      <c r="G6" s="626"/>
    </row>
    <row r="7" spans="4:7" ht="36.6" customHeight="1" x14ac:dyDescent="0.25">
      <c r="D7" s="625"/>
      <c r="E7" s="630"/>
      <c r="F7" s="630"/>
      <c r="G7" s="626"/>
    </row>
    <row r="8" spans="4:7" ht="17.399999999999999" x14ac:dyDescent="0.3">
      <c r="D8" s="625"/>
      <c r="E8" s="633" t="s">
        <v>855</v>
      </c>
      <c r="F8" s="630"/>
      <c r="G8" s="626"/>
    </row>
    <row r="9" spans="4:7" ht="10.95" customHeight="1" x14ac:dyDescent="0.25">
      <c r="D9" s="625"/>
      <c r="E9" s="630"/>
      <c r="F9" s="630"/>
      <c r="G9" s="626"/>
    </row>
    <row r="10" spans="4:7" ht="9" customHeight="1" x14ac:dyDescent="0.25">
      <c r="D10" s="625"/>
      <c r="E10" s="630"/>
      <c r="F10" s="630"/>
      <c r="G10" s="626"/>
    </row>
    <row r="11" spans="4:7" ht="17.399999999999999" x14ac:dyDescent="0.3">
      <c r="D11" s="625"/>
      <c r="E11" s="634" t="s">
        <v>856</v>
      </c>
      <c r="F11" s="630"/>
      <c r="G11" s="626"/>
    </row>
    <row r="12" spans="4:7" ht="17.399999999999999" x14ac:dyDescent="0.3">
      <c r="D12" s="625"/>
      <c r="E12" s="634"/>
      <c r="F12" s="630"/>
      <c r="G12" s="626"/>
    </row>
    <row r="13" spans="4:7" ht="17.399999999999999" x14ac:dyDescent="0.3">
      <c r="D13" s="625"/>
      <c r="E13" s="633" t="s">
        <v>936</v>
      </c>
      <c r="F13" s="630"/>
      <c r="G13" s="626"/>
    </row>
    <row r="14" spans="4:7" ht="15" customHeight="1" x14ac:dyDescent="0.25">
      <c r="D14" s="625"/>
      <c r="E14" s="630"/>
      <c r="F14" s="630"/>
      <c r="G14" s="626"/>
    </row>
    <row r="15" spans="4:7" ht="17.399999999999999" x14ac:dyDescent="0.3">
      <c r="D15" s="625"/>
      <c r="E15" s="633" t="s">
        <v>937</v>
      </c>
      <c r="F15" s="630"/>
      <c r="G15" s="626"/>
    </row>
    <row r="16" spans="4:7" ht="17.399999999999999" x14ac:dyDescent="0.3">
      <c r="D16" s="625"/>
      <c r="E16" s="633"/>
      <c r="F16" s="630"/>
      <c r="G16" s="626"/>
    </row>
    <row r="17" spans="4:7" ht="17.399999999999999" x14ac:dyDescent="0.3">
      <c r="D17" s="625"/>
      <c r="E17" s="633" t="s">
        <v>1118</v>
      </c>
      <c r="F17" s="630"/>
      <c r="G17" s="626"/>
    </row>
    <row r="18" spans="4:7" ht="17.399999999999999" x14ac:dyDescent="0.3">
      <c r="D18" s="625"/>
      <c r="E18" s="633"/>
      <c r="F18" s="630"/>
      <c r="G18" s="626"/>
    </row>
    <row r="19" spans="4:7" ht="17.399999999999999" x14ac:dyDescent="0.3">
      <c r="D19" s="625"/>
      <c r="E19" s="633" t="s">
        <v>1119</v>
      </c>
      <c r="F19" s="630"/>
      <c r="G19" s="626"/>
    </row>
    <row r="20" spans="4:7" x14ac:dyDescent="0.25">
      <c r="D20" s="625"/>
      <c r="E20" s="630"/>
      <c r="F20" s="630"/>
      <c r="G20" s="626"/>
    </row>
    <row r="21" spans="4:7" ht="17.399999999999999" x14ac:dyDescent="0.3">
      <c r="D21" s="625"/>
      <c r="E21" s="633" t="s">
        <v>1120</v>
      </c>
      <c r="F21" s="630"/>
      <c r="G21" s="626"/>
    </row>
    <row r="22" spans="4:7" x14ac:dyDescent="0.25">
      <c r="D22" s="625"/>
      <c r="E22" s="630"/>
      <c r="F22" s="630"/>
      <c r="G22" s="626"/>
    </row>
    <row r="23" spans="4:7" x14ac:dyDescent="0.25">
      <c r="D23" s="625"/>
      <c r="E23" s="630"/>
      <c r="F23" s="630"/>
      <c r="G23" s="626"/>
    </row>
    <row r="24" spans="4:7" ht="13.8" thickBot="1" x14ac:dyDescent="0.3">
      <c r="D24" s="627"/>
      <c r="E24" s="631"/>
      <c r="F24" s="631"/>
      <c r="G24" s="628"/>
    </row>
  </sheetData>
  <hyperlinks>
    <hyperlink ref="E8" location="'5.1 Gestione Impianto'!A1" display="5.1 Gestione Impianto" xr:uid="{00000000-0004-0000-0700-000000000000}"/>
    <hyperlink ref="E11" location="'5.2 Emissioni in atmosfera'!A1" display="5.2 Emissioni in atmosfera" xr:uid="{00000000-0004-0000-0700-000001000000}"/>
    <hyperlink ref="E3" r:id="rId1" xr:uid="{00000000-0004-0000-0700-000002000000}"/>
    <hyperlink ref="E13" location="'5.3 Scarichi idrici'!A1" display="5.3 Scarichi idrici" xr:uid="{00000000-0004-0000-0700-000003000000}"/>
    <hyperlink ref="E15" location="'5.4 Rifiuti prodotti'!A1" display="5.4 Rifiuti prodotti" xr:uid="{00000000-0004-0000-0700-000004000000}"/>
    <hyperlink ref="E17" location="'5.5 Energia'!A1" display="5.5 Energia" xr:uid="{00000000-0004-0000-0700-000005000000}"/>
    <hyperlink ref="E19" location="'5.6 Agenti Fisici'!A1" display="5.6 Agenti Fisici" xr:uid="{00000000-0004-0000-0700-000006000000}"/>
    <hyperlink ref="E21" location="'5.7 Suolo e sottosuolo'!A1" display="5.7 Suolo e sottosuolo" xr:uid="{00000000-0004-0000-0700-00000700000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C5:J13"/>
  <sheetViews>
    <sheetView workbookViewId="0">
      <selection activeCell="F16" sqref="F16"/>
    </sheetView>
  </sheetViews>
  <sheetFormatPr defaultRowHeight="13.2" x14ac:dyDescent="0.25"/>
  <cols>
    <col min="3" max="3" width="18.88671875" customWidth="1"/>
    <col min="4" max="4" width="50.33203125" customWidth="1"/>
    <col min="5" max="5" width="23.33203125" customWidth="1"/>
    <col min="6" max="6" width="30.88671875" customWidth="1"/>
    <col min="7" max="10" width="21.33203125" customWidth="1"/>
  </cols>
  <sheetData>
    <row r="5" spans="3:10" ht="31.95" customHeight="1" x14ac:dyDescent="0.25">
      <c r="C5" s="742" t="s">
        <v>859</v>
      </c>
      <c r="D5" s="742" t="s">
        <v>861</v>
      </c>
      <c r="E5" s="742" t="s">
        <v>860</v>
      </c>
      <c r="F5" s="742" t="s">
        <v>862</v>
      </c>
      <c r="G5" s="742" t="s">
        <v>939</v>
      </c>
      <c r="H5" s="742" t="s">
        <v>940</v>
      </c>
      <c r="I5" s="742" t="s">
        <v>863</v>
      </c>
      <c r="J5" s="742" t="s">
        <v>28</v>
      </c>
    </row>
    <row r="6" spans="3:10" ht="26.4" x14ac:dyDescent="0.25">
      <c r="C6" s="260" t="s">
        <v>956</v>
      </c>
      <c r="D6" s="741" t="s">
        <v>955</v>
      </c>
      <c r="E6" s="640">
        <v>45777</v>
      </c>
      <c r="F6" s="739" t="s">
        <v>957</v>
      </c>
      <c r="G6" s="57"/>
      <c r="H6" s="57"/>
      <c r="I6" s="200">
        <v>45791</v>
      </c>
      <c r="J6" s="27"/>
    </row>
    <row r="7" spans="3:10" x14ac:dyDescent="0.25">
      <c r="C7" s="744"/>
      <c r="D7" s="745"/>
      <c r="E7" s="746"/>
      <c r="F7" s="746"/>
      <c r="G7" s="746"/>
      <c r="H7" s="746"/>
      <c r="I7" s="746"/>
      <c r="J7" s="27"/>
    </row>
    <row r="8" spans="3:10" x14ac:dyDescent="0.25">
      <c r="C8" s="27"/>
      <c r="D8" s="27"/>
      <c r="E8" s="27"/>
      <c r="F8" s="27"/>
      <c r="G8" s="27"/>
      <c r="H8" s="27"/>
      <c r="I8" s="27"/>
      <c r="J8" s="27"/>
    </row>
    <row r="9" spans="3:10" x14ac:dyDescent="0.25">
      <c r="C9" s="27"/>
      <c r="D9" s="27"/>
      <c r="E9" s="27"/>
      <c r="F9" s="27"/>
      <c r="G9" s="27"/>
      <c r="H9" s="27"/>
      <c r="I9" s="27"/>
      <c r="J9" s="27"/>
    </row>
    <row r="10" spans="3:10" x14ac:dyDescent="0.25">
      <c r="C10" s="27"/>
      <c r="D10" s="27"/>
      <c r="E10" s="27"/>
      <c r="F10" s="27"/>
      <c r="G10" s="27"/>
      <c r="H10" s="27"/>
      <c r="I10" s="27"/>
      <c r="J10" s="27"/>
    </row>
    <row r="11" spans="3:10" x14ac:dyDescent="0.25">
      <c r="C11" s="27"/>
      <c r="D11" s="27"/>
      <c r="E11" s="27"/>
      <c r="F11" s="27"/>
      <c r="G11" s="27"/>
      <c r="H11" s="27"/>
      <c r="I11" s="27"/>
      <c r="J11" s="27"/>
    </row>
    <row r="12" spans="3:10" x14ac:dyDescent="0.25">
      <c r="C12" s="27"/>
      <c r="D12" s="27"/>
      <c r="E12" s="27"/>
      <c r="F12" s="27"/>
      <c r="G12" s="27"/>
      <c r="H12" s="27"/>
      <c r="I12" s="27"/>
      <c r="J12" s="27"/>
    </row>
    <row r="13" spans="3:10" x14ac:dyDescent="0.25">
      <c r="C13" s="27"/>
      <c r="D13" s="27"/>
      <c r="E13" s="27"/>
      <c r="F13" s="27"/>
      <c r="G13" s="27"/>
      <c r="H13" s="27"/>
      <c r="I13" s="27"/>
      <c r="J13" s="27"/>
    </row>
  </sheetData>
  <hyperlinks>
    <hyperlink ref="F6" r:id="rId1" xr:uid="{00000000-0004-0000-0800-000000000000}"/>
    <hyperlink ref="I6" r:id="rId2" display="SGA LIVORNO\PRESCRIZIONI TECNICHE E GESTIONALI\5.1 Gestione Impianto\2\30_04_2025 - richiesta di proroga per trasmissione PMC\riscontro Regione Toscana\Grandi_M_Proroga_Invio_PMeC_rev1.pdf" xr:uid="{00000000-0004-0000-0800-000001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18"/>
  <sheetViews>
    <sheetView workbookViewId="0">
      <pane ySplit="5" topLeftCell="A11" activePane="bottomLeft" state="frozen"/>
      <selection activeCell="D1" sqref="D1"/>
      <selection pane="bottomLeft" activeCell="G12" sqref="G12"/>
    </sheetView>
  </sheetViews>
  <sheetFormatPr defaultRowHeight="13.2" x14ac:dyDescent="0.25"/>
  <cols>
    <col min="3" max="3" width="18.88671875" customWidth="1"/>
    <col min="4" max="4" width="50.33203125" customWidth="1"/>
    <col min="5" max="5" width="23.33203125" customWidth="1"/>
    <col min="6" max="6" width="30.88671875" customWidth="1"/>
    <col min="7" max="11" width="21.33203125" customWidth="1"/>
  </cols>
  <sheetData>
    <row r="1" spans="1:11" x14ac:dyDescent="0.25">
      <c r="A1" s="410" t="s">
        <v>857</v>
      </c>
    </row>
    <row r="5" spans="1:11" s="173" customFormat="1" ht="31.95" customHeight="1" x14ac:dyDescent="0.25">
      <c r="C5" s="742" t="s">
        <v>859</v>
      </c>
      <c r="D5" s="742" t="s">
        <v>861</v>
      </c>
      <c r="E5" s="742" t="s">
        <v>860</v>
      </c>
      <c r="F5" s="742" t="s">
        <v>862</v>
      </c>
      <c r="G5" s="742" t="s">
        <v>939</v>
      </c>
      <c r="H5" s="742" t="s">
        <v>939</v>
      </c>
      <c r="I5" s="742" t="s">
        <v>940</v>
      </c>
      <c r="J5" s="742" t="s">
        <v>863</v>
      </c>
      <c r="K5" s="742" t="s">
        <v>28</v>
      </c>
    </row>
    <row r="6" spans="1:11" x14ac:dyDescent="0.25">
      <c r="C6" s="260"/>
      <c r="D6" s="639"/>
      <c r="E6" s="57"/>
      <c r="F6" s="57"/>
      <c r="G6" s="57"/>
      <c r="H6" s="57"/>
      <c r="I6" s="57"/>
      <c r="J6" s="57"/>
      <c r="K6" s="27"/>
    </row>
    <row r="7" spans="1:11" x14ac:dyDescent="0.25">
      <c r="C7" s="260"/>
      <c r="D7" s="639"/>
      <c r="E7" s="57"/>
      <c r="F7" s="57"/>
      <c r="G7" s="57"/>
      <c r="H7" s="57"/>
      <c r="I7" s="57"/>
      <c r="J7" s="57"/>
      <c r="K7" s="27"/>
    </row>
    <row r="8" spans="1:11" x14ac:dyDescent="0.25">
      <c r="C8" s="260"/>
      <c r="D8" s="639"/>
      <c r="E8" s="57"/>
      <c r="F8" s="57"/>
      <c r="G8" s="57"/>
      <c r="H8" s="57"/>
      <c r="I8" s="57"/>
      <c r="J8" s="57"/>
      <c r="K8" s="27"/>
    </row>
    <row r="9" spans="1:11" ht="118.8" x14ac:dyDescent="0.25">
      <c r="C9" s="260">
        <v>5</v>
      </c>
      <c r="D9" s="741" t="s">
        <v>949</v>
      </c>
      <c r="E9" s="201">
        <v>45657</v>
      </c>
      <c r="F9" s="57"/>
      <c r="G9" s="57"/>
      <c r="H9" s="57"/>
      <c r="I9" s="57"/>
      <c r="J9" s="57"/>
      <c r="K9" s="27"/>
    </row>
    <row r="10" spans="1:11" ht="87" customHeight="1" x14ac:dyDescent="0.25">
      <c r="C10" s="260">
        <v>6</v>
      </c>
      <c r="D10" s="741" t="s">
        <v>950</v>
      </c>
      <c r="E10" s="201">
        <v>45746</v>
      </c>
      <c r="F10" s="57"/>
      <c r="G10" s="57"/>
      <c r="H10" s="57"/>
      <c r="I10" s="57"/>
      <c r="J10" s="57"/>
      <c r="K10" s="27"/>
    </row>
    <row r="11" spans="1:11" ht="79.2" x14ac:dyDescent="0.25">
      <c r="C11" s="260">
        <v>8</v>
      </c>
      <c r="D11" s="741" t="s">
        <v>948</v>
      </c>
      <c r="E11" s="201">
        <v>45596</v>
      </c>
      <c r="F11" s="57"/>
      <c r="G11" s="57"/>
      <c r="H11" s="57"/>
      <c r="I11" s="57"/>
      <c r="J11" s="57"/>
      <c r="K11" s="27"/>
    </row>
    <row r="12" spans="1:11" ht="103.95" customHeight="1" x14ac:dyDescent="0.25">
      <c r="C12" s="260">
        <v>9</v>
      </c>
      <c r="D12" s="741" t="s">
        <v>1122</v>
      </c>
      <c r="E12" s="201">
        <v>45747</v>
      </c>
      <c r="F12" s="201">
        <v>45737</v>
      </c>
      <c r="G12" s="739" t="s">
        <v>1123</v>
      </c>
      <c r="H12" s="639"/>
      <c r="I12" s="101" t="s">
        <v>228</v>
      </c>
      <c r="J12" s="57"/>
      <c r="K12" s="27"/>
    </row>
    <row r="13" spans="1:11" ht="79.2" x14ac:dyDescent="0.25">
      <c r="C13" s="260">
        <v>10</v>
      </c>
      <c r="D13" s="741" t="s">
        <v>945</v>
      </c>
      <c r="E13" s="201">
        <v>45657</v>
      </c>
      <c r="F13" s="200">
        <v>45657</v>
      </c>
      <c r="G13" s="743" t="s">
        <v>947</v>
      </c>
      <c r="H13" s="743"/>
      <c r="I13" s="404" t="s">
        <v>228</v>
      </c>
      <c r="J13" s="200">
        <v>45672</v>
      </c>
      <c r="K13" s="27"/>
    </row>
    <row r="14" spans="1:11" ht="67.95" customHeight="1" x14ac:dyDescent="0.25">
      <c r="C14" s="1085">
        <v>13</v>
      </c>
      <c r="D14" s="1087" t="s">
        <v>1121</v>
      </c>
      <c r="E14" s="201"/>
      <c r="F14" s="200"/>
      <c r="G14" s="743"/>
      <c r="H14" s="743"/>
      <c r="I14" s="404"/>
      <c r="J14" s="200"/>
      <c r="K14" s="27"/>
    </row>
    <row r="15" spans="1:11" ht="74.400000000000006" customHeight="1" x14ac:dyDescent="0.25">
      <c r="C15" s="1086"/>
      <c r="D15" s="1088"/>
      <c r="E15" s="201"/>
      <c r="F15" s="200"/>
      <c r="G15" s="743"/>
      <c r="H15" s="743"/>
      <c r="I15" s="404"/>
      <c r="J15" s="200"/>
      <c r="K15" s="27"/>
    </row>
    <row r="16" spans="1:11" ht="55.95" customHeight="1" x14ac:dyDescent="0.25">
      <c r="C16" s="260">
        <v>14</v>
      </c>
      <c r="D16" s="741"/>
      <c r="E16" s="201"/>
      <c r="F16" s="200"/>
      <c r="G16" s="743"/>
      <c r="H16" s="743"/>
      <c r="I16" s="404"/>
      <c r="J16" s="200"/>
      <c r="K16" s="27"/>
    </row>
    <row r="17" spans="3:11" ht="52.8" x14ac:dyDescent="0.25">
      <c r="C17" s="260">
        <v>16</v>
      </c>
      <c r="D17" s="741" t="s">
        <v>944</v>
      </c>
      <c r="E17" s="640">
        <v>46203</v>
      </c>
      <c r="F17" s="404" t="s">
        <v>278</v>
      </c>
      <c r="G17" s="404" t="s">
        <v>278</v>
      </c>
      <c r="H17" s="404"/>
      <c r="I17" s="404" t="s">
        <v>278</v>
      </c>
      <c r="J17" s="57"/>
      <c r="K17" s="27"/>
    </row>
    <row r="18" spans="3:11" ht="138.6" customHeight="1" x14ac:dyDescent="0.25">
      <c r="C18" s="260">
        <v>19</v>
      </c>
      <c r="D18" s="740" t="s">
        <v>951</v>
      </c>
      <c r="E18" s="639" t="s">
        <v>952</v>
      </c>
      <c r="F18" s="201">
        <v>45536</v>
      </c>
      <c r="G18" s="101" t="s">
        <v>953</v>
      </c>
      <c r="H18" s="739" t="s">
        <v>954</v>
      </c>
      <c r="I18" s="57"/>
      <c r="J18" s="57"/>
      <c r="K18" s="57"/>
    </row>
  </sheetData>
  <mergeCells count="2">
    <mergeCell ref="C14:C15"/>
    <mergeCell ref="D14:D15"/>
  </mergeCells>
  <hyperlinks>
    <hyperlink ref="F13" r:id="rId1" display="AUTORIZZAZIONE INTEGRATA AMBIENTALE in essere\AIA in essere (decreto 19082 del 20_08_2024)\ALLEGATO A_prescrizioni\RISCONTRO PRESCRIZIONI\31_12_2024" xr:uid="{00000000-0004-0000-0900-000000000000}"/>
    <hyperlink ref="J13" r:id="rId2" display="AUTORIZZAZIONE INTEGRATA AMBIENTALE in essere\AIA in essere (decreto 19082 del 20_08_2024)\ALLEGATO A_prescrizioni\RISCONTRO PRESCRIZIONI\31_12_2024\15_01_2025 - RISCONTRO REGIONE TOSCANA" xr:uid="{00000000-0004-0000-0900-000001000000}"/>
    <hyperlink ref="G18" r:id="rId3" xr:uid="{00000000-0004-0000-0900-000002000000}"/>
    <hyperlink ref="H18" r:id="rId4" xr:uid="{00000000-0004-0000-0900-000003000000}"/>
    <hyperlink ref="G12" r:id="rId5" xr:uid="{00000000-0004-0000-0900-000004000000}"/>
    <hyperlink ref="I12" r:id="rId6" xr:uid="{00000000-0004-0000-0900-00000500000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C5:J8"/>
  <sheetViews>
    <sheetView workbookViewId="0"/>
  </sheetViews>
  <sheetFormatPr defaultRowHeight="13.2" x14ac:dyDescent="0.25"/>
  <cols>
    <col min="3" max="3" width="18.88671875" customWidth="1"/>
    <col min="4" max="4" width="50.33203125" customWidth="1"/>
    <col min="5" max="5" width="23.33203125" customWidth="1"/>
    <col min="6" max="6" width="30.6640625" customWidth="1"/>
    <col min="7" max="10" width="21.33203125" customWidth="1"/>
  </cols>
  <sheetData>
    <row r="5" spans="3:10" ht="31.95" customHeight="1" x14ac:dyDescent="0.25">
      <c r="C5" s="742" t="s">
        <v>859</v>
      </c>
      <c r="D5" s="742" t="s">
        <v>861</v>
      </c>
      <c r="E5" s="742" t="s">
        <v>860</v>
      </c>
      <c r="F5" s="742" t="s">
        <v>862</v>
      </c>
      <c r="G5" s="742" t="s">
        <v>939</v>
      </c>
      <c r="H5" s="742" t="s">
        <v>940</v>
      </c>
      <c r="I5" s="742" t="s">
        <v>863</v>
      </c>
      <c r="J5" s="742" t="s">
        <v>28</v>
      </c>
    </row>
    <row r="6" spans="3:10" ht="90.6" customHeight="1" x14ac:dyDescent="0.25">
      <c r="C6" s="260">
        <v>7</v>
      </c>
      <c r="D6" s="741" t="s">
        <v>942</v>
      </c>
      <c r="E6" s="201">
        <v>45550</v>
      </c>
      <c r="F6" s="200">
        <v>45544</v>
      </c>
      <c r="G6" s="739" t="s">
        <v>943</v>
      </c>
      <c r="H6" s="739" t="s">
        <v>228</v>
      </c>
      <c r="I6" s="404" t="s">
        <v>946</v>
      </c>
      <c r="J6" s="27"/>
    </row>
    <row r="7" spans="3:10" x14ac:dyDescent="0.25">
      <c r="C7" s="260"/>
      <c r="D7" s="57"/>
      <c r="E7" s="201"/>
      <c r="F7" s="57"/>
      <c r="G7" s="57"/>
      <c r="H7" s="57"/>
      <c r="I7" s="57"/>
      <c r="J7" s="27"/>
    </row>
    <row r="8" spans="3:10" x14ac:dyDescent="0.25">
      <c r="C8" s="260"/>
      <c r="D8" s="57"/>
      <c r="E8" s="57"/>
      <c r="F8" s="57"/>
      <c r="G8" s="57"/>
      <c r="H8" s="57"/>
      <c r="I8" s="57"/>
      <c r="J8" s="27"/>
    </row>
  </sheetData>
  <hyperlinks>
    <hyperlink ref="G6" r:id="rId1" xr:uid="{00000000-0004-0000-0A00-000000000000}"/>
    <hyperlink ref="F6" r:id="rId2" display="SGA LIVORNO\PRESCRIZIONI TECNICHE E GESTIONALI\5.3 Scarichi idrici\3\09_09_2024\09_09_2024_Grandi Molini Italiani -Comunicazione per riscontro prescrizioni autorizzative.pdf" xr:uid="{00000000-0004-0000-0A00-000001000000}"/>
    <hyperlink ref="H6" r:id="rId3" xr:uid="{00000000-0004-0000-0A00-000002000000}"/>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C5:J8"/>
  <sheetViews>
    <sheetView workbookViewId="0">
      <selection activeCell="D14" sqref="D14"/>
    </sheetView>
  </sheetViews>
  <sheetFormatPr defaultRowHeight="13.2" x14ac:dyDescent="0.25"/>
  <cols>
    <col min="3" max="3" width="18.88671875" customWidth="1"/>
    <col min="4" max="4" width="50.33203125" customWidth="1"/>
    <col min="5" max="5" width="23.33203125" customWidth="1"/>
    <col min="6" max="6" width="30.6640625" customWidth="1"/>
    <col min="7" max="10" width="21.33203125" customWidth="1"/>
  </cols>
  <sheetData>
    <row r="5" spans="3:10" ht="31.95" customHeight="1" x14ac:dyDescent="0.25">
      <c r="C5" s="742" t="s">
        <v>859</v>
      </c>
      <c r="D5" s="742" t="s">
        <v>861</v>
      </c>
      <c r="E5" s="742" t="s">
        <v>860</v>
      </c>
      <c r="F5" s="742" t="s">
        <v>862</v>
      </c>
      <c r="G5" s="742" t="s">
        <v>939</v>
      </c>
      <c r="H5" s="742" t="s">
        <v>940</v>
      </c>
      <c r="I5" s="742" t="s">
        <v>863</v>
      </c>
      <c r="J5" s="742" t="s">
        <v>28</v>
      </c>
    </row>
    <row r="6" spans="3:10" ht="50.4" customHeight="1" x14ac:dyDescent="0.25">
      <c r="C6" s="260"/>
      <c r="D6" s="639"/>
      <c r="E6" s="201"/>
      <c r="F6" s="200"/>
      <c r="G6" s="739"/>
      <c r="H6" s="739"/>
      <c r="I6" s="404"/>
      <c r="J6" s="27"/>
    </row>
    <row r="7" spans="3:10" x14ac:dyDescent="0.25">
      <c r="C7" s="57"/>
      <c r="D7" s="57"/>
      <c r="E7" s="201"/>
      <c r="F7" s="57"/>
      <c r="G7" s="57"/>
      <c r="H7" s="57"/>
      <c r="I7" s="57"/>
      <c r="J7" s="27"/>
    </row>
    <row r="8" spans="3:10" x14ac:dyDescent="0.25">
      <c r="C8" s="57"/>
      <c r="D8" s="57"/>
      <c r="E8" s="57"/>
      <c r="F8" s="57"/>
      <c r="G8" s="57"/>
      <c r="H8" s="57"/>
      <c r="I8" s="57"/>
      <c r="J8" s="27"/>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C5:J8"/>
  <sheetViews>
    <sheetView workbookViewId="0">
      <selection activeCell="C2" sqref="C2"/>
    </sheetView>
  </sheetViews>
  <sheetFormatPr defaultRowHeight="13.2" x14ac:dyDescent="0.25"/>
  <cols>
    <col min="3" max="3" width="18.88671875" customWidth="1"/>
    <col min="4" max="4" width="50.33203125" customWidth="1"/>
    <col min="5" max="5" width="23.33203125" customWidth="1"/>
    <col min="6" max="6" width="30.6640625" customWidth="1"/>
    <col min="7" max="10" width="21.33203125" customWidth="1"/>
  </cols>
  <sheetData>
    <row r="5" spans="3:10" ht="31.95" customHeight="1" x14ac:dyDescent="0.25">
      <c r="C5" s="742" t="s">
        <v>859</v>
      </c>
      <c r="D5" s="742" t="s">
        <v>861</v>
      </c>
      <c r="E5" s="742" t="s">
        <v>860</v>
      </c>
      <c r="F5" s="742" t="s">
        <v>862</v>
      </c>
      <c r="G5" s="742" t="s">
        <v>939</v>
      </c>
      <c r="H5" s="742" t="s">
        <v>940</v>
      </c>
      <c r="I5" s="742" t="s">
        <v>863</v>
      </c>
      <c r="J5" s="742" t="s">
        <v>28</v>
      </c>
    </row>
    <row r="6" spans="3:10" ht="50.4" customHeight="1" x14ac:dyDescent="0.25">
      <c r="C6" s="260">
        <v>7</v>
      </c>
      <c r="D6" s="639" t="s">
        <v>938</v>
      </c>
      <c r="E6" s="201">
        <v>45550</v>
      </c>
      <c r="F6" s="200">
        <v>45544</v>
      </c>
      <c r="G6" s="739" t="s">
        <v>941</v>
      </c>
      <c r="H6" s="739" t="s">
        <v>228</v>
      </c>
      <c r="I6" s="404" t="s">
        <v>946</v>
      </c>
      <c r="J6" s="27"/>
    </row>
    <row r="7" spans="3:10" x14ac:dyDescent="0.25">
      <c r="C7" s="57"/>
      <c r="D7" s="57"/>
      <c r="E7" s="201"/>
      <c r="F7" s="57"/>
      <c r="G7" s="57"/>
      <c r="H7" s="57"/>
      <c r="I7" s="57"/>
      <c r="J7" s="27"/>
    </row>
    <row r="8" spans="3:10" x14ac:dyDescent="0.25">
      <c r="C8" s="57"/>
      <c r="D8" s="57"/>
      <c r="E8" s="57"/>
      <c r="F8" s="57"/>
      <c r="G8" s="57"/>
      <c r="H8" s="57"/>
      <c r="I8" s="57"/>
      <c r="J8" s="27"/>
    </row>
  </sheetData>
  <hyperlinks>
    <hyperlink ref="F6" r:id="rId1" display="SGA LIVORNO\PRESCRIZIONI TECNICHE E GESTIONALI\5.4 Rifiuti prodotti\7\09_09_2024\09_09_2024_Grandi Molini Italiani -Comunicazione per riscontro prescrizioni autorizzative.pdf" xr:uid="{00000000-0004-0000-0C00-000000000000}"/>
    <hyperlink ref="G6" r:id="rId2" xr:uid="{00000000-0004-0000-0C00-000001000000}"/>
    <hyperlink ref="H6" r:id="rId3" xr:uid="{00000000-0004-0000-0C00-000002000000}"/>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C5:J8"/>
  <sheetViews>
    <sheetView workbookViewId="0">
      <selection activeCell="B6" sqref="B6"/>
    </sheetView>
  </sheetViews>
  <sheetFormatPr defaultRowHeight="13.2" x14ac:dyDescent="0.25"/>
  <cols>
    <col min="3" max="3" width="18.88671875" customWidth="1"/>
    <col min="4" max="4" width="50.33203125" customWidth="1"/>
    <col min="5" max="5" width="23.33203125" customWidth="1"/>
    <col min="6" max="6" width="30.6640625" customWidth="1"/>
    <col min="7" max="10" width="21.33203125" customWidth="1"/>
  </cols>
  <sheetData>
    <row r="5" spans="3:10" ht="31.95" customHeight="1" x14ac:dyDescent="0.25">
      <c r="C5" s="742" t="s">
        <v>859</v>
      </c>
      <c r="D5" s="742" t="s">
        <v>861</v>
      </c>
      <c r="E5" s="742" t="s">
        <v>860</v>
      </c>
      <c r="F5" s="742" t="s">
        <v>862</v>
      </c>
      <c r="G5" s="742" t="s">
        <v>939</v>
      </c>
      <c r="H5" s="742" t="s">
        <v>940</v>
      </c>
      <c r="I5" s="742" t="s">
        <v>863</v>
      </c>
      <c r="J5" s="742" t="s">
        <v>28</v>
      </c>
    </row>
    <row r="6" spans="3:10" ht="50.4" customHeight="1" x14ac:dyDescent="0.25">
      <c r="C6" s="260"/>
      <c r="D6" s="639"/>
      <c r="E6" s="201"/>
      <c r="F6" s="200"/>
      <c r="G6" s="739"/>
      <c r="H6" s="739"/>
      <c r="I6" s="404"/>
      <c r="J6" s="27"/>
    </row>
    <row r="7" spans="3:10" x14ac:dyDescent="0.25">
      <c r="C7" s="57"/>
      <c r="D7" s="57"/>
      <c r="E7" s="201"/>
      <c r="F7" s="57"/>
      <c r="G7" s="57"/>
      <c r="H7" s="57"/>
      <c r="I7" s="57"/>
      <c r="J7" s="27"/>
    </row>
    <row r="8" spans="3:10" x14ac:dyDescent="0.25">
      <c r="C8" s="57"/>
      <c r="D8" s="57"/>
      <c r="E8" s="57"/>
      <c r="F8" s="57"/>
      <c r="G8" s="57"/>
      <c r="H8" s="57"/>
      <c r="I8" s="57"/>
      <c r="J8" s="27"/>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C5:J8"/>
  <sheetViews>
    <sheetView workbookViewId="0">
      <selection activeCell="D6" sqref="D6"/>
    </sheetView>
  </sheetViews>
  <sheetFormatPr defaultRowHeight="13.2" x14ac:dyDescent="0.25"/>
  <cols>
    <col min="3" max="3" width="18.88671875" customWidth="1"/>
    <col min="4" max="4" width="50.33203125" customWidth="1"/>
    <col min="5" max="5" width="23.33203125" customWidth="1"/>
    <col min="6" max="6" width="30.6640625" customWidth="1"/>
    <col min="7" max="10" width="21.33203125" customWidth="1"/>
  </cols>
  <sheetData>
    <row r="5" spans="3:10" ht="31.95" customHeight="1" x14ac:dyDescent="0.25">
      <c r="C5" s="742" t="s">
        <v>859</v>
      </c>
      <c r="D5" s="742" t="s">
        <v>861</v>
      </c>
      <c r="E5" s="742" t="s">
        <v>860</v>
      </c>
      <c r="F5" s="742" t="s">
        <v>862</v>
      </c>
      <c r="G5" s="742" t="s">
        <v>939</v>
      </c>
      <c r="H5" s="742" t="s">
        <v>940</v>
      </c>
      <c r="I5" s="742" t="s">
        <v>863</v>
      </c>
      <c r="J5" s="742" t="s">
        <v>28</v>
      </c>
    </row>
    <row r="6" spans="3:10" ht="121.2" customHeight="1" x14ac:dyDescent="0.25">
      <c r="C6" s="260">
        <v>4</v>
      </c>
      <c r="D6" s="741" t="s">
        <v>1131</v>
      </c>
      <c r="E6" s="201">
        <v>47350</v>
      </c>
      <c r="F6" s="200"/>
      <c r="G6" s="739"/>
      <c r="H6" s="739"/>
      <c r="I6" s="404"/>
      <c r="J6" s="27"/>
    </row>
    <row r="7" spans="3:10" x14ac:dyDescent="0.25">
      <c r="C7" s="57"/>
      <c r="D7" s="57"/>
      <c r="E7" s="201"/>
      <c r="F7" s="57"/>
      <c r="G7" s="57"/>
      <c r="H7" s="57"/>
      <c r="I7" s="57"/>
      <c r="J7" s="27"/>
    </row>
    <row r="8" spans="3:10" x14ac:dyDescent="0.25">
      <c r="C8" s="57"/>
      <c r="D8" s="57"/>
      <c r="E8" s="57"/>
      <c r="F8" s="57"/>
      <c r="G8" s="57"/>
      <c r="H8" s="57"/>
      <c r="I8" s="57"/>
      <c r="J8" s="27"/>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D4"/>
  <sheetViews>
    <sheetView workbookViewId="0">
      <selection activeCell="D4" sqref="D4"/>
    </sheetView>
  </sheetViews>
  <sheetFormatPr defaultRowHeight="13.2" x14ac:dyDescent="0.25"/>
  <cols>
    <col min="4" max="4" width="69.6640625" customWidth="1"/>
  </cols>
  <sheetData>
    <row r="4" spans="4:4" ht="28.95" customHeight="1" x14ac:dyDescent="0.25">
      <c r="D4" s="1038" t="s">
        <v>1001</v>
      </c>
    </row>
  </sheetData>
  <hyperlinks>
    <hyperlink ref="D4" r:id="rId1" xr:uid="{00000000-0004-0000-0F00-00000000000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U147"/>
  <sheetViews>
    <sheetView zoomScale="84" zoomScaleNormal="84" zoomScaleSheetLayoutView="75" workbookViewId="0">
      <pane xSplit="1" ySplit="4" topLeftCell="B5" activePane="bottomRight" state="frozen"/>
      <selection pane="topRight" activeCell="B1" sqref="B1"/>
      <selection pane="bottomLeft" activeCell="A5" sqref="A5"/>
      <selection pane="bottomRight" activeCell="E9" sqref="E9"/>
    </sheetView>
  </sheetViews>
  <sheetFormatPr defaultColWidth="9.109375" defaultRowHeight="16.2" x14ac:dyDescent="0.4"/>
  <cols>
    <col min="1" max="1" width="67.33203125" style="1037" customWidth="1"/>
    <col min="2" max="2" width="49" style="499" customWidth="1"/>
    <col min="3" max="3" width="15.6640625" style="499" customWidth="1"/>
    <col min="4" max="4" width="13.88671875" style="499" customWidth="1"/>
    <col min="5" max="5" width="37" style="499" customWidth="1"/>
    <col min="6" max="7" width="18.44140625" style="499" customWidth="1"/>
    <col min="8" max="8" width="32.88671875" style="499" customWidth="1"/>
    <col min="9" max="17" width="17.6640625" style="499" customWidth="1"/>
    <col min="18" max="16384" width="9.109375" style="499"/>
  </cols>
  <sheetData>
    <row r="1" spans="1:47" x14ac:dyDescent="0.4">
      <c r="A1" s="753"/>
      <c r="B1" s="754"/>
      <c r="C1" s="754"/>
      <c r="D1" s="754"/>
      <c r="E1" s="754"/>
      <c r="F1" s="754"/>
      <c r="G1" s="754"/>
    </row>
    <row r="2" spans="1:47" x14ac:dyDescent="0.4">
      <c r="A2" s="753"/>
      <c r="B2" s="754"/>
      <c r="C2" s="754"/>
      <c r="D2" s="754"/>
      <c r="E2" s="754"/>
      <c r="F2" s="754"/>
      <c r="G2" s="754"/>
    </row>
    <row r="3" spans="1:47" ht="3.75" customHeight="1" thickBot="1" x14ac:dyDescent="0.45">
      <c r="A3" s="753"/>
      <c r="B3" s="754"/>
      <c r="C3" s="754"/>
      <c r="D3" s="754"/>
      <c r="E3" s="754"/>
      <c r="F3" s="754"/>
      <c r="G3" s="754"/>
    </row>
    <row r="4" spans="1:47" s="763" customFormat="1" ht="39" customHeight="1" thickBot="1" x14ac:dyDescent="0.3">
      <c r="A4" s="755" t="s">
        <v>94</v>
      </c>
      <c r="B4" s="756" t="s">
        <v>95</v>
      </c>
      <c r="C4" s="756" t="s">
        <v>97</v>
      </c>
      <c r="D4" s="756" t="s">
        <v>96</v>
      </c>
      <c r="E4" s="757" t="s">
        <v>320</v>
      </c>
      <c r="F4" s="758" t="s">
        <v>97</v>
      </c>
      <c r="G4" s="759" t="s">
        <v>96</v>
      </c>
      <c r="H4" s="760" t="s">
        <v>462</v>
      </c>
      <c r="I4" s="761" t="s">
        <v>97</v>
      </c>
      <c r="J4" s="762" t="s">
        <v>96</v>
      </c>
    </row>
    <row r="5" spans="1:47" s="773" customFormat="1" ht="24.75" customHeight="1" x14ac:dyDescent="0.25">
      <c r="A5" s="1091" t="s">
        <v>958</v>
      </c>
      <c r="B5" s="764" t="s">
        <v>959</v>
      </c>
      <c r="C5" s="765">
        <v>44062</v>
      </c>
      <c r="D5" s="766">
        <v>45888</v>
      </c>
      <c r="E5" s="767" t="s">
        <v>278</v>
      </c>
      <c r="F5" s="768" t="s">
        <v>278</v>
      </c>
      <c r="G5" s="769" t="s">
        <v>278</v>
      </c>
      <c r="H5" s="770"/>
      <c r="I5" s="771"/>
      <c r="J5" s="772"/>
    </row>
    <row r="6" spans="1:47" s="773" customFormat="1" ht="24.75" customHeight="1" x14ac:dyDescent="0.25">
      <c r="A6" s="1092"/>
      <c r="B6" s="774" t="s">
        <v>960</v>
      </c>
      <c r="C6" s="775">
        <v>44085</v>
      </c>
      <c r="D6" s="776">
        <v>45911</v>
      </c>
      <c r="E6" s="777" t="s">
        <v>278</v>
      </c>
      <c r="F6" s="778" t="s">
        <v>278</v>
      </c>
      <c r="G6" s="779" t="s">
        <v>278</v>
      </c>
      <c r="H6" s="780"/>
      <c r="I6" s="781"/>
      <c r="J6" s="782"/>
    </row>
    <row r="7" spans="1:47" s="773" customFormat="1" ht="32.25" customHeight="1" x14ac:dyDescent="0.25">
      <c r="A7" s="1092"/>
      <c r="B7" s="783" t="s">
        <v>961</v>
      </c>
      <c r="C7" s="775">
        <v>44595</v>
      </c>
      <c r="D7" s="784" t="s">
        <v>278</v>
      </c>
      <c r="E7" s="785" t="s">
        <v>278</v>
      </c>
      <c r="F7" s="778" t="s">
        <v>278</v>
      </c>
      <c r="G7" s="779" t="s">
        <v>278</v>
      </c>
      <c r="H7" s="780"/>
      <c r="I7" s="781"/>
      <c r="J7" s="782"/>
    </row>
    <row r="8" spans="1:47" s="795" customFormat="1" ht="29.25" customHeight="1" thickBot="1" x14ac:dyDescent="0.5">
      <c r="A8" s="1093"/>
      <c r="B8" s="786" t="s">
        <v>962</v>
      </c>
      <c r="C8" s="787">
        <v>45225</v>
      </c>
      <c r="D8" s="788" t="s">
        <v>278</v>
      </c>
      <c r="E8" s="789" t="s">
        <v>278</v>
      </c>
      <c r="F8" s="790" t="s">
        <v>278</v>
      </c>
      <c r="G8" s="791" t="s">
        <v>278</v>
      </c>
      <c r="H8" s="792"/>
      <c r="I8" s="793"/>
      <c r="J8" s="794"/>
    </row>
    <row r="9" spans="1:47" s="795" customFormat="1" ht="47.25" customHeight="1" thickBot="1" x14ac:dyDescent="0.5">
      <c r="A9" s="796" t="s">
        <v>963</v>
      </c>
      <c r="B9" s="797" t="s">
        <v>964</v>
      </c>
      <c r="C9" s="798">
        <v>44854</v>
      </c>
      <c r="D9" s="799">
        <v>46680</v>
      </c>
      <c r="E9" s="800" t="s">
        <v>965</v>
      </c>
      <c r="F9" s="801">
        <v>42192</v>
      </c>
      <c r="G9" s="799">
        <v>46574</v>
      </c>
      <c r="H9" s="802"/>
      <c r="I9" s="803"/>
      <c r="J9" s="804"/>
    </row>
    <row r="10" spans="1:47" s="795" customFormat="1" ht="29.25" customHeight="1" x14ac:dyDescent="0.4">
      <c r="A10" s="1094" t="s">
        <v>966</v>
      </c>
      <c r="B10" s="764" t="s">
        <v>967</v>
      </c>
      <c r="C10" s="805">
        <v>43978</v>
      </c>
      <c r="D10" s="806" t="s">
        <v>968</v>
      </c>
      <c r="E10" s="807" t="s">
        <v>278</v>
      </c>
      <c r="F10" s="808" t="s">
        <v>278</v>
      </c>
      <c r="G10" s="809" t="s">
        <v>278</v>
      </c>
      <c r="H10" s="810"/>
      <c r="I10" s="811"/>
      <c r="J10" s="812"/>
    </row>
    <row r="11" spans="1:47" s="795" customFormat="1" ht="21.75" customHeight="1" x14ac:dyDescent="0.4">
      <c r="A11" s="1095"/>
      <c r="B11" s="774" t="s">
        <v>967</v>
      </c>
      <c r="C11" s="813">
        <v>45805</v>
      </c>
      <c r="D11" s="814">
        <v>47631</v>
      </c>
      <c r="E11" s="815" t="s">
        <v>278</v>
      </c>
      <c r="F11" s="816" t="s">
        <v>278</v>
      </c>
      <c r="G11" s="784" t="s">
        <v>278</v>
      </c>
      <c r="H11" s="817"/>
      <c r="I11" s="818"/>
      <c r="J11" s="819"/>
    </row>
    <row r="12" spans="1:47" s="763" customFormat="1" ht="33.75" customHeight="1" thickBot="1" x14ac:dyDescent="0.3">
      <c r="A12" s="1095"/>
      <c r="B12" s="820" t="s">
        <v>969</v>
      </c>
      <c r="C12" s="821">
        <v>44106</v>
      </c>
      <c r="D12" s="822" t="s">
        <v>278</v>
      </c>
      <c r="E12" s="823" t="s">
        <v>278</v>
      </c>
      <c r="F12" s="824" t="s">
        <v>278</v>
      </c>
      <c r="G12" s="825" t="s">
        <v>278</v>
      </c>
      <c r="H12" s="826"/>
      <c r="I12" s="827"/>
      <c r="J12" s="828"/>
    </row>
    <row r="13" spans="1:47" s="763" customFormat="1" ht="33.75" customHeight="1" x14ac:dyDescent="0.25">
      <c r="A13" s="1096" t="s">
        <v>970</v>
      </c>
      <c r="B13" s="829"/>
      <c r="C13" s="830"/>
      <c r="D13" s="769"/>
      <c r="E13" s="831"/>
      <c r="F13" s="832"/>
      <c r="G13" s="769"/>
      <c r="H13" s="833"/>
      <c r="I13" s="834"/>
      <c r="J13" s="835"/>
    </row>
    <row r="14" spans="1:47" s="763" customFormat="1" ht="26.25" customHeight="1" thickBot="1" x14ac:dyDescent="0.3">
      <c r="A14" s="1097"/>
      <c r="B14" s="836"/>
      <c r="C14" s="837"/>
      <c r="D14" s="838"/>
      <c r="E14" s="839" t="s">
        <v>971</v>
      </c>
      <c r="F14" s="840">
        <v>45140</v>
      </c>
      <c r="G14" s="838">
        <v>48792</v>
      </c>
      <c r="H14" s="841"/>
      <c r="I14" s="842"/>
      <c r="J14" s="843"/>
      <c r="K14" s="844"/>
      <c r="L14" s="844"/>
      <c r="M14" s="844"/>
      <c r="N14" s="844"/>
      <c r="O14" s="844"/>
      <c r="P14" s="844"/>
      <c r="Q14" s="844"/>
      <c r="R14" s="844"/>
      <c r="S14" s="844"/>
      <c r="T14" s="844"/>
      <c r="U14" s="844"/>
      <c r="V14" s="844"/>
      <c r="W14" s="844"/>
      <c r="X14" s="844"/>
      <c r="Y14" s="844"/>
      <c r="Z14" s="844"/>
      <c r="AA14" s="844"/>
      <c r="AB14" s="844"/>
      <c r="AC14" s="844"/>
      <c r="AD14" s="844"/>
      <c r="AE14" s="844"/>
      <c r="AF14" s="844"/>
      <c r="AG14" s="844"/>
      <c r="AH14" s="844"/>
      <c r="AI14" s="844"/>
      <c r="AJ14" s="844"/>
      <c r="AK14" s="844"/>
      <c r="AL14" s="844"/>
      <c r="AM14" s="844"/>
      <c r="AN14" s="844"/>
      <c r="AO14" s="844"/>
      <c r="AP14" s="844"/>
      <c r="AQ14" s="844"/>
      <c r="AR14" s="844"/>
      <c r="AS14" s="844"/>
      <c r="AT14" s="844"/>
      <c r="AU14" s="844"/>
    </row>
    <row r="15" spans="1:47" s="763" customFormat="1" ht="26.25" customHeight="1" x14ac:dyDescent="0.25">
      <c r="A15" s="1098" t="s">
        <v>972</v>
      </c>
      <c r="B15" s="845"/>
      <c r="C15" s="846"/>
      <c r="D15" s="830"/>
      <c r="E15" s="847" t="s">
        <v>973</v>
      </c>
      <c r="F15" s="848" t="s">
        <v>295</v>
      </c>
      <c r="G15" s="830">
        <v>44097</v>
      </c>
      <c r="H15" s="833"/>
      <c r="I15" s="834"/>
      <c r="J15" s="835"/>
      <c r="K15" s="844"/>
      <c r="L15" s="844"/>
      <c r="M15" s="844"/>
      <c r="N15" s="844"/>
      <c r="O15" s="844"/>
      <c r="P15" s="844"/>
      <c r="Q15" s="844"/>
      <c r="R15" s="844"/>
      <c r="S15" s="844"/>
      <c r="T15" s="844"/>
      <c r="U15" s="844"/>
      <c r="V15" s="844"/>
      <c r="W15" s="844"/>
      <c r="X15" s="844"/>
      <c r="Y15" s="844"/>
      <c r="Z15" s="844"/>
      <c r="AA15" s="844"/>
      <c r="AB15" s="844"/>
      <c r="AC15" s="844"/>
      <c r="AD15" s="844"/>
      <c r="AE15" s="844"/>
      <c r="AF15" s="844"/>
      <c r="AG15" s="844"/>
      <c r="AH15" s="844"/>
      <c r="AI15" s="844"/>
      <c r="AJ15" s="844"/>
      <c r="AK15" s="844"/>
      <c r="AL15" s="844"/>
      <c r="AM15" s="844"/>
      <c r="AN15" s="844"/>
      <c r="AO15" s="844"/>
      <c r="AP15" s="844"/>
      <c r="AQ15" s="844"/>
      <c r="AR15" s="844"/>
      <c r="AS15" s="844"/>
      <c r="AT15" s="844"/>
      <c r="AU15" s="844"/>
    </row>
    <row r="16" spans="1:47" s="763" customFormat="1" ht="23.25" customHeight="1" x14ac:dyDescent="0.25">
      <c r="A16" s="1099"/>
      <c r="B16" s="849"/>
      <c r="C16" s="850"/>
      <c r="D16" s="851"/>
      <c r="E16" s="852" t="s">
        <v>974</v>
      </c>
      <c r="F16" s="853">
        <v>41926</v>
      </c>
      <c r="G16" s="854" t="s">
        <v>278</v>
      </c>
      <c r="H16" s="855"/>
      <c r="I16" s="502"/>
      <c r="J16" s="856"/>
      <c r="K16" s="844"/>
      <c r="L16" s="844"/>
      <c r="M16" s="844"/>
      <c r="N16" s="844"/>
      <c r="O16" s="844"/>
      <c r="P16" s="844"/>
      <c r="Q16" s="844"/>
      <c r="R16" s="844"/>
      <c r="S16" s="844"/>
      <c r="T16" s="844"/>
      <c r="U16" s="844"/>
      <c r="V16" s="844"/>
      <c r="W16" s="844"/>
      <c r="X16" s="844"/>
      <c r="Y16" s="844"/>
      <c r="Z16" s="844"/>
      <c r="AA16" s="844"/>
      <c r="AB16" s="844"/>
      <c r="AC16" s="844"/>
      <c r="AD16" s="844"/>
      <c r="AE16" s="844"/>
      <c r="AF16" s="844"/>
      <c r="AG16" s="844"/>
      <c r="AH16" s="844"/>
      <c r="AI16" s="844"/>
      <c r="AJ16" s="844"/>
      <c r="AK16" s="844"/>
      <c r="AL16" s="844"/>
      <c r="AM16" s="844"/>
      <c r="AN16" s="844"/>
      <c r="AO16" s="844"/>
      <c r="AP16" s="844"/>
      <c r="AQ16" s="844"/>
      <c r="AR16" s="844"/>
      <c r="AS16" s="844"/>
      <c r="AT16" s="844"/>
      <c r="AU16" s="844"/>
    </row>
    <row r="17" spans="1:47" s="763" customFormat="1" ht="24" customHeight="1" thickBot="1" x14ac:dyDescent="0.3">
      <c r="A17" s="1100"/>
      <c r="B17" s="836"/>
      <c r="C17" s="837"/>
      <c r="D17" s="838"/>
      <c r="E17" s="839" t="s">
        <v>975</v>
      </c>
      <c r="F17" s="840">
        <v>44060</v>
      </c>
      <c r="G17" s="838">
        <v>47711</v>
      </c>
      <c r="H17" s="841"/>
      <c r="I17" s="842"/>
      <c r="J17" s="843"/>
      <c r="K17" s="844"/>
      <c r="L17" s="844"/>
      <c r="M17" s="844"/>
      <c r="N17" s="844"/>
      <c r="O17" s="844"/>
      <c r="P17" s="844"/>
      <c r="Q17" s="844"/>
      <c r="R17" s="844"/>
      <c r="S17" s="844"/>
      <c r="T17" s="844"/>
      <c r="U17" s="844"/>
      <c r="V17" s="844"/>
      <c r="W17" s="844"/>
      <c r="X17" s="844"/>
      <c r="Y17" s="844"/>
      <c r="Z17" s="844"/>
      <c r="AA17" s="844"/>
      <c r="AB17" s="844"/>
      <c r="AC17" s="844"/>
      <c r="AD17" s="844"/>
      <c r="AE17" s="844"/>
      <c r="AF17" s="844"/>
      <c r="AG17" s="844"/>
      <c r="AH17" s="844"/>
      <c r="AI17" s="844"/>
      <c r="AJ17" s="844"/>
      <c r="AK17" s="844"/>
      <c r="AL17" s="844"/>
      <c r="AM17" s="844"/>
      <c r="AN17" s="844"/>
      <c r="AO17" s="844"/>
      <c r="AP17" s="844"/>
      <c r="AQ17" s="844"/>
      <c r="AR17" s="844"/>
      <c r="AS17" s="844"/>
      <c r="AT17" s="844"/>
      <c r="AU17" s="844"/>
    </row>
    <row r="18" spans="1:47" s="763" customFormat="1" ht="42.75" customHeight="1" thickBot="1" x14ac:dyDescent="0.3">
      <c r="A18" s="857" t="s">
        <v>976</v>
      </c>
      <c r="B18" s="858"/>
      <c r="C18" s="859"/>
      <c r="D18" s="860"/>
      <c r="E18" s="861" t="s">
        <v>977</v>
      </c>
      <c r="F18" s="862">
        <v>44134</v>
      </c>
      <c r="G18" s="860">
        <v>48517</v>
      </c>
      <c r="H18" s="863"/>
      <c r="I18" s="864"/>
      <c r="J18" s="865"/>
      <c r="K18" s="844"/>
      <c r="L18" s="844"/>
      <c r="M18" s="844"/>
      <c r="N18" s="844"/>
      <c r="O18" s="844"/>
      <c r="P18" s="844"/>
      <c r="Q18" s="844"/>
      <c r="R18" s="844"/>
      <c r="S18" s="844"/>
      <c r="T18" s="844"/>
      <c r="U18" s="844"/>
      <c r="V18" s="844"/>
      <c r="W18" s="844"/>
      <c r="X18" s="844"/>
      <c r="Y18" s="844"/>
      <c r="Z18" s="844"/>
      <c r="AA18" s="844"/>
      <c r="AB18" s="844"/>
      <c r="AC18" s="844"/>
      <c r="AD18" s="844"/>
      <c r="AE18" s="844"/>
      <c r="AF18" s="844"/>
      <c r="AG18" s="844"/>
      <c r="AH18" s="844"/>
      <c r="AI18" s="844"/>
      <c r="AJ18" s="844"/>
      <c r="AK18" s="844"/>
      <c r="AL18" s="844"/>
      <c r="AM18" s="844"/>
      <c r="AN18" s="844"/>
      <c r="AO18" s="844"/>
      <c r="AP18" s="844"/>
      <c r="AQ18" s="844"/>
      <c r="AR18" s="844"/>
      <c r="AS18" s="844"/>
      <c r="AT18" s="844"/>
      <c r="AU18" s="844"/>
    </row>
    <row r="19" spans="1:47" s="763" customFormat="1" ht="25.5" customHeight="1" x14ac:dyDescent="0.25">
      <c r="A19" s="1096" t="s">
        <v>978</v>
      </c>
      <c r="B19" s="845"/>
      <c r="C19" s="846"/>
      <c r="D19" s="830"/>
      <c r="E19" s="847" t="s">
        <v>979</v>
      </c>
      <c r="F19" s="848">
        <v>40627</v>
      </c>
      <c r="G19" s="830">
        <v>44250</v>
      </c>
      <c r="H19" s="833"/>
      <c r="I19" s="834"/>
      <c r="J19" s="866"/>
      <c r="K19" s="844"/>
      <c r="L19" s="844"/>
      <c r="M19" s="844"/>
      <c r="N19" s="844"/>
      <c r="O19" s="844"/>
      <c r="P19" s="844"/>
      <c r="Q19" s="844"/>
      <c r="R19" s="844"/>
      <c r="S19" s="844"/>
      <c r="T19" s="844"/>
      <c r="U19" s="844"/>
      <c r="V19" s="844"/>
      <c r="W19" s="844"/>
      <c r="X19" s="844"/>
      <c r="Y19" s="844"/>
      <c r="Z19" s="844"/>
      <c r="AA19" s="844"/>
      <c r="AB19" s="844"/>
      <c r="AC19" s="844"/>
      <c r="AD19" s="844"/>
      <c r="AE19" s="844"/>
      <c r="AF19" s="844"/>
      <c r="AG19" s="844"/>
      <c r="AH19" s="844"/>
      <c r="AI19" s="844"/>
      <c r="AJ19" s="844"/>
      <c r="AK19" s="844"/>
      <c r="AL19" s="844"/>
      <c r="AM19" s="844"/>
      <c r="AN19" s="844"/>
      <c r="AO19" s="844"/>
      <c r="AP19" s="844"/>
      <c r="AQ19" s="844"/>
      <c r="AR19" s="844"/>
      <c r="AS19" s="844"/>
      <c r="AT19" s="844"/>
      <c r="AU19" s="844"/>
    </row>
    <row r="20" spans="1:47" s="763" customFormat="1" ht="25.5" customHeight="1" x14ac:dyDescent="0.25">
      <c r="A20" s="1101"/>
      <c r="B20" s="849"/>
      <c r="C20" s="850"/>
      <c r="D20" s="851"/>
      <c r="E20" s="867" t="s">
        <v>980</v>
      </c>
      <c r="F20" s="853">
        <v>42054</v>
      </c>
      <c r="G20" s="851"/>
      <c r="H20" s="855"/>
      <c r="I20" s="502"/>
      <c r="J20" s="500"/>
      <c r="K20" s="844"/>
      <c r="L20" s="844"/>
      <c r="M20" s="844"/>
      <c r="N20" s="844"/>
      <c r="O20" s="844"/>
      <c r="P20" s="844"/>
      <c r="Q20" s="844"/>
      <c r="R20" s="844"/>
      <c r="S20" s="844"/>
      <c r="T20" s="844"/>
      <c r="U20" s="844"/>
      <c r="V20" s="844"/>
      <c r="W20" s="844"/>
      <c r="X20" s="844"/>
      <c r="Y20" s="844"/>
      <c r="Z20" s="844"/>
      <c r="AA20" s="844"/>
      <c r="AB20" s="844"/>
      <c r="AC20" s="844"/>
      <c r="AD20" s="844"/>
      <c r="AE20" s="844"/>
      <c r="AF20" s="844"/>
      <c r="AG20" s="844"/>
      <c r="AH20" s="844"/>
      <c r="AI20" s="844"/>
      <c r="AJ20" s="844"/>
      <c r="AK20" s="844"/>
      <c r="AL20" s="844"/>
      <c r="AM20" s="844"/>
      <c r="AN20" s="844"/>
      <c r="AO20" s="844"/>
      <c r="AP20" s="844"/>
      <c r="AQ20" s="844"/>
      <c r="AR20" s="844"/>
      <c r="AS20" s="844"/>
      <c r="AT20" s="844"/>
      <c r="AU20" s="844"/>
    </row>
    <row r="21" spans="1:47" s="763" customFormat="1" ht="25.5" customHeight="1" x14ac:dyDescent="0.25">
      <c r="A21" s="1101"/>
      <c r="B21" s="849"/>
      <c r="C21" s="850"/>
      <c r="D21" s="851"/>
      <c r="E21" s="868" t="s">
        <v>981</v>
      </c>
      <c r="F21" s="853">
        <v>43483</v>
      </c>
      <c r="G21" s="854" t="s">
        <v>278</v>
      </c>
      <c r="H21" s="855"/>
      <c r="I21" s="502"/>
      <c r="J21" s="500"/>
      <c r="K21" s="844"/>
      <c r="L21" s="844"/>
      <c r="M21" s="844"/>
      <c r="N21" s="844"/>
      <c r="O21" s="844"/>
      <c r="P21" s="844"/>
      <c r="Q21" s="844"/>
      <c r="R21" s="844"/>
      <c r="S21" s="844"/>
      <c r="T21" s="844"/>
      <c r="U21" s="844"/>
      <c r="V21" s="844"/>
      <c r="W21" s="844"/>
      <c r="X21" s="844"/>
      <c r="Y21" s="844"/>
      <c r="Z21" s="844"/>
      <c r="AA21" s="844"/>
      <c r="AB21" s="844"/>
      <c r="AC21" s="844"/>
      <c r="AD21" s="844"/>
      <c r="AE21" s="844"/>
      <c r="AF21" s="844"/>
      <c r="AG21" s="844"/>
      <c r="AH21" s="844"/>
      <c r="AI21" s="844"/>
      <c r="AJ21" s="844"/>
      <c r="AK21" s="844"/>
      <c r="AL21" s="844"/>
      <c r="AM21" s="844"/>
      <c r="AN21" s="844"/>
      <c r="AO21" s="844"/>
      <c r="AP21" s="844"/>
      <c r="AQ21" s="844"/>
      <c r="AR21" s="844"/>
      <c r="AS21" s="844"/>
      <c r="AT21" s="844"/>
      <c r="AU21" s="844"/>
    </row>
    <row r="22" spans="1:47" s="763" customFormat="1" ht="25.5" customHeight="1" x14ac:dyDescent="0.25">
      <c r="A22" s="1101"/>
      <c r="B22" s="869"/>
      <c r="C22" s="870"/>
      <c r="D22" s="821"/>
      <c r="E22" s="871" t="s">
        <v>982</v>
      </c>
      <c r="F22" s="872">
        <v>44232</v>
      </c>
      <c r="G22" s="821">
        <v>48614</v>
      </c>
      <c r="H22" s="826"/>
      <c r="I22" s="873"/>
      <c r="J22" s="501"/>
      <c r="K22" s="844"/>
      <c r="L22" s="844"/>
      <c r="M22" s="844"/>
      <c r="N22" s="844"/>
      <c r="O22" s="844"/>
      <c r="P22" s="844"/>
      <c r="Q22" s="844"/>
      <c r="R22" s="844"/>
      <c r="S22" s="844"/>
      <c r="T22" s="844"/>
      <c r="U22" s="844"/>
      <c r="V22" s="844"/>
      <c r="W22" s="844"/>
      <c r="X22" s="844"/>
      <c r="Y22" s="844"/>
      <c r="Z22" s="844"/>
      <c r="AA22" s="844"/>
      <c r="AB22" s="844"/>
      <c r="AC22" s="844"/>
      <c r="AD22" s="844"/>
      <c r="AE22" s="844"/>
      <c r="AF22" s="844"/>
      <c r="AG22" s="844"/>
      <c r="AH22" s="844"/>
      <c r="AI22" s="844"/>
      <c r="AJ22" s="844"/>
      <c r="AK22" s="844"/>
      <c r="AL22" s="844"/>
      <c r="AM22" s="844"/>
      <c r="AN22" s="844"/>
      <c r="AO22" s="844"/>
      <c r="AP22" s="844"/>
      <c r="AQ22" s="844"/>
      <c r="AR22" s="844"/>
      <c r="AS22" s="844"/>
      <c r="AT22" s="844"/>
      <c r="AU22" s="844"/>
    </row>
    <row r="23" spans="1:47" s="763" customFormat="1" ht="26.25" customHeight="1" thickBot="1" x14ac:dyDescent="0.3">
      <c r="A23" s="1097"/>
      <c r="B23" s="836"/>
      <c r="C23" s="837"/>
      <c r="D23" s="838"/>
      <c r="E23" s="871" t="s">
        <v>983</v>
      </c>
      <c r="F23" s="840">
        <v>45448</v>
      </c>
      <c r="G23" s="854" t="s">
        <v>278</v>
      </c>
      <c r="H23" s="874"/>
      <c r="I23" s="842"/>
      <c r="J23" s="875"/>
      <c r="K23" s="844"/>
      <c r="L23" s="844"/>
      <c r="M23" s="844"/>
      <c r="N23" s="844"/>
      <c r="O23" s="844"/>
      <c r="P23" s="844"/>
      <c r="Q23" s="844"/>
      <c r="R23" s="844"/>
      <c r="S23" s="844"/>
      <c r="T23" s="844"/>
      <c r="U23" s="844"/>
      <c r="V23" s="844"/>
      <c r="W23" s="844"/>
      <c r="X23" s="844"/>
      <c r="Y23" s="844"/>
      <c r="Z23" s="844"/>
      <c r="AA23" s="844"/>
      <c r="AB23" s="844"/>
      <c r="AC23" s="844"/>
      <c r="AD23" s="844"/>
      <c r="AE23" s="844"/>
      <c r="AF23" s="844"/>
      <c r="AG23" s="844"/>
      <c r="AH23" s="844"/>
      <c r="AI23" s="844"/>
      <c r="AJ23" s="844"/>
      <c r="AK23" s="844"/>
      <c r="AL23" s="844"/>
      <c r="AM23" s="844"/>
      <c r="AN23" s="844"/>
      <c r="AO23" s="844"/>
      <c r="AP23" s="844"/>
      <c r="AQ23" s="844"/>
      <c r="AR23" s="844"/>
      <c r="AS23" s="844"/>
      <c r="AT23" s="844"/>
      <c r="AU23" s="844"/>
    </row>
    <row r="24" spans="1:47" s="763" customFormat="1" ht="27" customHeight="1" x14ac:dyDescent="0.25">
      <c r="A24" s="1096" t="s">
        <v>984</v>
      </c>
      <c r="B24" s="845"/>
      <c r="C24" s="846"/>
      <c r="D24" s="830"/>
      <c r="E24" s="876" t="s">
        <v>985</v>
      </c>
      <c r="F24" s="877">
        <v>44502</v>
      </c>
      <c r="G24" s="878" t="s">
        <v>460</v>
      </c>
      <c r="H24" s="833"/>
      <c r="I24" s="834"/>
      <c r="J24" s="866"/>
      <c r="K24" s="844"/>
      <c r="L24" s="844"/>
      <c r="M24" s="844"/>
      <c r="N24" s="844"/>
      <c r="O24" s="844"/>
      <c r="P24" s="844"/>
      <c r="Q24" s="844"/>
      <c r="R24" s="844"/>
      <c r="S24" s="844"/>
      <c r="T24" s="844"/>
      <c r="U24" s="844"/>
      <c r="V24" s="844"/>
      <c r="W24" s="844"/>
      <c r="X24" s="844"/>
      <c r="Y24" s="844"/>
      <c r="Z24" s="844"/>
      <c r="AA24" s="844"/>
      <c r="AB24" s="844"/>
      <c r="AC24" s="844"/>
      <c r="AD24" s="844"/>
      <c r="AE24" s="844"/>
      <c r="AF24" s="844"/>
      <c r="AG24" s="844"/>
      <c r="AH24" s="844"/>
      <c r="AI24" s="844"/>
      <c r="AJ24" s="844"/>
      <c r="AK24" s="844"/>
      <c r="AL24" s="844"/>
      <c r="AM24" s="844"/>
      <c r="AN24" s="844"/>
      <c r="AO24" s="844"/>
      <c r="AP24" s="844"/>
      <c r="AQ24" s="844"/>
      <c r="AR24" s="844"/>
      <c r="AS24" s="844"/>
      <c r="AT24" s="844"/>
      <c r="AU24" s="844"/>
    </row>
    <row r="25" spans="1:47" s="763" customFormat="1" ht="27" customHeight="1" thickBot="1" x14ac:dyDescent="0.3">
      <c r="A25" s="1097"/>
      <c r="B25" s="836"/>
      <c r="C25" s="837"/>
      <c r="D25" s="838"/>
      <c r="E25" s="839" t="s">
        <v>986</v>
      </c>
      <c r="F25" s="840">
        <v>44659</v>
      </c>
      <c r="G25" s="879" t="s">
        <v>278</v>
      </c>
      <c r="H25" s="874" t="s">
        <v>987</v>
      </c>
      <c r="I25" s="842"/>
      <c r="J25" s="875"/>
      <c r="K25" s="844"/>
      <c r="L25" s="844"/>
      <c r="M25" s="844"/>
      <c r="N25" s="844"/>
      <c r="O25" s="844"/>
      <c r="P25" s="844"/>
      <c r="Q25" s="844"/>
      <c r="R25" s="844"/>
      <c r="S25" s="844"/>
      <c r="T25" s="844"/>
      <c r="U25" s="844"/>
      <c r="V25" s="844"/>
      <c r="W25" s="844"/>
      <c r="X25" s="844"/>
      <c r="Y25" s="844"/>
      <c r="Z25" s="844"/>
      <c r="AA25" s="844"/>
      <c r="AB25" s="844"/>
      <c r="AC25" s="844"/>
      <c r="AD25" s="844"/>
      <c r="AE25" s="844"/>
      <c r="AF25" s="844"/>
      <c r="AG25" s="844"/>
      <c r="AH25" s="844"/>
      <c r="AI25" s="844"/>
      <c r="AJ25" s="844"/>
      <c r="AK25" s="844"/>
      <c r="AL25" s="844"/>
      <c r="AM25" s="844"/>
      <c r="AN25" s="844"/>
      <c r="AO25" s="844"/>
      <c r="AP25" s="844"/>
      <c r="AQ25" s="844"/>
      <c r="AR25" s="844"/>
      <c r="AS25" s="844"/>
      <c r="AT25" s="844"/>
      <c r="AU25" s="844"/>
    </row>
    <row r="26" spans="1:47" s="763" customFormat="1" ht="27" customHeight="1" x14ac:dyDescent="0.25">
      <c r="A26" s="1096" t="s">
        <v>988</v>
      </c>
      <c r="B26" s="845"/>
      <c r="C26" s="846"/>
      <c r="D26" s="830"/>
      <c r="E26" s="847" t="s">
        <v>989</v>
      </c>
      <c r="F26" s="848">
        <v>42149</v>
      </c>
      <c r="G26" s="830">
        <v>48724</v>
      </c>
      <c r="H26" s="833"/>
      <c r="I26" s="834"/>
      <c r="J26" s="866"/>
      <c r="K26" s="844"/>
      <c r="L26" s="844"/>
      <c r="M26" s="844"/>
      <c r="N26" s="844"/>
      <c r="O26" s="844"/>
      <c r="P26" s="844"/>
      <c r="Q26" s="844"/>
      <c r="R26" s="844"/>
      <c r="S26" s="844"/>
      <c r="T26" s="844"/>
      <c r="U26" s="844"/>
      <c r="V26" s="844"/>
      <c r="W26" s="844"/>
      <c r="X26" s="844"/>
      <c r="Y26" s="844"/>
      <c r="Z26" s="844"/>
      <c r="AA26" s="844"/>
      <c r="AB26" s="844"/>
      <c r="AC26" s="844"/>
      <c r="AD26" s="844"/>
      <c r="AE26" s="844"/>
      <c r="AF26" s="844"/>
      <c r="AG26" s="844"/>
      <c r="AH26" s="844"/>
      <c r="AI26" s="844"/>
      <c r="AJ26" s="844"/>
      <c r="AK26" s="844"/>
      <c r="AL26" s="844"/>
      <c r="AM26" s="844"/>
      <c r="AN26" s="844"/>
      <c r="AO26" s="844"/>
      <c r="AP26" s="844"/>
      <c r="AQ26" s="844"/>
      <c r="AR26" s="844"/>
      <c r="AS26" s="844"/>
      <c r="AT26" s="844"/>
      <c r="AU26" s="844"/>
    </row>
    <row r="27" spans="1:47" s="763" customFormat="1" ht="27" customHeight="1" x14ac:dyDescent="0.25">
      <c r="A27" s="1101"/>
      <c r="B27" s="849"/>
      <c r="C27" s="850"/>
      <c r="D27" s="851"/>
      <c r="E27" s="852" t="s">
        <v>990</v>
      </c>
      <c r="F27" s="853">
        <v>45106</v>
      </c>
      <c r="G27" s="851">
        <v>50950</v>
      </c>
      <c r="H27" s="855"/>
      <c r="I27" s="502"/>
      <c r="J27" s="500"/>
      <c r="K27" s="844"/>
      <c r="L27" s="844"/>
      <c r="M27" s="844"/>
      <c r="N27" s="844"/>
      <c r="O27" s="844"/>
      <c r="P27" s="844"/>
      <c r="Q27" s="844"/>
      <c r="R27" s="844"/>
      <c r="S27" s="844"/>
      <c r="T27" s="844"/>
      <c r="U27" s="844"/>
      <c r="V27" s="844"/>
      <c r="W27" s="844"/>
      <c r="X27" s="844"/>
      <c r="Y27" s="844"/>
      <c r="Z27" s="844"/>
      <c r="AA27" s="844"/>
      <c r="AB27" s="844"/>
      <c r="AC27" s="844"/>
      <c r="AD27" s="844"/>
      <c r="AE27" s="844"/>
      <c r="AF27" s="844"/>
      <c r="AG27" s="844"/>
      <c r="AH27" s="844"/>
      <c r="AI27" s="844"/>
      <c r="AJ27" s="844"/>
      <c r="AK27" s="844"/>
      <c r="AL27" s="844"/>
      <c r="AM27" s="844"/>
      <c r="AN27" s="844"/>
      <c r="AO27" s="844"/>
      <c r="AP27" s="844"/>
      <c r="AQ27" s="844"/>
      <c r="AR27" s="844"/>
      <c r="AS27" s="844"/>
      <c r="AT27" s="844"/>
      <c r="AU27" s="844"/>
    </row>
    <row r="28" spans="1:47" s="763" customFormat="1" ht="33.75" customHeight="1" thickBot="1" x14ac:dyDescent="0.3">
      <c r="A28" s="1097"/>
      <c r="B28" s="880"/>
      <c r="C28" s="837"/>
      <c r="D28" s="881"/>
      <c r="E28" s="839" t="s">
        <v>991</v>
      </c>
      <c r="F28" s="840">
        <v>45141</v>
      </c>
      <c r="G28" s="838"/>
      <c r="H28" s="874"/>
      <c r="I28" s="842"/>
      <c r="J28" s="875"/>
      <c r="K28" s="844"/>
      <c r="L28" s="844"/>
      <c r="M28" s="844"/>
      <c r="N28" s="844"/>
      <c r="O28" s="844"/>
      <c r="P28" s="844"/>
      <c r="Q28" s="844"/>
      <c r="R28" s="844"/>
      <c r="S28" s="844"/>
      <c r="T28" s="844"/>
      <c r="U28" s="844"/>
      <c r="V28" s="844"/>
      <c r="W28" s="844"/>
      <c r="X28" s="844"/>
      <c r="Y28" s="844"/>
      <c r="Z28" s="844"/>
      <c r="AA28" s="844"/>
      <c r="AB28" s="844"/>
      <c r="AC28" s="844"/>
      <c r="AD28" s="844"/>
      <c r="AE28" s="844"/>
      <c r="AF28" s="844"/>
      <c r="AG28" s="844"/>
      <c r="AH28" s="844"/>
      <c r="AI28" s="844"/>
      <c r="AJ28" s="844"/>
      <c r="AK28" s="844"/>
      <c r="AL28" s="844"/>
      <c r="AM28" s="844"/>
      <c r="AN28" s="844"/>
      <c r="AO28" s="844"/>
      <c r="AP28" s="844"/>
      <c r="AQ28" s="844"/>
      <c r="AR28" s="844"/>
      <c r="AS28" s="844"/>
      <c r="AT28" s="844"/>
      <c r="AU28" s="844"/>
    </row>
    <row r="29" spans="1:47" s="763" customFormat="1" ht="19.5" customHeight="1" x14ac:dyDescent="0.25">
      <c r="A29" s="1096" t="s">
        <v>992</v>
      </c>
      <c r="B29" s="882"/>
      <c r="C29" s="846"/>
      <c r="D29" s="830"/>
      <c r="E29" s="876" t="s">
        <v>993</v>
      </c>
      <c r="F29" s="848">
        <v>43165</v>
      </c>
      <c r="G29" s="830">
        <v>46726</v>
      </c>
      <c r="H29" s="833"/>
      <c r="I29" s="834"/>
      <c r="J29" s="866"/>
      <c r="K29" s="844"/>
      <c r="L29" s="844"/>
      <c r="M29" s="844"/>
      <c r="N29" s="844"/>
      <c r="O29" s="844"/>
      <c r="P29" s="844"/>
      <c r="Q29" s="844"/>
      <c r="R29" s="844"/>
      <c r="S29" s="844"/>
      <c r="T29" s="844"/>
      <c r="U29" s="844"/>
      <c r="V29" s="844"/>
      <c r="W29" s="844"/>
      <c r="X29" s="844"/>
      <c r="Y29" s="844"/>
      <c r="Z29" s="844"/>
      <c r="AA29" s="844"/>
      <c r="AB29" s="844"/>
      <c r="AC29" s="844"/>
      <c r="AD29" s="844"/>
      <c r="AE29" s="844"/>
      <c r="AF29" s="844"/>
      <c r="AG29" s="844"/>
      <c r="AH29" s="844"/>
      <c r="AI29" s="844"/>
      <c r="AJ29" s="844"/>
      <c r="AK29" s="844"/>
      <c r="AL29" s="844"/>
      <c r="AM29" s="844"/>
      <c r="AN29" s="844"/>
      <c r="AO29" s="844"/>
      <c r="AP29" s="844"/>
      <c r="AQ29" s="844"/>
      <c r="AR29" s="844"/>
      <c r="AS29" s="844"/>
      <c r="AT29" s="844"/>
      <c r="AU29" s="844"/>
    </row>
    <row r="30" spans="1:47" s="763" customFormat="1" ht="20.25" customHeight="1" thickBot="1" x14ac:dyDescent="0.3">
      <c r="A30" s="1097"/>
      <c r="B30" s="880"/>
      <c r="C30" s="837"/>
      <c r="D30" s="838"/>
      <c r="E30" s="839" t="s">
        <v>994</v>
      </c>
      <c r="F30" s="840">
        <v>44888</v>
      </c>
      <c r="G30" s="879" t="s">
        <v>278</v>
      </c>
      <c r="H30" s="874"/>
      <c r="I30" s="842"/>
      <c r="J30" s="875"/>
      <c r="K30" s="844"/>
      <c r="L30" s="844"/>
      <c r="M30" s="844"/>
      <c r="N30" s="844"/>
      <c r="O30" s="844"/>
      <c r="P30" s="844"/>
      <c r="Q30" s="844"/>
      <c r="R30" s="844"/>
      <c r="S30" s="844"/>
      <c r="T30" s="844"/>
      <c r="U30" s="844"/>
      <c r="V30" s="844"/>
      <c r="W30" s="844"/>
      <c r="X30" s="844"/>
      <c r="Y30" s="844"/>
      <c r="Z30" s="844"/>
      <c r="AA30" s="844"/>
      <c r="AB30" s="844"/>
      <c r="AC30" s="844"/>
      <c r="AD30" s="844"/>
      <c r="AE30" s="844"/>
      <c r="AF30" s="844"/>
      <c r="AG30" s="844"/>
      <c r="AH30" s="844"/>
      <c r="AI30" s="844"/>
      <c r="AJ30" s="844"/>
      <c r="AK30" s="844"/>
      <c r="AL30" s="844"/>
      <c r="AM30" s="844"/>
      <c r="AN30" s="844"/>
      <c r="AO30" s="844"/>
      <c r="AP30" s="844"/>
      <c r="AQ30" s="844"/>
      <c r="AR30" s="844"/>
      <c r="AS30" s="844"/>
      <c r="AT30" s="844"/>
      <c r="AU30" s="844"/>
    </row>
    <row r="31" spans="1:47" s="894" customFormat="1" ht="31.5" customHeight="1" thickBot="1" x14ac:dyDescent="0.3">
      <c r="A31" s="883" t="s">
        <v>995</v>
      </c>
      <c r="B31" s="884"/>
      <c r="C31" s="885"/>
      <c r="D31" s="886"/>
      <c r="E31" s="887" t="s">
        <v>996</v>
      </c>
      <c r="F31" s="888">
        <v>45075</v>
      </c>
      <c r="G31" s="889">
        <v>48728</v>
      </c>
      <c r="H31" s="890"/>
      <c r="I31" s="891"/>
      <c r="J31" s="892"/>
      <c r="K31" s="893"/>
      <c r="L31" s="893"/>
      <c r="M31" s="893"/>
      <c r="N31" s="893"/>
      <c r="O31" s="893"/>
      <c r="P31" s="893"/>
      <c r="Q31" s="893"/>
      <c r="R31" s="893"/>
      <c r="S31" s="893"/>
      <c r="T31" s="893"/>
      <c r="U31" s="893"/>
      <c r="V31" s="893"/>
      <c r="W31" s="893"/>
      <c r="X31" s="893"/>
      <c r="Y31" s="893"/>
      <c r="Z31" s="893"/>
      <c r="AA31" s="893"/>
      <c r="AB31" s="893"/>
      <c r="AC31" s="893"/>
      <c r="AD31" s="893"/>
      <c r="AE31" s="893"/>
      <c r="AF31" s="893"/>
      <c r="AG31" s="893"/>
      <c r="AH31" s="893"/>
      <c r="AI31" s="893"/>
      <c r="AJ31" s="893"/>
      <c r="AK31" s="893"/>
      <c r="AL31" s="893"/>
      <c r="AM31" s="893"/>
      <c r="AN31" s="893"/>
      <c r="AO31" s="893"/>
      <c r="AP31" s="893"/>
      <c r="AQ31" s="893"/>
      <c r="AR31" s="893"/>
      <c r="AS31" s="893"/>
      <c r="AT31" s="893"/>
      <c r="AU31" s="893"/>
    </row>
    <row r="32" spans="1:47" s="763" customFormat="1" ht="25.5" customHeight="1" x14ac:dyDescent="0.25">
      <c r="A32" s="1096" t="s">
        <v>997</v>
      </c>
      <c r="B32" s="895"/>
      <c r="C32" s="896"/>
      <c r="D32" s="897"/>
      <c r="E32" s="898" t="s">
        <v>998</v>
      </c>
      <c r="F32" s="899">
        <v>43500</v>
      </c>
      <c r="G32" s="900">
        <v>48979</v>
      </c>
      <c r="H32" s="833"/>
      <c r="I32" s="901"/>
      <c r="J32" s="882"/>
    </row>
    <row r="33" spans="1:10" s="763" customFormat="1" ht="15.75" customHeight="1" thickBot="1" x14ac:dyDescent="0.45">
      <c r="A33" s="1097"/>
      <c r="B33" s="902"/>
      <c r="C33" s="903"/>
      <c r="D33" s="904"/>
      <c r="E33" s="905" t="s">
        <v>999</v>
      </c>
      <c r="F33" s="906">
        <v>43543</v>
      </c>
      <c r="G33" s="879" t="s">
        <v>278</v>
      </c>
      <c r="H33" s="874"/>
      <c r="I33" s="907"/>
      <c r="J33" s="908"/>
    </row>
    <row r="34" spans="1:10" s="763" customFormat="1" ht="15.75" customHeight="1" x14ac:dyDescent="1.8">
      <c r="A34" s="909"/>
      <c r="B34" s="910"/>
      <c r="C34" s="910"/>
      <c r="D34" s="911"/>
      <c r="E34" s="912"/>
      <c r="F34" s="913"/>
      <c r="G34" s="914"/>
      <c r="H34" s="915"/>
      <c r="I34" s="916"/>
      <c r="J34" s="917"/>
    </row>
    <row r="35" spans="1:10" s="763" customFormat="1" ht="15.75" customHeight="1" x14ac:dyDescent="1.8">
      <c r="A35" s="918"/>
      <c r="B35" s="919"/>
      <c r="C35" s="919"/>
      <c r="D35" s="920"/>
      <c r="E35" s="921"/>
      <c r="F35" s="922"/>
      <c r="G35" s="923"/>
      <c r="H35" s="855"/>
      <c r="I35" s="924"/>
      <c r="J35" s="925"/>
    </row>
    <row r="36" spans="1:10" s="763" customFormat="1" ht="15.75" customHeight="1" x14ac:dyDescent="1.8">
      <c r="A36" s="918"/>
      <c r="B36" s="926"/>
      <c r="C36" s="927"/>
      <c r="D36" s="928"/>
      <c r="E36" s="921"/>
      <c r="F36" s="922"/>
      <c r="G36" s="923"/>
      <c r="H36" s="855"/>
      <c r="I36" s="924"/>
      <c r="J36" s="925"/>
    </row>
    <row r="37" spans="1:10" s="763" customFormat="1" ht="15.75" customHeight="1" x14ac:dyDescent="1.8">
      <c r="A37" s="929"/>
      <c r="B37" s="926"/>
      <c r="C37" s="930"/>
      <c r="D37" s="931"/>
      <c r="E37" s="921"/>
      <c r="F37" s="922"/>
      <c r="G37" s="923"/>
      <c r="H37" s="855"/>
      <c r="I37" s="924"/>
      <c r="J37" s="925"/>
    </row>
    <row r="38" spans="1:10" ht="15.9" customHeight="1" x14ac:dyDescent="0.4">
      <c r="A38" s="932"/>
      <c r="B38" s="933"/>
      <c r="C38" s="934"/>
      <c r="D38" s="935"/>
      <c r="E38" s="936"/>
      <c r="F38" s="937"/>
      <c r="G38" s="938"/>
      <c r="H38" s="939"/>
      <c r="I38" s="940"/>
      <c r="J38" s="933"/>
    </row>
    <row r="39" spans="1:10" ht="15.9" customHeight="1" x14ac:dyDescent="0.4">
      <c r="A39" s="932"/>
      <c r="B39" s="933"/>
      <c r="C39" s="934"/>
      <c r="D39" s="935"/>
      <c r="E39" s="941"/>
      <c r="F39" s="937"/>
      <c r="G39" s="938"/>
      <c r="H39" s="939"/>
      <c r="I39" s="940"/>
      <c r="J39" s="933"/>
    </row>
    <row r="40" spans="1:10" ht="15.9" customHeight="1" x14ac:dyDescent="0.4">
      <c r="A40" s="932"/>
      <c r="B40" s="942"/>
      <c r="C40" s="934"/>
      <c r="D40" s="935"/>
      <c r="E40" s="941"/>
      <c r="F40" s="943"/>
      <c r="G40" s="939"/>
      <c r="H40" s="939"/>
      <c r="I40" s="940"/>
      <c r="J40" s="933"/>
    </row>
    <row r="41" spans="1:10" ht="15.9" customHeight="1" x14ac:dyDescent="0.4">
      <c r="A41" s="932"/>
      <c r="B41" s="942"/>
      <c r="C41" s="934"/>
      <c r="D41" s="935"/>
      <c r="E41" s="941"/>
      <c r="F41" s="943"/>
      <c r="G41" s="939"/>
      <c r="H41" s="939"/>
      <c r="I41" s="940"/>
      <c r="J41" s="933"/>
    </row>
    <row r="42" spans="1:10" ht="15.9" customHeight="1" x14ac:dyDescent="0.4">
      <c r="A42" s="932"/>
      <c r="B42" s="933"/>
      <c r="C42" s="934"/>
      <c r="D42" s="935"/>
      <c r="E42" s="941"/>
      <c r="F42" s="943"/>
      <c r="G42" s="939"/>
      <c r="H42" s="939"/>
      <c r="I42" s="940"/>
      <c r="J42" s="933"/>
    </row>
    <row r="43" spans="1:10" ht="15.9" customHeight="1" x14ac:dyDescent="0.4">
      <c r="A43" s="932"/>
      <c r="B43" s="942"/>
      <c r="C43" s="934"/>
      <c r="D43" s="935"/>
      <c r="E43" s="941"/>
      <c r="F43" s="943"/>
      <c r="G43" s="939"/>
      <c r="H43" s="939"/>
      <c r="I43" s="940"/>
      <c r="J43" s="933"/>
    </row>
    <row r="44" spans="1:10" ht="15.9" customHeight="1" x14ac:dyDescent="0.4">
      <c r="A44" s="932"/>
      <c r="B44" s="942"/>
      <c r="C44" s="934"/>
      <c r="D44" s="935"/>
      <c r="E44" s="941"/>
      <c r="F44" s="943"/>
      <c r="G44" s="939"/>
      <c r="H44" s="939"/>
      <c r="I44" s="940"/>
      <c r="J44" s="933"/>
    </row>
    <row r="45" spans="1:10" ht="15.9" customHeight="1" thickBot="1" x14ac:dyDescent="0.45">
      <c r="A45" s="932"/>
      <c r="B45" s="942"/>
      <c r="C45" s="944"/>
      <c r="D45" s="935"/>
      <c r="E45" s="941"/>
      <c r="F45" s="943"/>
      <c r="G45" s="939"/>
      <c r="H45" s="939"/>
      <c r="I45" s="940"/>
      <c r="J45" s="933"/>
    </row>
    <row r="46" spans="1:10" ht="15.9" customHeight="1" x14ac:dyDescent="0.4">
      <c r="A46" s="932"/>
      <c r="B46" s="942"/>
      <c r="C46" s="945"/>
      <c r="D46" s="935"/>
      <c r="E46" s="941"/>
      <c r="F46" s="943"/>
      <c r="G46" s="939"/>
      <c r="H46" s="939"/>
      <c r="I46" s="940"/>
      <c r="J46" s="933"/>
    </row>
    <row r="47" spans="1:10" ht="15.9" customHeight="1" x14ac:dyDescent="0.4">
      <c r="A47" s="932"/>
      <c r="B47" s="942"/>
      <c r="C47" s="934"/>
      <c r="D47" s="935"/>
      <c r="E47" s="941"/>
      <c r="F47" s="943"/>
      <c r="G47" s="939"/>
      <c r="H47" s="939"/>
      <c r="I47" s="940"/>
      <c r="J47" s="933"/>
    </row>
    <row r="48" spans="1:10" ht="15.9" customHeight="1" x14ac:dyDescent="0.4">
      <c r="A48" s="932"/>
      <c r="B48" s="942"/>
      <c r="C48" s="934"/>
      <c r="D48" s="935"/>
      <c r="E48" s="941"/>
      <c r="F48" s="943"/>
      <c r="G48" s="939"/>
      <c r="H48" s="939"/>
      <c r="I48" s="940"/>
      <c r="J48" s="933"/>
    </row>
    <row r="49" spans="1:10" ht="15.9" customHeight="1" x14ac:dyDescent="0.4">
      <c r="A49" s="932"/>
      <c r="B49" s="933"/>
      <c r="C49" s="933"/>
      <c r="D49" s="941"/>
      <c r="E49" s="941"/>
      <c r="F49" s="937"/>
      <c r="G49" s="938"/>
      <c r="H49" s="939"/>
      <c r="I49" s="940"/>
      <c r="J49" s="933"/>
    </row>
    <row r="50" spans="1:10" ht="15.9" customHeight="1" x14ac:dyDescent="0.4">
      <c r="A50" s="1089"/>
      <c r="B50" s="933"/>
      <c r="C50" s="933"/>
      <c r="D50" s="941"/>
      <c r="E50" s="936"/>
      <c r="F50" s="937"/>
      <c r="G50" s="938"/>
      <c r="H50" s="939"/>
      <c r="I50" s="940"/>
      <c r="J50" s="933"/>
    </row>
    <row r="51" spans="1:10" ht="15.9" customHeight="1" x14ac:dyDescent="0.45">
      <c r="A51" s="1089"/>
      <c r="B51" s="933"/>
      <c r="C51" s="933"/>
      <c r="D51" s="941"/>
      <c r="E51" s="936"/>
      <c r="F51" s="937"/>
      <c r="G51" s="947"/>
      <c r="H51" s="939"/>
      <c r="I51" s="940"/>
      <c r="J51" s="933"/>
    </row>
    <row r="52" spans="1:10" ht="15.9" customHeight="1" x14ac:dyDescent="0.4">
      <c r="A52" s="1090"/>
      <c r="B52" s="933"/>
      <c r="C52" s="933"/>
      <c r="D52" s="941"/>
      <c r="E52" s="936"/>
      <c r="F52" s="937"/>
      <c r="G52" s="938"/>
      <c r="H52" s="939"/>
      <c r="I52" s="940"/>
      <c r="J52" s="933"/>
    </row>
    <row r="53" spans="1:10" ht="15.9" customHeight="1" x14ac:dyDescent="0.4">
      <c r="A53" s="1102"/>
      <c r="B53" s="949"/>
      <c r="C53" s="934"/>
      <c r="D53" s="935"/>
      <c r="E53" s="936"/>
      <c r="F53" s="937"/>
      <c r="G53" s="938"/>
      <c r="H53" s="939"/>
      <c r="I53" s="940"/>
      <c r="J53" s="933"/>
    </row>
    <row r="54" spans="1:10" ht="15.9" customHeight="1" x14ac:dyDescent="0.4">
      <c r="A54" s="1089"/>
      <c r="B54" s="950"/>
      <c r="C54" s="938"/>
      <c r="D54" s="935"/>
      <c r="E54" s="936"/>
      <c r="F54" s="937"/>
      <c r="G54" s="938"/>
      <c r="H54" s="939"/>
      <c r="I54" s="940"/>
      <c r="J54" s="933"/>
    </row>
    <row r="55" spans="1:10" ht="15.9" customHeight="1" x14ac:dyDescent="0.4">
      <c r="A55" s="1089"/>
      <c r="B55" s="949"/>
      <c r="C55" s="934"/>
      <c r="D55" s="935"/>
      <c r="E55" s="936"/>
      <c r="F55" s="937"/>
      <c r="G55" s="938"/>
      <c r="H55" s="939"/>
      <c r="I55" s="940"/>
      <c r="J55" s="933"/>
    </row>
    <row r="56" spans="1:10" ht="15.9" customHeight="1" x14ac:dyDescent="0.4">
      <c r="A56" s="1090"/>
      <c r="B56" s="942"/>
      <c r="C56" s="934"/>
      <c r="D56" s="935"/>
      <c r="E56" s="936"/>
      <c r="F56" s="937"/>
      <c r="G56" s="938"/>
      <c r="H56" s="939"/>
      <c r="I56" s="940"/>
      <c r="J56" s="933"/>
    </row>
    <row r="57" spans="1:10" ht="15.9" customHeight="1" x14ac:dyDescent="0.4">
      <c r="A57" s="932"/>
      <c r="B57" s="933"/>
      <c r="C57" s="934"/>
      <c r="D57" s="935"/>
      <c r="E57" s="941"/>
      <c r="F57" s="937"/>
      <c r="G57" s="938"/>
      <c r="H57" s="939"/>
      <c r="I57" s="940"/>
      <c r="J57" s="933"/>
    </row>
    <row r="58" spans="1:10" ht="15.9" customHeight="1" x14ac:dyDescent="0.4">
      <c r="A58" s="1089"/>
      <c r="B58" s="933"/>
      <c r="C58" s="933"/>
      <c r="D58" s="941"/>
      <c r="E58" s="936"/>
      <c r="F58" s="937"/>
      <c r="G58" s="938"/>
      <c r="H58" s="939"/>
      <c r="I58" s="940"/>
      <c r="J58" s="933"/>
    </row>
    <row r="59" spans="1:10" ht="15.9" customHeight="1" x14ac:dyDescent="0.4">
      <c r="A59" s="1090"/>
      <c r="B59" s="933"/>
      <c r="C59" s="933"/>
      <c r="D59" s="941"/>
      <c r="E59" s="936"/>
      <c r="F59" s="937"/>
      <c r="G59" s="938"/>
      <c r="H59" s="939"/>
      <c r="I59" s="940"/>
      <c r="J59" s="933"/>
    </row>
    <row r="60" spans="1:10" ht="15.9" customHeight="1" x14ac:dyDescent="0.4">
      <c r="A60" s="1090"/>
      <c r="B60" s="933"/>
      <c r="C60" s="933"/>
      <c r="D60" s="941"/>
      <c r="E60" s="936"/>
      <c r="F60" s="937"/>
      <c r="G60" s="938"/>
      <c r="H60" s="939"/>
      <c r="I60" s="940"/>
      <c r="J60" s="933"/>
    </row>
    <row r="61" spans="1:10" ht="15.9" customHeight="1" x14ac:dyDescent="0.4">
      <c r="A61" s="932"/>
      <c r="B61" s="933"/>
      <c r="C61" s="933"/>
      <c r="D61" s="941"/>
      <c r="E61" s="936"/>
      <c r="F61" s="937"/>
      <c r="G61" s="938"/>
      <c r="H61" s="939"/>
      <c r="I61" s="940"/>
      <c r="J61" s="933"/>
    </row>
    <row r="62" spans="1:10" ht="15.9" customHeight="1" x14ac:dyDescent="0.4">
      <c r="A62" s="1089"/>
      <c r="B62" s="951"/>
      <c r="C62" s="850"/>
      <c r="D62" s="952"/>
      <c r="E62" s="953"/>
      <c r="F62" s="937"/>
      <c r="G62" s="938"/>
      <c r="H62" s="939"/>
      <c r="I62" s="940"/>
      <c r="J62" s="933"/>
    </row>
    <row r="63" spans="1:10" ht="15.9" customHeight="1" thickBot="1" x14ac:dyDescent="0.45">
      <c r="A63" s="1089"/>
      <c r="B63" s="951"/>
      <c r="C63" s="837"/>
      <c r="D63" s="954"/>
      <c r="E63" s="955"/>
      <c r="F63" s="937"/>
      <c r="G63" s="938"/>
      <c r="H63" s="939"/>
      <c r="I63" s="940"/>
      <c r="J63" s="933"/>
    </row>
    <row r="64" spans="1:10" ht="15.9" customHeight="1" x14ac:dyDescent="0.4">
      <c r="A64" s="1089"/>
      <c r="B64" s="956"/>
      <c r="C64" s="957"/>
      <c r="D64" s="958"/>
      <c r="E64" s="936"/>
      <c r="F64" s="937"/>
      <c r="G64" s="938"/>
      <c r="H64" s="939"/>
      <c r="I64" s="940"/>
      <c r="J64" s="933"/>
    </row>
    <row r="65" spans="1:10" ht="15.9" customHeight="1" x14ac:dyDescent="0.4">
      <c r="A65" s="1089"/>
      <c r="B65" s="959"/>
      <c r="C65" s="960"/>
      <c r="D65" s="961"/>
      <c r="E65" s="955"/>
      <c r="F65" s="937"/>
      <c r="G65" s="938"/>
      <c r="H65" s="939"/>
      <c r="I65" s="940"/>
      <c r="J65" s="933"/>
    </row>
    <row r="66" spans="1:10" ht="15.9" customHeight="1" x14ac:dyDescent="0.4">
      <c r="A66" s="1089"/>
      <c r="B66" s="949"/>
      <c r="C66" s="962"/>
      <c r="D66" s="938"/>
      <c r="E66" s="936"/>
      <c r="F66" s="937"/>
      <c r="G66" s="938"/>
      <c r="H66" s="939"/>
      <c r="I66" s="940"/>
      <c r="J66" s="933"/>
    </row>
    <row r="67" spans="1:10" ht="15.9" customHeight="1" x14ac:dyDescent="0.4">
      <c r="A67" s="1089"/>
      <c r="B67" s="949"/>
      <c r="C67" s="962"/>
      <c r="D67" s="938"/>
      <c r="E67" s="936"/>
      <c r="F67" s="937"/>
      <c r="G67" s="938"/>
      <c r="H67" s="939"/>
      <c r="I67" s="940"/>
      <c r="J67" s="933"/>
    </row>
    <row r="68" spans="1:10" ht="15.9" customHeight="1" x14ac:dyDescent="0.4">
      <c r="A68" s="1089"/>
      <c r="B68" s="949"/>
      <c r="C68" s="962"/>
      <c r="D68" s="938"/>
      <c r="E68" s="936"/>
      <c r="F68" s="937"/>
      <c r="G68" s="938"/>
      <c r="H68" s="939"/>
      <c r="I68" s="940"/>
      <c r="J68" s="933"/>
    </row>
    <row r="69" spans="1:10" ht="15.9" customHeight="1" x14ac:dyDescent="0.4">
      <c r="A69" s="1089"/>
      <c r="B69" s="949"/>
      <c r="C69" s="963"/>
      <c r="D69" s="964"/>
      <c r="E69" s="936"/>
      <c r="F69" s="937"/>
      <c r="G69" s="938"/>
      <c r="H69" s="939"/>
      <c r="I69" s="940"/>
      <c r="J69" s="933"/>
    </row>
    <row r="70" spans="1:10" ht="15.9" customHeight="1" x14ac:dyDescent="0.4">
      <c r="A70" s="1089"/>
      <c r="B70" s="933"/>
      <c r="C70" s="940"/>
      <c r="D70" s="939"/>
      <c r="E70" s="936"/>
      <c r="F70" s="937"/>
      <c r="G70" s="938"/>
      <c r="H70" s="939"/>
      <c r="I70" s="940"/>
      <c r="J70" s="933"/>
    </row>
    <row r="71" spans="1:10" ht="15.9" customHeight="1" x14ac:dyDescent="0.4">
      <c r="A71" s="1090"/>
      <c r="B71" s="933"/>
      <c r="C71" s="940"/>
      <c r="D71" s="939"/>
      <c r="E71" s="936"/>
      <c r="F71" s="943"/>
      <c r="G71" s="939"/>
      <c r="H71" s="939"/>
      <c r="I71" s="940"/>
      <c r="J71" s="933"/>
    </row>
    <row r="72" spans="1:10" ht="15.9" customHeight="1" x14ac:dyDescent="0.4">
      <c r="A72" s="1090"/>
      <c r="B72" s="933"/>
      <c r="C72" s="940"/>
      <c r="D72" s="939"/>
      <c r="E72" s="936"/>
      <c r="F72" s="943"/>
      <c r="G72" s="939"/>
      <c r="H72" s="939"/>
      <c r="I72" s="940"/>
      <c r="J72" s="933"/>
    </row>
    <row r="73" spans="1:10" ht="15.9" customHeight="1" x14ac:dyDescent="0.4">
      <c r="A73" s="1089"/>
      <c r="B73" s="933"/>
      <c r="C73" s="940"/>
      <c r="D73" s="939"/>
      <c r="E73" s="936"/>
      <c r="F73" s="937"/>
      <c r="G73" s="938"/>
      <c r="H73" s="939"/>
      <c r="I73" s="940"/>
      <c r="J73" s="933"/>
    </row>
    <row r="74" spans="1:10" ht="15.9" customHeight="1" x14ac:dyDescent="0.4">
      <c r="A74" s="1090"/>
      <c r="B74" s="933"/>
      <c r="C74" s="940"/>
      <c r="D74" s="939"/>
      <c r="E74" s="936"/>
      <c r="F74" s="937"/>
      <c r="G74" s="938"/>
      <c r="H74" s="939"/>
      <c r="I74" s="940"/>
      <c r="J74" s="933"/>
    </row>
    <row r="75" spans="1:10" x14ac:dyDescent="0.4">
      <c r="A75" s="1089"/>
      <c r="B75" s="949"/>
      <c r="C75" s="962"/>
      <c r="D75" s="938"/>
      <c r="E75" s="936"/>
      <c r="F75" s="937"/>
      <c r="G75" s="938"/>
      <c r="H75" s="939"/>
      <c r="I75" s="940"/>
      <c r="J75" s="933"/>
    </row>
    <row r="76" spans="1:10" x14ac:dyDescent="0.4">
      <c r="A76" s="1089"/>
      <c r="B76" s="949"/>
      <c r="C76" s="962"/>
      <c r="D76" s="938"/>
      <c r="E76" s="936"/>
      <c r="F76" s="937"/>
      <c r="G76" s="938"/>
      <c r="H76" s="939"/>
      <c r="I76" s="940"/>
      <c r="J76" s="933"/>
    </row>
    <row r="77" spans="1:10" x14ac:dyDescent="0.4">
      <c r="A77" s="1090"/>
      <c r="B77" s="949"/>
      <c r="C77" s="962"/>
      <c r="D77" s="938"/>
      <c r="E77" s="941"/>
      <c r="F77" s="943"/>
      <c r="G77" s="939"/>
      <c r="H77" s="939"/>
      <c r="I77" s="940"/>
      <c r="J77" s="933"/>
    </row>
    <row r="78" spans="1:10" x14ac:dyDescent="0.4">
      <c r="A78" s="1090"/>
      <c r="B78" s="965"/>
      <c r="C78" s="962"/>
      <c r="D78" s="938"/>
      <c r="E78" s="936"/>
      <c r="F78" s="966"/>
      <c r="G78" s="938"/>
      <c r="H78" s="939"/>
      <c r="I78" s="940"/>
      <c r="J78" s="933"/>
    </row>
    <row r="79" spans="1:10" x14ac:dyDescent="0.4">
      <c r="A79" s="1090"/>
      <c r="B79" s="965"/>
      <c r="C79" s="962"/>
      <c r="D79" s="938"/>
      <c r="E79" s="936"/>
      <c r="F79" s="943"/>
      <c r="G79" s="939"/>
      <c r="H79" s="939"/>
      <c r="I79" s="940"/>
      <c r="J79" s="933"/>
    </row>
    <row r="80" spans="1:10" x14ac:dyDescent="0.4">
      <c r="A80" s="1089"/>
      <c r="B80" s="933"/>
      <c r="C80" s="940"/>
      <c r="D80" s="939"/>
      <c r="E80" s="936"/>
      <c r="F80" s="937"/>
      <c r="G80" s="938"/>
      <c r="H80" s="939"/>
      <c r="I80" s="940"/>
      <c r="J80" s="933"/>
    </row>
    <row r="81" spans="1:10" x14ac:dyDescent="0.4">
      <c r="A81" s="1089"/>
      <c r="B81" s="933"/>
      <c r="C81" s="940"/>
      <c r="D81" s="939"/>
      <c r="E81" s="936"/>
      <c r="F81" s="937"/>
      <c r="G81" s="967"/>
      <c r="H81" s="939"/>
      <c r="I81" s="940"/>
      <c r="J81" s="933"/>
    </row>
    <row r="82" spans="1:10" x14ac:dyDescent="0.4">
      <c r="A82" s="946"/>
      <c r="B82" s="933"/>
      <c r="C82" s="940"/>
      <c r="D82" s="939"/>
      <c r="E82" s="936"/>
      <c r="F82" s="937"/>
      <c r="G82" s="938"/>
      <c r="H82" s="939"/>
      <c r="I82" s="940"/>
      <c r="J82" s="933"/>
    </row>
    <row r="83" spans="1:10" ht="15.75" customHeight="1" x14ac:dyDescent="0.4">
      <c r="A83" s="1089"/>
      <c r="B83" s="942"/>
      <c r="C83" s="962"/>
      <c r="D83" s="938"/>
      <c r="E83" s="936"/>
      <c r="F83" s="937"/>
      <c r="G83" s="938"/>
      <c r="H83" s="939"/>
      <c r="I83" s="940"/>
      <c r="J83" s="933"/>
    </row>
    <row r="84" spans="1:10" ht="15.75" customHeight="1" thickBot="1" x14ac:dyDescent="0.45">
      <c r="A84" s="1089"/>
      <c r="B84" s="942"/>
      <c r="C84" s="962"/>
      <c r="D84" s="938"/>
      <c r="E84" s="936"/>
      <c r="F84" s="937"/>
      <c r="G84" s="968"/>
      <c r="H84" s="939"/>
      <c r="I84" s="940"/>
      <c r="J84" s="933"/>
    </row>
    <row r="85" spans="1:10" ht="15.75" customHeight="1" x14ac:dyDescent="0.4">
      <c r="A85" s="1090"/>
      <c r="B85" s="942"/>
      <c r="C85" s="962"/>
      <c r="D85" s="938"/>
      <c r="E85" s="969"/>
      <c r="F85" s="938"/>
      <c r="G85" s="970"/>
      <c r="H85" s="933"/>
      <c r="I85" s="940"/>
      <c r="J85" s="933"/>
    </row>
    <row r="86" spans="1:10" x14ac:dyDescent="0.4">
      <c r="A86" s="1089"/>
      <c r="B86" s="949"/>
      <c r="C86" s="962"/>
      <c r="D86" s="938"/>
      <c r="E86" s="940"/>
      <c r="F86" s="939"/>
      <c r="G86" s="939"/>
      <c r="H86" s="933"/>
      <c r="I86" s="940"/>
      <c r="J86" s="933"/>
    </row>
    <row r="87" spans="1:10" ht="16.8" thickBot="1" x14ac:dyDescent="0.45">
      <c r="A87" s="1090"/>
      <c r="B87" s="949"/>
      <c r="C87" s="940"/>
      <c r="D87" s="971"/>
      <c r="E87" s="940"/>
      <c r="F87" s="939"/>
      <c r="G87" s="939"/>
      <c r="H87" s="933"/>
      <c r="I87" s="940"/>
      <c r="J87" s="933"/>
    </row>
    <row r="88" spans="1:10" x14ac:dyDescent="0.4">
      <c r="A88" s="1089"/>
      <c r="B88" s="933"/>
      <c r="C88" s="940"/>
      <c r="D88" s="972"/>
      <c r="E88" s="949"/>
      <c r="F88" s="938"/>
      <c r="G88" s="938"/>
      <c r="H88" s="933"/>
      <c r="I88" s="940"/>
      <c r="J88" s="933"/>
    </row>
    <row r="89" spans="1:10" x14ac:dyDescent="0.4">
      <c r="A89" s="1089"/>
      <c r="B89" s="933"/>
      <c r="C89" s="940"/>
      <c r="D89" s="939"/>
      <c r="E89" s="949"/>
      <c r="F89" s="938"/>
      <c r="G89" s="938"/>
      <c r="H89" s="933"/>
      <c r="I89" s="940"/>
      <c r="J89" s="933"/>
    </row>
    <row r="90" spans="1:10" x14ac:dyDescent="0.4">
      <c r="A90" s="1089"/>
      <c r="B90" s="933"/>
      <c r="C90" s="940"/>
      <c r="D90" s="939"/>
      <c r="E90" s="949"/>
      <c r="F90" s="938"/>
      <c r="G90" s="938"/>
      <c r="H90" s="933"/>
      <c r="I90" s="940"/>
      <c r="J90" s="933"/>
    </row>
    <row r="91" spans="1:10" x14ac:dyDescent="0.4">
      <c r="A91" s="932"/>
      <c r="B91" s="933"/>
      <c r="C91" s="940"/>
      <c r="D91" s="939"/>
      <c r="E91" s="949"/>
      <c r="F91" s="938"/>
      <c r="G91" s="938"/>
      <c r="H91" s="933"/>
      <c r="I91" s="940"/>
      <c r="J91" s="933"/>
    </row>
    <row r="92" spans="1:10" x14ac:dyDescent="0.4">
      <c r="A92" s="1089"/>
      <c r="B92" s="933"/>
      <c r="C92" s="940"/>
      <c r="D92" s="939"/>
      <c r="E92" s="949"/>
      <c r="F92" s="938"/>
      <c r="G92" s="938"/>
      <c r="H92" s="933"/>
      <c r="I92" s="940"/>
      <c r="J92" s="933"/>
    </row>
    <row r="93" spans="1:10" x14ac:dyDescent="0.4">
      <c r="A93" s="1090"/>
      <c r="B93" s="933"/>
      <c r="C93" s="940"/>
      <c r="D93" s="939"/>
      <c r="E93" s="949"/>
      <c r="F93" s="938"/>
      <c r="G93" s="938"/>
      <c r="H93" s="939"/>
      <c r="I93" s="941"/>
      <c r="J93" s="939"/>
    </row>
    <row r="94" spans="1:10" x14ac:dyDescent="0.4">
      <c r="A94" s="1089"/>
      <c r="B94" s="973"/>
      <c r="C94" s="974"/>
      <c r="D94" s="975"/>
      <c r="E94" s="933"/>
      <c r="F94" s="939"/>
      <c r="G94" s="939"/>
      <c r="H94" s="939"/>
      <c r="I94" s="941"/>
      <c r="J94" s="939"/>
    </row>
    <row r="95" spans="1:10" x14ac:dyDescent="0.4">
      <c r="A95" s="1089"/>
      <c r="B95" s="942"/>
      <c r="C95" s="976"/>
      <c r="D95" s="977"/>
      <c r="E95" s="978"/>
      <c r="F95" s="979"/>
      <c r="G95" s="979"/>
      <c r="H95" s="979"/>
      <c r="I95" s="980"/>
      <c r="J95" s="979"/>
    </row>
    <row r="96" spans="1:10" x14ac:dyDescent="0.4">
      <c r="A96" s="1090"/>
      <c r="B96" s="942"/>
      <c r="C96" s="962"/>
      <c r="D96" s="938"/>
      <c r="E96" s="933"/>
      <c r="F96" s="939"/>
      <c r="G96" s="939"/>
      <c r="H96" s="939"/>
      <c r="I96" s="941"/>
      <c r="J96" s="939"/>
    </row>
    <row r="97" spans="1:10" x14ac:dyDescent="0.4">
      <c r="A97" s="948"/>
      <c r="B97" s="942"/>
      <c r="C97" s="962"/>
      <c r="D97" s="938"/>
      <c r="E97" s="933"/>
      <c r="F97" s="939"/>
      <c r="G97" s="939"/>
      <c r="H97" s="939"/>
      <c r="I97" s="941"/>
      <c r="J97" s="939"/>
    </row>
    <row r="98" spans="1:10" x14ac:dyDescent="0.4">
      <c r="A98" s="932"/>
      <c r="B98" s="942"/>
      <c r="C98" s="962"/>
      <c r="D98" s="938"/>
      <c r="E98" s="942"/>
      <c r="F98" s="939"/>
      <c r="G98" s="939"/>
      <c r="H98" s="939"/>
      <c r="I98" s="941"/>
      <c r="J98" s="939"/>
    </row>
    <row r="99" spans="1:10" x14ac:dyDescent="0.4">
      <c r="A99" s="932"/>
      <c r="B99" s="981"/>
      <c r="C99" s="962"/>
      <c r="D99" s="938"/>
      <c r="E99" s="942"/>
      <c r="F99" s="938"/>
      <c r="G99" s="938"/>
      <c r="H99" s="939"/>
      <c r="I99" s="941"/>
      <c r="J99" s="939"/>
    </row>
    <row r="100" spans="1:10" ht="16.8" thickBot="1" x14ac:dyDescent="0.45">
      <c r="A100" s="982"/>
      <c r="B100" s="983"/>
      <c r="C100" s="984"/>
      <c r="D100" s="985"/>
      <c r="E100" s="986"/>
      <c r="F100" s="987"/>
      <c r="G100" s="987"/>
      <c r="H100" s="985"/>
      <c r="I100" s="988"/>
      <c r="J100" s="985"/>
    </row>
    <row r="101" spans="1:10" x14ac:dyDescent="0.4">
      <c r="A101" s="1103"/>
      <c r="B101" s="989"/>
      <c r="C101" s="990"/>
      <c r="D101" s="991"/>
      <c r="E101" s="989"/>
      <c r="F101" s="992"/>
      <c r="G101" s="992"/>
      <c r="H101" s="972"/>
      <c r="I101" s="993"/>
      <c r="J101" s="972"/>
    </row>
    <row r="102" spans="1:10" ht="16.8" thickBot="1" x14ac:dyDescent="0.45">
      <c r="A102" s="1104"/>
      <c r="B102" s="994"/>
      <c r="C102" s="995"/>
      <c r="D102" s="996"/>
      <c r="E102" s="997"/>
      <c r="F102" s="996"/>
      <c r="G102" s="996"/>
      <c r="H102" s="971"/>
      <c r="I102" s="998"/>
      <c r="J102" s="971"/>
    </row>
    <row r="103" spans="1:10" x14ac:dyDescent="0.4">
      <c r="A103" s="1104"/>
      <c r="B103" s="999"/>
      <c r="C103" s="1000"/>
      <c r="D103" s="1001"/>
      <c r="E103" s="1002"/>
      <c r="F103" s="1001"/>
      <c r="G103" s="1001"/>
      <c r="H103" s="1003"/>
      <c r="I103" s="1004"/>
      <c r="J103" s="972"/>
    </row>
    <row r="104" spans="1:10" x14ac:dyDescent="0.4">
      <c r="A104" s="1104"/>
      <c r="B104" s="1005"/>
      <c r="C104" s="1006"/>
      <c r="D104" s="970"/>
      <c r="E104" s="950"/>
      <c r="F104" s="970"/>
      <c r="G104" s="970"/>
      <c r="H104" s="939"/>
      <c r="I104" s="941"/>
      <c r="J104" s="939"/>
    </row>
    <row r="105" spans="1:10" x14ac:dyDescent="0.4">
      <c r="A105" s="1104"/>
      <c r="B105" s="1005"/>
      <c r="C105" s="1006"/>
      <c r="D105" s="970"/>
      <c r="E105" s="1003"/>
      <c r="F105" s="970"/>
      <c r="G105" s="970"/>
      <c r="H105" s="939"/>
      <c r="I105" s="941"/>
      <c r="J105" s="939"/>
    </row>
    <row r="106" spans="1:10" x14ac:dyDescent="0.4">
      <c r="A106" s="1104"/>
      <c r="B106" s="1005"/>
      <c r="C106" s="1006"/>
      <c r="D106" s="970"/>
      <c r="E106" s="1003"/>
      <c r="F106" s="970"/>
      <c r="G106" s="970"/>
      <c r="H106" s="939"/>
      <c r="I106" s="941"/>
      <c r="J106" s="939"/>
    </row>
    <row r="107" spans="1:10" x14ac:dyDescent="0.4">
      <c r="A107" s="1104"/>
      <c r="B107" s="1005"/>
      <c r="C107" s="1006"/>
      <c r="D107" s="970"/>
      <c r="E107" s="1003"/>
      <c r="F107" s="970"/>
      <c r="G107" s="970"/>
      <c r="H107" s="939"/>
      <c r="I107" s="941"/>
      <c r="J107" s="939"/>
    </row>
    <row r="108" spans="1:10" x14ac:dyDescent="0.4">
      <c r="A108" s="1104"/>
      <c r="B108" s="949"/>
      <c r="C108" s="962"/>
      <c r="D108" s="938"/>
      <c r="E108" s="950"/>
      <c r="F108" s="938"/>
      <c r="G108" s="939"/>
      <c r="H108" s="939"/>
      <c r="I108" s="941"/>
      <c r="J108" s="939"/>
    </row>
    <row r="109" spans="1:10" x14ac:dyDescent="0.4">
      <c r="A109" s="1104"/>
      <c r="B109" s="989"/>
      <c r="C109" s="1007"/>
      <c r="D109" s="991"/>
      <c r="E109" s="950"/>
      <c r="F109" s="938"/>
      <c r="G109" s="939"/>
      <c r="H109" s="939"/>
      <c r="I109" s="941"/>
      <c r="J109" s="939"/>
    </row>
    <row r="110" spans="1:10" x14ac:dyDescent="0.4">
      <c r="A110" s="1104"/>
      <c r="B110" s="949"/>
      <c r="C110" s="962"/>
      <c r="D110" s="939"/>
      <c r="E110" s="972"/>
      <c r="F110" s="972"/>
      <c r="G110" s="972"/>
      <c r="H110" s="939"/>
      <c r="I110" s="941"/>
      <c r="J110" s="939"/>
    </row>
    <row r="111" spans="1:10" ht="16.8" thickBot="1" x14ac:dyDescent="0.45">
      <c r="A111" s="1104"/>
      <c r="B111" s="989"/>
      <c r="C111" s="1007"/>
      <c r="D111" s="1008"/>
      <c r="E111" s="985"/>
      <c r="F111" s="1008"/>
      <c r="G111" s="1008"/>
      <c r="H111" s="983"/>
      <c r="I111" s="984"/>
      <c r="J111" s="983"/>
    </row>
    <row r="112" spans="1:10" x14ac:dyDescent="0.4">
      <c r="A112" s="1089"/>
      <c r="B112" s="999"/>
      <c r="C112" s="1000"/>
      <c r="D112" s="1001"/>
      <c r="E112" s="1009"/>
      <c r="F112" s="1009"/>
      <c r="G112" s="1009"/>
      <c r="H112" s="1010"/>
      <c r="I112" s="1011"/>
      <c r="J112" s="1010"/>
    </row>
    <row r="113" spans="1:10" ht="16.8" thickBot="1" x14ac:dyDescent="0.45">
      <c r="A113" s="1089"/>
      <c r="B113" s="1005"/>
      <c r="C113" s="1006"/>
      <c r="D113" s="970"/>
      <c r="E113" s="939"/>
      <c r="F113" s="939"/>
      <c r="G113" s="939"/>
      <c r="H113" s="983"/>
      <c r="I113" s="1011"/>
      <c r="J113" s="1010"/>
    </row>
    <row r="114" spans="1:10" x14ac:dyDescent="0.4">
      <c r="A114" s="1089"/>
      <c r="B114" s="949"/>
      <c r="C114" s="962"/>
      <c r="D114" s="938"/>
      <c r="E114" s="939"/>
      <c r="F114" s="939"/>
      <c r="G114" s="939"/>
      <c r="H114" s="1010"/>
      <c r="I114" s="933"/>
      <c r="J114" s="933"/>
    </row>
    <row r="115" spans="1:10" x14ac:dyDescent="0.4">
      <c r="A115" s="1089"/>
      <c r="B115" s="949"/>
      <c r="C115" s="962"/>
      <c r="D115" s="938"/>
      <c r="E115" s="939"/>
      <c r="F115" s="939"/>
      <c r="G115" s="939"/>
      <c r="H115" s="939"/>
      <c r="I115" s="939"/>
      <c r="J115" s="939"/>
    </row>
    <row r="116" spans="1:10" x14ac:dyDescent="0.4">
      <c r="A116" s="1089"/>
      <c r="B116" s="989"/>
      <c r="C116" s="962"/>
      <c r="D116" s="991"/>
      <c r="E116" s="1008"/>
      <c r="F116" s="1008"/>
      <c r="G116" s="1008"/>
      <c r="H116" s="1012"/>
      <c r="I116" s="1012"/>
      <c r="J116" s="1012"/>
    </row>
    <row r="117" spans="1:10" ht="16.8" thickBot="1" x14ac:dyDescent="0.45">
      <c r="A117" s="1089"/>
      <c r="B117" s="1013"/>
      <c r="C117" s="1014"/>
      <c r="D117" s="971"/>
      <c r="E117" s="971"/>
      <c r="F117" s="971"/>
      <c r="G117" s="971"/>
      <c r="H117" s="971"/>
      <c r="I117" s="1012"/>
      <c r="J117" s="1012"/>
    </row>
    <row r="118" spans="1:10" s="844" customFormat="1" ht="21.75" customHeight="1" thickBot="1" x14ac:dyDescent="0.3">
      <c r="A118" s="946"/>
      <c r="B118" s="1015"/>
      <c r="C118" s="1016"/>
      <c r="D118" s="863"/>
      <c r="E118" s="1017"/>
      <c r="F118" s="860"/>
      <c r="G118" s="860"/>
      <c r="H118" s="863"/>
      <c r="I118" s="863"/>
      <c r="J118" s="863"/>
    </row>
    <row r="119" spans="1:10" s="844" customFormat="1" ht="21.75" customHeight="1" thickBot="1" x14ac:dyDescent="0.3">
      <c r="A119" s="946"/>
      <c r="B119" s="1015"/>
      <c r="C119" s="1016"/>
      <c r="D119" s="863"/>
      <c r="E119" s="1017"/>
      <c r="F119" s="860"/>
      <c r="G119" s="860"/>
      <c r="H119" s="863"/>
      <c r="I119" s="863"/>
      <c r="J119" s="863"/>
    </row>
    <row r="120" spans="1:10" s="844" customFormat="1" ht="21.75" customHeight="1" thickBot="1" x14ac:dyDescent="0.3">
      <c r="A120" s="946"/>
      <c r="B120" s="1015"/>
      <c r="C120" s="1016"/>
      <c r="D120" s="863"/>
      <c r="E120" s="1017"/>
      <c r="F120" s="860"/>
      <c r="G120" s="860"/>
      <c r="H120" s="863"/>
      <c r="I120" s="863"/>
      <c r="J120" s="863"/>
    </row>
    <row r="121" spans="1:10" s="844" customFormat="1" ht="21.75" customHeight="1" thickBot="1" x14ac:dyDescent="0.3">
      <c r="A121" s="946"/>
      <c r="B121" s="1015"/>
      <c r="C121" s="1016"/>
      <c r="D121" s="863"/>
      <c r="E121" s="863"/>
      <c r="F121" s="860"/>
      <c r="G121" s="863"/>
      <c r="H121" s="1017"/>
      <c r="I121" s="860"/>
      <c r="J121" s="860"/>
    </row>
    <row r="122" spans="1:10" s="844" customFormat="1" ht="15" customHeight="1" x14ac:dyDescent="0.25">
      <c r="A122" s="1089"/>
      <c r="B122" s="845"/>
      <c r="C122" s="1018"/>
      <c r="D122" s="830"/>
      <c r="E122" s="833"/>
      <c r="F122" s="833"/>
      <c r="G122" s="833"/>
      <c r="H122" s="833"/>
      <c r="I122" s="833"/>
      <c r="J122" s="833"/>
    </row>
    <row r="123" spans="1:10" s="844" customFormat="1" ht="15" customHeight="1" x14ac:dyDescent="0.25">
      <c r="A123" s="1089"/>
      <c r="B123" s="849"/>
      <c r="C123" s="1019"/>
      <c r="D123" s="851"/>
      <c r="E123" s="855"/>
      <c r="F123" s="855"/>
      <c r="G123" s="855"/>
      <c r="H123" s="855"/>
      <c r="I123" s="855"/>
      <c r="J123" s="855"/>
    </row>
    <row r="124" spans="1:10" s="844" customFormat="1" ht="15" customHeight="1" x14ac:dyDescent="0.25">
      <c r="A124" s="1089"/>
      <c r="B124" s="849"/>
      <c r="C124" s="1019"/>
      <c r="D124" s="851"/>
      <c r="E124" s="855"/>
      <c r="F124" s="855"/>
      <c r="G124" s="855"/>
      <c r="H124" s="855"/>
      <c r="I124" s="855"/>
      <c r="J124" s="855"/>
    </row>
    <row r="125" spans="1:10" s="844" customFormat="1" ht="15" customHeight="1" x14ac:dyDescent="0.25">
      <c r="A125" s="1089"/>
      <c r="B125" s="849"/>
      <c r="C125" s="1019"/>
      <c r="D125" s="851"/>
      <c r="E125" s="855"/>
      <c r="F125" s="855"/>
      <c r="G125" s="855"/>
      <c r="H125" s="855"/>
      <c r="I125" s="855"/>
      <c r="J125" s="855"/>
    </row>
    <row r="126" spans="1:10" s="844" customFormat="1" ht="15" customHeight="1" x14ac:dyDescent="0.25">
      <c r="A126" s="1089"/>
      <c r="B126" s="849"/>
      <c r="C126" s="1019"/>
      <c r="D126" s="851"/>
      <c r="E126" s="855"/>
      <c r="F126" s="855"/>
      <c r="G126" s="855"/>
      <c r="H126" s="855"/>
      <c r="I126" s="855"/>
      <c r="J126" s="855"/>
    </row>
    <row r="127" spans="1:10" s="844" customFormat="1" ht="15" customHeight="1" x14ac:dyDescent="0.25">
      <c r="A127" s="1089"/>
      <c r="B127" s="849"/>
      <c r="C127" s="1019"/>
      <c r="D127" s="851"/>
      <c r="E127" s="855"/>
      <c r="F127" s="855"/>
      <c r="G127" s="855"/>
      <c r="H127" s="855"/>
      <c r="I127" s="855"/>
      <c r="J127" s="855"/>
    </row>
    <row r="128" spans="1:10" s="844" customFormat="1" ht="15" customHeight="1" x14ac:dyDescent="0.25">
      <c r="A128" s="1089"/>
      <c r="B128" s="849"/>
      <c r="C128" s="1019"/>
      <c r="D128" s="851"/>
      <c r="E128" s="855"/>
      <c r="F128" s="855"/>
      <c r="G128" s="855"/>
      <c r="H128" s="855"/>
      <c r="I128" s="855"/>
      <c r="J128" s="855"/>
    </row>
    <row r="129" spans="1:10" s="844" customFormat="1" ht="15" customHeight="1" x14ac:dyDescent="0.25">
      <c r="A129" s="1089"/>
      <c r="B129" s="849"/>
      <c r="C129" s="1019"/>
      <c r="D129" s="851"/>
      <c r="E129" s="855"/>
      <c r="F129" s="855"/>
      <c r="G129" s="855"/>
      <c r="H129" s="855"/>
      <c r="I129" s="855"/>
      <c r="J129" s="855"/>
    </row>
    <row r="130" spans="1:10" s="844" customFormat="1" ht="15" customHeight="1" x14ac:dyDescent="0.25">
      <c r="A130" s="1089"/>
      <c r="B130" s="849"/>
      <c r="C130" s="1019"/>
      <c r="D130" s="851"/>
      <c r="E130" s="855"/>
      <c r="F130" s="855"/>
      <c r="G130" s="855"/>
      <c r="H130" s="855"/>
      <c r="I130" s="855"/>
      <c r="J130" s="855"/>
    </row>
    <row r="131" spans="1:10" s="844" customFormat="1" ht="15" customHeight="1" x14ac:dyDescent="0.25">
      <c r="A131" s="1089"/>
      <c r="B131" s="849"/>
      <c r="C131" s="1019"/>
      <c r="D131" s="851"/>
      <c r="E131" s="855"/>
      <c r="F131" s="855"/>
      <c r="G131" s="855"/>
      <c r="H131" s="855"/>
      <c r="I131" s="855"/>
      <c r="J131" s="855"/>
    </row>
    <row r="132" spans="1:10" s="844" customFormat="1" ht="15" customHeight="1" thickBot="1" x14ac:dyDescent="0.3">
      <c r="A132" s="1089"/>
      <c r="B132" s="836"/>
      <c r="C132" s="1020"/>
      <c r="D132" s="838"/>
      <c r="E132" s="874"/>
      <c r="F132" s="874"/>
      <c r="G132" s="874"/>
      <c r="H132" s="874"/>
      <c r="I132" s="874"/>
      <c r="J132" s="874"/>
    </row>
    <row r="133" spans="1:10" s="844" customFormat="1" ht="15" customHeight="1" x14ac:dyDescent="0.25">
      <c r="A133" s="1089"/>
      <c r="B133" s="845"/>
      <c r="C133" s="1018"/>
      <c r="D133" s="830"/>
      <c r="E133" s="833"/>
      <c r="F133" s="833"/>
      <c r="G133" s="833"/>
      <c r="H133" s="833"/>
      <c r="I133" s="833"/>
      <c r="J133" s="833"/>
    </row>
    <row r="134" spans="1:10" s="844" customFormat="1" ht="21.75" customHeight="1" thickBot="1" x14ac:dyDescent="0.3">
      <c r="A134" s="1089"/>
      <c r="B134" s="1021"/>
      <c r="C134" s="1022"/>
      <c r="D134" s="1023"/>
      <c r="E134" s="890"/>
      <c r="F134" s="890"/>
      <c r="G134" s="890"/>
      <c r="H134" s="892"/>
      <c r="I134" s="892"/>
      <c r="J134" s="892"/>
    </row>
    <row r="135" spans="1:10" s="844" customFormat="1" ht="21.75" customHeight="1" x14ac:dyDescent="0.25">
      <c r="A135" s="1105"/>
      <c r="B135" s="1024"/>
      <c r="C135" s="1025"/>
      <c r="D135" s="1026"/>
      <c r="E135" s="1024"/>
      <c r="F135" s="1026"/>
      <c r="G135" s="1027"/>
      <c r="H135" s="1028"/>
      <c r="I135" s="1028"/>
      <c r="J135" s="1028"/>
    </row>
    <row r="136" spans="1:10" s="844" customFormat="1" ht="21.75" customHeight="1" thickBot="1" x14ac:dyDescent="0.3">
      <c r="A136" s="1106"/>
      <c r="B136" s="892"/>
      <c r="C136" s="891"/>
      <c r="D136" s="892"/>
      <c r="E136" s="890"/>
      <c r="F136" s="1029"/>
      <c r="G136" s="1029"/>
      <c r="H136" s="892"/>
      <c r="I136" s="892"/>
      <c r="J136" s="892"/>
    </row>
    <row r="137" spans="1:10" s="844" customFormat="1" ht="57" customHeight="1" thickBot="1" x14ac:dyDescent="0.3">
      <c r="A137" s="1030"/>
      <c r="B137" s="1015"/>
      <c r="C137" s="1016"/>
      <c r="D137" s="1015"/>
      <c r="E137" s="863"/>
      <c r="F137" s="1031"/>
      <c r="G137" s="1031"/>
      <c r="H137" s="1015"/>
      <c r="I137" s="1015"/>
      <c r="J137" s="1015"/>
    </row>
    <row r="138" spans="1:10" s="844" customFormat="1" ht="48" customHeight="1" thickBot="1" x14ac:dyDescent="0.3">
      <c r="A138" s="1032"/>
      <c r="B138" s="892"/>
      <c r="C138" s="891"/>
      <c r="D138" s="892"/>
      <c r="E138" s="890"/>
      <c r="F138" s="890"/>
      <c r="G138" s="890"/>
      <c r="H138" s="892"/>
      <c r="I138" s="892"/>
      <c r="J138" s="892"/>
    </row>
    <row r="139" spans="1:10" ht="53.4" customHeight="1" thickBot="1" x14ac:dyDescent="0.45">
      <c r="A139" s="1033"/>
      <c r="B139" s="1034"/>
      <c r="C139" s="1035"/>
      <c r="D139" s="1034"/>
      <c r="E139" s="1034"/>
      <c r="F139" s="1034"/>
      <c r="G139" s="1034"/>
      <c r="H139" s="1034"/>
      <c r="I139" s="1034"/>
      <c r="J139" s="1034"/>
    </row>
    <row r="140" spans="1:10" s="844" customFormat="1" x14ac:dyDescent="0.25">
      <c r="A140" s="1036"/>
    </row>
    <row r="141" spans="1:10" s="844" customFormat="1" x14ac:dyDescent="0.25">
      <c r="A141" s="1036"/>
    </row>
    <row r="142" spans="1:10" s="844" customFormat="1" x14ac:dyDescent="0.25">
      <c r="A142" s="1036"/>
    </row>
    <row r="143" spans="1:10" s="844" customFormat="1" x14ac:dyDescent="0.25">
      <c r="A143" s="1036"/>
    </row>
    <row r="144" spans="1:10" s="844" customFormat="1" x14ac:dyDescent="0.25">
      <c r="A144" s="1036"/>
    </row>
    <row r="145" spans="1:1" s="844" customFormat="1" x14ac:dyDescent="0.25">
      <c r="A145" s="1036"/>
    </row>
    <row r="146" spans="1:1" s="844" customFormat="1" x14ac:dyDescent="0.25">
      <c r="A146" s="1036"/>
    </row>
    <row r="147" spans="1:1" s="844" customFormat="1" x14ac:dyDescent="0.25">
      <c r="A147" s="1036"/>
    </row>
  </sheetData>
  <mergeCells count="29">
    <mergeCell ref="A103:A111"/>
    <mergeCell ref="A112:A117"/>
    <mergeCell ref="A122:A132"/>
    <mergeCell ref="A133:A134"/>
    <mergeCell ref="A135:A136"/>
    <mergeCell ref="A101:A102"/>
    <mergeCell ref="A62:A69"/>
    <mergeCell ref="A70:A72"/>
    <mergeCell ref="A73:A74"/>
    <mergeCell ref="A75:A77"/>
    <mergeCell ref="A78:A79"/>
    <mergeCell ref="A80:A81"/>
    <mergeCell ref="A83:A85"/>
    <mergeCell ref="A86:A87"/>
    <mergeCell ref="A88:A90"/>
    <mergeCell ref="A92:A93"/>
    <mergeCell ref="A94:A96"/>
    <mergeCell ref="A58:A60"/>
    <mergeCell ref="A5:A8"/>
    <mergeCell ref="A10:A12"/>
    <mergeCell ref="A13:A14"/>
    <mergeCell ref="A15:A17"/>
    <mergeCell ref="A19:A23"/>
    <mergeCell ref="A24:A25"/>
    <mergeCell ref="A26:A28"/>
    <mergeCell ref="A29:A30"/>
    <mergeCell ref="A32:A33"/>
    <mergeCell ref="A50:A52"/>
    <mergeCell ref="A53:A56"/>
  </mergeCells>
  <printOptions horizontalCentered="1"/>
  <pageMargins left="0.39370078740157483" right="0.39370078740157483" top="0" bottom="0" header="0" footer="0"/>
  <pageSetup paperSize="9" scale="73" orientation="landscape" r:id="rId1"/>
  <headerFooter alignWithMargins="0"/>
  <colBreaks count="1" manualBreakCount="1">
    <brk id="7" max="1048575" man="1"/>
  </colBreaks>
  <drawing r:id="rId2"/>
  <legacyDrawing r:id="rId3"/>
  <oleObjects>
    <mc:AlternateContent xmlns:mc="http://schemas.openxmlformats.org/markup-compatibility/2006">
      <mc:Choice Requires="x14">
        <oleObject progId="MS_ClipArt_Gallery" shapeId="287745" r:id="rId4">
          <objectPr defaultSize="0" autoPict="0" r:id="rId5">
            <anchor moveWithCells="1" sizeWithCells="1">
              <from>
                <xdr:col>7</xdr:col>
                <xdr:colOff>0</xdr:colOff>
                <xdr:row>11</xdr:row>
                <xdr:rowOff>0</xdr:rowOff>
              </from>
              <to>
                <xdr:col>7</xdr:col>
                <xdr:colOff>0</xdr:colOff>
                <xdr:row>11</xdr:row>
                <xdr:rowOff>0</xdr:rowOff>
              </to>
            </anchor>
          </objectPr>
        </oleObject>
      </mc:Choice>
      <mc:Fallback>
        <oleObject progId="MS_ClipArt_Gallery" shapeId="287745" r:id="rId4"/>
      </mc:Fallback>
    </mc:AlternateContent>
    <mc:AlternateContent xmlns:mc="http://schemas.openxmlformats.org/markup-compatibility/2006">
      <mc:Choice Requires="x14">
        <oleObject progId="MS_ClipArt_Gallery" shapeId="287746" r:id="rId6">
          <objectPr defaultSize="0" autoPict="0" r:id="rId5">
            <anchor moveWithCells="1" sizeWithCells="1">
              <from>
                <xdr:col>7</xdr:col>
                <xdr:colOff>0</xdr:colOff>
                <xdr:row>11</xdr:row>
                <xdr:rowOff>0</xdr:rowOff>
              </from>
              <to>
                <xdr:col>7</xdr:col>
                <xdr:colOff>0</xdr:colOff>
                <xdr:row>11</xdr:row>
                <xdr:rowOff>0</xdr:rowOff>
              </to>
            </anchor>
          </objectPr>
        </oleObject>
      </mc:Choice>
      <mc:Fallback>
        <oleObject progId="MS_ClipArt_Gallery" shapeId="287746" r:id="rId6"/>
      </mc:Fallback>
    </mc:AlternateContent>
    <mc:AlternateContent xmlns:mc="http://schemas.openxmlformats.org/markup-compatibility/2006">
      <mc:Choice Requires="x14">
        <oleObject progId="MS_ClipArt_Gallery" shapeId="287747" r:id="rId7">
          <objectPr defaultSize="0" autoPict="0" r:id="rId5">
            <anchor moveWithCells="1" sizeWithCells="1">
              <from>
                <xdr:col>7</xdr:col>
                <xdr:colOff>0</xdr:colOff>
                <xdr:row>11</xdr:row>
                <xdr:rowOff>0</xdr:rowOff>
              </from>
              <to>
                <xdr:col>7</xdr:col>
                <xdr:colOff>0</xdr:colOff>
                <xdr:row>11</xdr:row>
                <xdr:rowOff>0</xdr:rowOff>
              </to>
            </anchor>
          </objectPr>
        </oleObject>
      </mc:Choice>
      <mc:Fallback>
        <oleObject progId="MS_ClipArt_Gallery" shapeId="287747" r:id="rId7"/>
      </mc:Fallback>
    </mc:AlternateContent>
  </oleObjec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B2:F14"/>
  <sheetViews>
    <sheetView workbookViewId="0">
      <selection activeCell="E22" sqref="E22"/>
    </sheetView>
  </sheetViews>
  <sheetFormatPr defaultRowHeight="13.2" x14ac:dyDescent="0.25"/>
  <cols>
    <col min="2" max="2" width="36.44140625" customWidth="1"/>
    <col min="3" max="3" width="21.88671875" customWidth="1"/>
  </cols>
  <sheetData>
    <row r="2" spans="2:6" x14ac:dyDescent="0.25">
      <c r="B2" s="449" t="s">
        <v>512</v>
      </c>
    </row>
    <row r="3" spans="2:6" x14ac:dyDescent="0.25">
      <c r="B3" s="202" t="s">
        <v>514</v>
      </c>
    </row>
    <row r="4" spans="2:6" x14ac:dyDescent="0.25">
      <c r="B4" s="202" t="s">
        <v>515</v>
      </c>
    </row>
    <row r="5" spans="2:6" x14ac:dyDescent="0.25">
      <c r="B5" s="202" t="s">
        <v>516</v>
      </c>
    </row>
    <row r="6" spans="2:6" x14ac:dyDescent="0.25">
      <c r="B6" s="202" t="s">
        <v>513</v>
      </c>
    </row>
    <row r="9" spans="2:6" x14ac:dyDescent="0.25">
      <c r="B9" s="1107" t="s">
        <v>511</v>
      </c>
      <c r="C9" s="1107"/>
      <c r="D9" s="1107"/>
      <c r="E9" s="1107"/>
      <c r="F9" s="1107"/>
    </row>
    <row r="10" spans="2:6" x14ac:dyDescent="0.25">
      <c r="B10" s="1107"/>
      <c r="C10" s="1107"/>
      <c r="D10" s="1107"/>
      <c r="E10" s="1107"/>
      <c r="F10" s="1107"/>
    </row>
    <row r="12" spans="2:6" s="12" customFormat="1" ht="20.25" customHeight="1" x14ac:dyDescent="0.25">
      <c r="B12" s="448" t="s">
        <v>510</v>
      </c>
      <c r="C12" s="448" t="s">
        <v>317</v>
      </c>
    </row>
    <row r="13" spans="2:6" x14ac:dyDescent="0.25">
      <c r="B13" s="97">
        <v>2025</v>
      </c>
      <c r="C13" s="545" t="s">
        <v>460</v>
      </c>
    </row>
    <row r="14" spans="2:6" x14ac:dyDescent="0.25">
      <c r="B14" s="97">
        <v>2026</v>
      </c>
      <c r="C14" s="418" t="s">
        <v>935</v>
      </c>
    </row>
  </sheetData>
  <mergeCells count="1">
    <mergeCell ref="B9:F10"/>
  </mergeCells>
  <hyperlinks>
    <hyperlink ref="B6" r:id="rId1" xr:uid="{00000000-0004-0000-1100-000000000000}"/>
    <hyperlink ref="B3" r:id="rId2" xr:uid="{00000000-0004-0000-1100-000001000000}"/>
    <hyperlink ref="B4" r:id="rId3" xr:uid="{00000000-0004-0000-1100-000002000000}"/>
    <hyperlink ref="B5" r:id="rId4" xr:uid="{00000000-0004-0000-1100-000003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pageSetUpPr fitToPage="1"/>
  </sheetPr>
  <dimension ref="A1:Q450"/>
  <sheetViews>
    <sheetView zoomScale="88" zoomScaleNormal="88" workbookViewId="0">
      <pane ySplit="5" topLeftCell="A25" activePane="bottomLeft" state="frozen"/>
      <selection pane="bottomLeft" activeCell="E37" sqref="E37"/>
    </sheetView>
  </sheetViews>
  <sheetFormatPr defaultColWidth="9.109375" defaultRowHeight="13.2" x14ac:dyDescent="0.3"/>
  <cols>
    <col min="1" max="1" width="18.33203125" style="719" customWidth="1"/>
    <col min="2" max="2" width="15.109375" style="719" customWidth="1"/>
    <col min="3" max="3" width="18.88671875" style="727" customWidth="1"/>
    <col min="4" max="4" width="11" style="728" customWidth="1"/>
    <col min="5" max="5" width="20.6640625" style="728" customWidth="1"/>
    <col min="6" max="6" width="16.6640625" style="728" customWidth="1"/>
    <col min="7" max="7" width="25.109375" style="728" customWidth="1"/>
    <col min="8" max="8" width="19" style="728" customWidth="1"/>
    <col min="9" max="9" width="20.109375" style="729" customWidth="1"/>
    <col min="10" max="10" width="1" style="729" customWidth="1"/>
    <col min="11" max="11" width="15.88671875" style="729" customWidth="1"/>
    <col min="12" max="12" width="28.6640625" style="729" hidden="1" customWidth="1"/>
    <col min="13" max="13" width="20.44140625" style="647" customWidth="1"/>
    <col min="14" max="14" width="20.109375" style="647" customWidth="1"/>
    <col min="15" max="15" width="8.33203125" style="719" customWidth="1"/>
    <col min="16" max="16" width="68.109375" style="647" bestFit="1" customWidth="1"/>
    <col min="17" max="17" width="66.88671875" style="647" customWidth="1"/>
    <col min="18" max="16384" width="9.109375" style="647"/>
  </cols>
  <sheetData>
    <row r="1" spans="1:17" ht="4.5" customHeight="1" thickBot="1" x14ac:dyDescent="0.35">
      <c r="A1" s="641"/>
      <c r="B1" s="641"/>
      <c r="C1" s="642"/>
      <c r="D1" s="643"/>
      <c r="E1" s="643"/>
      <c r="F1" s="643"/>
      <c r="G1" s="643"/>
      <c r="H1" s="643"/>
      <c r="I1" s="644"/>
      <c r="J1" s="644"/>
      <c r="K1" s="644"/>
      <c r="L1" s="644"/>
      <c r="M1" s="645"/>
      <c r="N1" s="645"/>
      <c r="O1" s="641"/>
      <c r="P1" s="645"/>
      <c r="Q1" s="646"/>
    </row>
    <row r="2" spans="1:17" ht="81" customHeight="1" thickBot="1" x14ac:dyDescent="0.35">
      <c r="A2" s="217" t="s">
        <v>308</v>
      </c>
      <c r="B2" s="641"/>
      <c r="C2" s="643"/>
      <c r="D2" s="643"/>
      <c r="E2" s="648" t="s">
        <v>304</v>
      </c>
      <c r="F2" s="648" t="s">
        <v>305</v>
      </c>
      <c r="G2" s="649" t="s">
        <v>592</v>
      </c>
      <c r="H2" s="643"/>
      <c r="I2" s="645"/>
      <c r="J2" s="645"/>
      <c r="K2" s="645"/>
      <c r="L2" s="645"/>
      <c r="M2" s="645"/>
      <c r="N2" s="645"/>
      <c r="O2" s="641"/>
      <c r="P2" s="645"/>
      <c r="Q2" s="646"/>
    </row>
    <row r="3" spans="1:17" ht="21.75" customHeight="1" thickBot="1" x14ac:dyDescent="0.5">
      <c r="A3" s="641"/>
      <c r="B3" s="641"/>
      <c r="C3" s="643"/>
      <c r="D3" s="643"/>
      <c r="E3" s="650">
        <f>F3+G3</f>
        <v>-3.2743478260869567</v>
      </c>
      <c r="F3" s="650">
        <f>('prod e dest rifiuti'!H6/'prod e dest rifiuti'!D6)+('prod e dest rifiuti'!H8/'prod e dest rifiuti'!D8)+('prod e dest rifiuti'!H15/'prod e dest rifiuti'!D15)+('prod e dest rifiuti'!H17/'prod e dest rifiuti'!D17)+('prod e dest rifiuti'!H19/'prod e dest rifiuti'!D19)+('prod e dest rifiuti'!H21/'prod e dest rifiuti'!D21)+('prod e dest rifiuti'!H31/'prod e dest rifiuti'!D31)+('prod e dest rifiuti'!H35/'prod e dest rifiuti'!D35)+('prod e dest rifiuti'!H39/'prod e dest rifiuti'!D39)+('prod e dest rifiuti'!H43/'prod e dest rifiuti'!D43)+('prod e dest rifiuti'!H46/'prod e dest rifiuti'!D46)+('prod e dest rifiuti'!H51/'prod e dest rifiuti'!D51)+('prod e dest rifiuti'!H52/'prod e dest rifiuti'!D51)+('prod e dest rifiuti'!H58/'prod e dest rifiuti'!D58)+('prod e dest rifiuti'!H69/'prod e dest rifiuti'!D69)</f>
        <v>-0.25</v>
      </c>
      <c r="G3" s="650">
        <f>('prod e dest rifiuti'!H5/'prod e dest rifiuti'!D5)+('prod e dest rifiuti'!H11/'prod e dest rifiuti'!D11)+('prod e dest rifiuti'!H12/'prod e dest rifiuti'!D12)+('prod e dest rifiuti'!H23/'prod e dest rifiuti'!D23)+('prod e dest rifiuti'!H25/'prod e dest rifiuti'!D25)+('prod e dest rifiuti'!H27/'prod e dest rifiuti'!D27)+('prod e dest rifiuti'!H29/'prod e dest rifiuti'!D29)+('prod e dest rifiuti'!H37/'prod e dest rifiuti'!D37)+('prod e dest rifiuti'!H41/'prod e dest rifiuti'!D41)+('prod e dest rifiuti'!H45/'prod e dest rifiuti'!D45)+('prod e dest rifiuti'!H49/'prod e dest rifiuti'!D49)+('prod e dest rifiuti'!H55/'prod e dest rifiuti'!D55)+('prod e dest rifiuti'!H57/'prod e dest rifiuti'!D57)+('prod e dest rifiuti'!H61/'prod e dest rifiuti'!D61)+('prod e dest rifiuti'!H62/'prod e dest rifiuti'!D62)+('prod e dest rifiuti'!H64/'prod e dest rifiuti'!D64)+('prod e dest rifiuti'!H67/'prod e dest rifiuti'!D67)+('prod e dest rifiuti'!H70/'prod e dest rifiuti'!D70)</f>
        <v>-3.0243478260869567</v>
      </c>
      <c r="H3" s="643"/>
      <c r="I3" s="645"/>
      <c r="J3" s="645"/>
      <c r="K3" s="645"/>
      <c r="L3" s="645"/>
      <c r="M3" s="645"/>
      <c r="N3" s="645"/>
      <c r="O3" s="641"/>
      <c r="P3" s="645"/>
      <c r="Q3" s="646"/>
    </row>
    <row r="4" spans="1:17" ht="2.25" customHeight="1" x14ac:dyDescent="0.3">
      <c r="A4" s="641"/>
      <c r="B4" s="641"/>
      <c r="C4" s="642"/>
      <c r="D4" s="643"/>
      <c r="E4" s="643"/>
      <c r="F4" s="643"/>
      <c r="G4" s="643"/>
      <c r="H4" s="643"/>
      <c r="I4" s="644"/>
      <c r="J4" s="644"/>
      <c r="K4" s="644"/>
      <c r="L4" s="644"/>
      <c r="M4" s="645"/>
      <c r="N4" s="645"/>
      <c r="O4" s="641"/>
      <c r="P4" s="645"/>
      <c r="Q4" s="651"/>
    </row>
    <row r="5" spans="1:17" s="659" customFormat="1" ht="75" customHeight="1" x14ac:dyDescent="0.25">
      <c r="A5" s="652" t="s">
        <v>92</v>
      </c>
      <c r="B5" s="653" t="s">
        <v>218</v>
      </c>
      <c r="C5" s="654" t="s">
        <v>372</v>
      </c>
      <c r="D5" s="655" t="s">
        <v>593</v>
      </c>
      <c r="E5" s="655" t="s">
        <v>594</v>
      </c>
      <c r="F5" s="655" t="s">
        <v>596</v>
      </c>
      <c r="G5" s="656" t="s">
        <v>864</v>
      </c>
      <c r="H5" s="657" t="s">
        <v>595</v>
      </c>
      <c r="I5" s="1126" t="s">
        <v>373</v>
      </c>
      <c r="J5" s="1127"/>
      <c r="K5" s="1127"/>
      <c r="L5" s="1128"/>
      <c r="M5" s="658" t="s">
        <v>374</v>
      </c>
      <c r="N5" s="658" t="s">
        <v>375</v>
      </c>
      <c r="O5" s="655" t="s">
        <v>371</v>
      </c>
      <c r="P5" s="653" t="s">
        <v>376</v>
      </c>
      <c r="Q5" s="653" t="s">
        <v>377</v>
      </c>
    </row>
    <row r="6" spans="1:17" s="669" customFormat="1" ht="15.6" x14ac:dyDescent="0.35">
      <c r="A6" s="660" t="s">
        <v>865</v>
      </c>
      <c r="B6" s="661">
        <v>45660</v>
      </c>
      <c r="C6" s="662" t="s">
        <v>410</v>
      </c>
      <c r="D6" s="737">
        <v>220</v>
      </c>
      <c r="E6" s="737"/>
      <c r="F6" s="664"/>
      <c r="G6" s="665"/>
      <c r="H6" s="665"/>
      <c r="I6" s="1117"/>
      <c r="J6" s="1118"/>
      <c r="K6" s="1118"/>
      <c r="L6" s="1116"/>
      <c r="M6" s="666"/>
      <c r="N6" s="667"/>
      <c r="O6" s="666"/>
      <c r="P6" s="668"/>
      <c r="Q6" s="668"/>
    </row>
    <row r="7" spans="1:17" s="669" customFormat="1" ht="15.6" x14ac:dyDescent="0.35">
      <c r="A7" s="660" t="s">
        <v>866</v>
      </c>
      <c r="B7" s="661">
        <v>45661</v>
      </c>
      <c r="C7" s="662" t="s">
        <v>867</v>
      </c>
      <c r="D7" s="737">
        <v>800</v>
      </c>
      <c r="E7" s="737"/>
      <c r="F7" s="664"/>
      <c r="G7" s="665"/>
      <c r="H7" s="665"/>
      <c r="I7" s="1117"/>
      <c r="J7" s="1118"/>
      <c r="K7" s="1118"/>
      <c r="L7" s="1116"/>
      <c r="M7" s="666"/>
      <c r="N7" s="667"/>
      <c r="O7" s="666"/>
      <c r="P7" s="668"/>
      <c r="Q7" s="668"/>
    </row>
    <row r="8" spans="1:17" ht="15.6" x14ac:dyDescent="0.35">
      <c r="A8" s="660" t="s">
        <v>868</v>
      </c>
      <c r="B8" s="661">
        <v>45664</v>
      </c>
      <c r="C8" s="662" t="s">
        <v>410</v>
      </c>
      <c r="D8" s="737"/>
      <c r="E8" s="737">
        <v>480</v>
      </c>
      <c r="F8" s="664">
        <v>480</v>
      </c>
      <c r="G8" s="665"/>
      <c r="H8" s="665"/>
      <c r="I8" s="1117"/>
      <c r="J8" s="1118"/>
      <c r="K8" s="1118"/>
      <c r="L8" s="1119"/>
      <c r="M8" s="670" t="s">
        <v>870</v>
      </c>
      <c r="N8" s="671" t="s">
        <v>869</v>
      </c>
      <c r="O8" s="666" t="s">
        <v>228</v>
      </c>
      <c r="P8" s="672" t="s">
        <v>871</v>
      </c>
      <c r="Q8" s="672" t="s">
        <v>872</v>
      </c>
    </row>
    <row r="9" spans="1:17" ht="15.6" x14ac:dyDescent="0.35">
      <c r="A9" s="660" t="s">
        <v>873</v>
      </c>
      <c r="B9" s="661">
        <v>45666</v>
      </c>
      <c r="C9" s="662" t="s">
        <v>867</v>
      </c>
      <c r="D9" s="737"/>
      <c r="E9" s="737">
        <v>800</v>
      </c>
      <c r="F9" s="664">
        <v>800</v>
      </c>
      <c r="G9" s="665"/>
      <c r="H9" s="665"/>
      <c r="I9" s="1117"/>
      <c r="J9" s="1118"/>
      <c r="K9" s="1118"/>
      <c r="L9" s="1119"/>
      <c r="M9" s="670">
        <v>1701</v>
      </c>
      <c r="N9" s="671" t="s">
        <v>874</v>
      </c>
      <c r="O9" s="666" t="s">
        <v>228</v>
      </c>
      <c r="P9" s="672" t="s">
        <v>875</v>
      </c>
      <c r="Q9" s="672" t="s">
        <v>875</v>
      </c>
    </row>
    <row r="10" spans="1:17" ht="15.6" x14ac:dyDescent="0.35">
      <c r="A10" s="660" t="s">
        <v>876</v>
      </c>
      <c r="B10" s="661">
        <v>45667</v>
      </c>
      <c r="C10" s="662" t="s">
        <v>379</v>
      </c>
      <c r="D10" s="737">
        <v>40</v>
      </c>
      <c r="E10" s="737"/>
      <c r="F10" s="664"/>
      <c r="G10" s="665"/>
      <c r="H10" s="665"/>
      <c r="I10" s="1117"/>
      <c r="J10" s="1118"/>
      <c r="K10" s="1118"/>
      <c r="L10" s="1119"/>
      <c r="M10" s="670"/>
      <c r="N10" s="671"/>
      <c r="O10" s="666"/>
      <c r="P10" s="673"/>
      <c r="Q10" s="674"/>
    </row>
    <row r="11" spans="1:17" ht="15.6" x14ac:dyDescent="0.35">
      <c r="A11" s="660" t="s">
        <v>877</v>
      </c>
      <c r="B11" s="661">
        <v>45674</v>
      </c>
      <c r="C11" s="662" t="s">
        <v>379</v>
      </c>
      <c r="D11" s="737"/>
      <c r="E11" s="737">
        <v>140</v>
      </c>
      <c r="F11" s="675">
        <v>147</v>
      </c>
      <c r="G11" s="665"/>
      <c r="H11" s="665"/>
      <c r="I11" s="1117"/>
      <c r="J11" s="1118"/>
      <c r="K11" s="1118"/>
      <c r="L11" s="1119"/>
      <c r="M11" s="670" t="s">
        <v>879</v>
      </c>
      <c r="N11" s="671" t="s">
        <v>878</v>
      </c>
      <c r="O11" s="666" t="s">
        <v>228</v>
      </c>
      <c r="P11" s="672" t="s">
        <v>871</v>
      </c>
      <c r="Q11" s="663" t="s">
        <v>880</v>
      </c>
    </row>
    <row r="12" spans="1:17" ht="15.6" x14ac:dyDescent="0.35">
      <c r="A12" s="660" t="s">
        <v>881</v>
      </c>
      <c r="B12" s="661">
        <v>45677</v>
      </c>
      <c r="C12" s="662" t="s">
        <v>327</v>
      </c>
      <c r="D12" s="737">
        <v>3120</v>
      </c>
      <c r="E12" s="737"/>
      <c r="F12" s="676"/>
      <c r="G12" s="665"/>
      <c r="H12" s="665"/>
      <c r="I12" s="1117"/>
      <c r="J12" s="1118"/>
      <c r="K12" s="1118"/>
      <c r="L12" s="1119"/>
      <c r="M12" s="670"/>
      <c r="N12" s="671"/>
      <c r="O12" s="666"/>
      <c r="P12" s="677"/>
      <c r="Q12" s="678"/>
    </row>
    <row r="13" spans="1:17" ht="15.6" x14ac:dyDescent="0.35">
      <c r="A13" s="660" t="s">
        <v>882</v>
      </c>
      <c r="B13" s="661">
        <v>45681</v>
      </c>
      <c r="C13" s="662" t="s">
        <v>327</v>
      </c>
      <c r="D13" s="737">
        <v>4040</v>
      </c>
      <c r="E13" s="737"/>
      <c r="F13" s="664"/>
      <c r="G13" s="665"/>
      <c r="H13" s="665"/>
      <c r="I13" s="1117"/>
      <c r="J13" s="1118"/>
      <c r="K13" s="1118"/>
      <c r="L13" s="1119"/>
      <c r="M13" s="670"/>
      <c r="N13" s="671"/>
      <c r="O13" s="666"/>
      <c r="P13" s="677"/>
      <c r="Q13" s="678"/>
    </row>
    <row r="14" spans="1:17" ht="15.6" x14ac:dyDescent="0.35">
      <c r="A14" s="660" t="s">
        <v>883</v>
      </c>
      <c r="B14" s="661">
        <v>45688</v>
      </c>
      <c r="C14" s="662" t="s">
        <v>327</v>
      </c>
      <c r="D14" s="737">
        <v>4080</v>
      </c>
      <c r="E14" s="737"/>
      <c r="F14" s="664"/>
      <c r="G14" s="665"/>
      <c r="H14" s="665"/>
      <c r="I14" s="1117"/>
      <c r="J14" s="1118"/>
      <c r="K14" s="1118"/>
      <c r="L14" s="1119"/>
      <c r="M14" s="670"/>
      <c r="N14" s="671"/>
      <c r="O14" s="666"/>
      <c r="P14" s="668"/>
      <c r="Q14" s="678"/>
    </row>
    <row r="15" spans="1:17" ht="15.6" x14ac:dyDescent="0.35">
      <c r="A15" s="660" t="s">
        <v>884</v>
      </c>
      <c r="B15" s="661">
        <v>45691</v>
      </c>
      <c r="C15" s="662" t="s">
        <v>327</v>
      </c>
      <c r="D15" s="737"/>
      <c r="E15" s="737">
        <v>11240</v>
      </c>
      <c r="F15" s="675">
        <v>11100</v>
      </c>
      <c r="G15" s="665"/>
      <c r="H15" s="665"/>
      <c r="I15" s="1117"/>
      <c r="J15" s="1118"/>
      <c r="K15" s="1118"/>
      <c r="L15" s="1119"/>
      <c r="M15" s="670" t="s">
        <v>886</v>
      </c>
      <c r="N15" s="671" t="s">
        <v>885</v>
      </c>
      <c r="O15" s="666" t="s">
        <v>228</v>
      </c>
      <c r="P15" s="672" t="s">
        <v>871</v>
      </c>
      <c r="Q15" s="679" t="s">
        <v>887</v>
      </c>
    </row>
    <row r="16" spans="1:17" ht="15.6" x14ac:dyDescent="0.35">
      <c r="A16" s="680" t="s">
        <v>888</v>
      </c>
      <c r="B16" s="681">
        <v>45708</v>
      </c>
      <c r="C16" s="662" t="s">
        <v>407</v>
      </c>
      <c r="D16" s="737">
        <v>500</v>
      </c>
      <c r="E16" s="737"/>
      <c r="F16" s="664"/>
      <c r="G16" s="665"/>
      <c r="H16" s="665"/>
      <c r="I16" s="1117"/>
      <c r="J16" s="1118"/>
      <c r="K16" s="1118"/>
      <c r="L16" s="1119"/>
      <c r="M16" s="670"/>
      <c r="N16" s="671"/>
      <c r="O16" s="666"/>
      <c r="P16" s="677"/>
      <c r="Q16" s="678"/>
    </row>
    <row r="17" spans="1:17" ht="15.6" x14ac:dyDescent="0.35">
      <c r="A17" s="660" t="s">
        <v>889</v>
      </c>
      <c r="B17" s="661">
        <v>45709</v>
      </c>
      <c r="C17" s="662" t="s">
        <v>407</v>
      </c>
      <c r="D17" s="737">
        <v>1020</v>
      </c>
      <c r="E17" s="737"/>
      <c r="F17" s="664"/>
      <c r="G17" s="665"/>
      <c r="H17" s="665"/>
      <c r="I17" s="1117"/>
      <c r="J17" s="1118"/>
      <c r="K17" s="1118"/>
      <c r="L17" s="1119"/>
      <c r="M17" s="670"/>
      <c r="N17" s="671"/>
      <c r="O17" s="666"/>
      <c r="P17" s="668"/>
      <c r="Q17" s="678"/>
    </row>
    <row r="18" spans="1:17" ht="15.6" x14ac:dyDescent="0.35">
      <c r="A18" s="660" t="s">
        <v>891</v>
      </c>
      <c r="B18" s="661">
        <v>45710</v>
      </c>
      <c r="C18" s="662" t="s">
        <v>407</v>
      </c>
      <c r="D18" s="737">
        <v>1300</v>
      </c>
      <c r="E18" s="737"/>
      <c r="F18" s="664"/>
      <c r="G18" s="665"/>
      <c r="H18" s="665"/>
      <c r="I18" s="1117"/>
      <c r="J18" s="1118"/>
      <c r="K18" s="1118"/>
      <c r="L18" s="1119"/>
      <c r="M18" s="670"/>
      <c r="N18" s="666"/>
      <c r="O18" s="666"/>
      <c r="P18" s="677"/>
      <c r="Q18" s="678"/>
    </row>
    <row r="19" spans="1:17" ht="15.6" x14ac:dyDescent="0.35">
      <c r="A19" s="660" t="s">
        <v>892</v>
      </c>
      <c r="B19" s="661">
        <v>45712</v>
      </c>
      <c r="C19" s="662" t="s">
        <v>407</v>
      </c>
      <c r="D19" s="737"/>
      <c r="E19" s="737">
        <v>2820</v>
      </c>
      <c r="F19" s="664"/>
      <c r="G19" s="665"/>
      <c r="H19" s="665"/>
      <c r="I19" s="1117"/>
      <c r="J19" s="1118"/>
      <c r="K19" s="1118"/>
      <c r="L19" s="1119"/>
      <c r="M19" s="670" t="s">
        <v>893</v>
      </c>
      <c r="N19" s="671" t="s">
        <v>890</v>
      </c>
      <c r="O19" s="666" t="s">
        <v>228</v>
      </c>
      <c r="P19" s="666" t="s">
        <v>894</v>
      </c>
      <c r="Q19" s="679" t="s">
        <v>895</v>
      </c>
    </row>
    <row r="20" spans="1:17" ht="15.6" x14ac:dyDescent="0.35">
      <c r="A20" s="660" t="s">
        <v>896</v>
      </c>
      <c r="B20" s="661">
        <v>45728</v>
      </c>
      <c r="C20" s="662" t="s">
        <v>407</v>
      </c>
      <c r="D20" s="737"/>
      <c r="E20" s="737"/>
      <c r="F20" s="664">
        <v>2820</v>
      </c>
      <c r="G20" s="665" t="s">
        <v>897</v>
      </c>
      <c r="H20" s="665"/>
      <c r="I20" s="1117"/>
      <c r="J20" s="1118"/>
      <c r="K20" s="1118"/>
      <c r="L20" s="1119"/>
      <c r="M20" s="670"/>
      <c r="N20" s="671"/>
      <c r="O20" s="666"/>
      <c r="P20" s="677"/>
      <c r="Q20" s="678"/>
    </row>
    <row r="21" spans="1:17" ht="15.6" x14ac:dyDescent="0.35">
      <c r="A21" s="660" t="s">
        <v>898</v>
      </c>
      <c r="B21" s="661">
        <v>45742</v>
      </c>
      <c r="C21" s="662" t="s">
        <v>327</v>
      </c>
      <c r="D21" s="737">
        <v>2500</v>
      </c>
      <c r="E21" s="737"/>
      <c r="F21" s="664"/>
      <c r="G21" s="665"/>
      <c r="H21" s="665"/>
      <c r="I21" s="1120"/>
      <c r="J21" s="1121"/>
      <c r="K21" s="1121"/>
      <c r="L21" s="1122"/>
      <c r="M21" s="638"/>
      <c r="N21" s="682"/>
      <c r="O21" s="666"/>
      <c r="P21" s="668"/>
      <c r="Q21" s="678"/>
    </row>
    <row r="22" spans="1:17" ht="15.6" x14ac:dyDescent="0.35">
      <c r="A22" s="660" t="s">
        <v>899</v>
      </c>
      <c r="B22" s="661">
        <v>45743</v>
      </c>
      <c r="C22" s="662" t="s">
        <v>327</v>
      </c>
      <c r="D22" s="737">
        <v>4300</v>
      </c>
      <c r="E22" s="737"/>
      <c r="F22" s="683"/>
      <c r="G22" s="665"/>
      <c r="H22" s="665"/>
      <c r="I22" s="1120"/>
      <c r="J22" s="1121"/>
      <c r="K22" s="1121"/>
      <c r="L22" s="1122"/>
      <c r="M22" s="638"/>
      <c r="N22" s="682"/>
      <c r="O22" s="666"/>
      <c r="P22" s="684"/>
      <c r="Q22" s="685"/>
    </row>
    <row r="23" spans="1:17" ht="15.6" x14ac:dyDescent="0.35">
      <c r="A23" s="660" t="s">
        <v>900</v>
      </c>
      <c r="B23" s="661">
        <v>45744</v>
      </c>
      <c r="C23" s="662" t="s">
        <v>327</v>
      </c>
      <c r="D23" s="737">
        <v>5160</v>
      </c>
      <c r="E23" s="737"/>
      <c r="F23" s="683"/>
      <c r="G23" s="665"/>
      <c r="H23" s="665"/>
      <c r="I23" s="1120"/>
      <c r="J23" s="1121"/>
      <c r="K23" s="1121"/>
      <c r="L23" s="1122"/>
      <c r="M23" s="638"/>
      <c r="N23" s="682"/>
      <c r="O23" s="666"/>
      <c r="P23" s="684"/>
      <c r="Q23" s="685"/>
    </row>
    <row r="24" spans="1:17" ht="15.6" x14ac:dyDescent="0.35">
      <c r="A24" s="660" t="s">
        <v>902</v>
      </c>
      <c r="B24" s="661">
        <v>45744</v>
      </c>
      <c r="C24" s="662" t="s">
        <v>327</v>
      </c>
      <c r="D24" s="737"/>
      <c r="E24" s="737">
        <v>11960</v>
      </c>
      <c r="F24" s="686"/>
      <c r="G24" s="665"/>
      <c r="H24" s="665"/>
      <c r="I24" s="1120"/>
      <c r="J24" s="1121"/>
      <c r="K24" s="1121"/>
      <c r="L24" s="1122"/>
      <c r="M24" s="638" t="s">
        <v>903</v>
      </c>
      <c r="N24" s="687" t="s">
        <v>901</v>
      </c>
      <c r="O24" s="666" t="s">
        <v>228</v>
      </c>
      <c r="P24" s="672" t="s">
        <v>871</v>
      </c>
      <c r="Q24" s="679" t="s">
        <v>887</v>
      </c>
    </row>
    <row r="25" spans="1:17" ht="16.2" x14ac:dyDescent="0.4">
      <c r="A25" s="660" t="s">
        <v>904</v>
      </c>
      <c r="B25" s="661">
        <v>45747</v>
      </c>
      <c r="C25" s="662" t="s">
        <v>327</v>
      </c>
      <c r="D25" s="737"/>
      <c r="E25" s="737"/>
      <c r="F25" s="688">
        <v>11800</v>
      </c>
      <c r="G25" s="665" t="s">
        <v>897</v>
      </c>
      <c r="H25" s="665"/>
      <c r="I25" s="1120"/>
      <c r="J25" s="1121"/>
      <c r="K25" s="1121"/>
      <c r="L25" s="1122"/>
      <c r="M25" s="636"/>
      <c r="N25" s="687"/>
      <c r="O25" s="666"/>
      <c r="P25" s="668"/>
      <c r="Q25" s="685"/>
    </row>
    <row r="26" spans="1:17" ht="16.2" x14ac:dyDescent="0.4">
      <c r="A26" s="660" t="s">
        <v>905</v>
      </c>
      <c r="B26" s="661">
        <v>45751</v>
      </c>
      <c r="C26" s="662" t="s">
        <v>378</v>
      </c>
      <c r="D26" s="737">
        <v>1300</v>
      </c>
      <c r="E26" s="737"/>
      <c r="F26" s="686"/>
      <c r="G26" s="665"/>
      <c r="H26" s="665"/>
      <c r="I26" s="1120"/>
      <c r="J26" s="1121"/>
      <c r="K26" s="1121"/>
      <c r="L26" s="1122"/>
      <c r="M26" s="636"/>
      <c r="N26" s="682"/>
      <c r="O26" s="666"/>
      <c r="P26" s="668"/>
      <c r="Q26" s="678"/>
    </row>
    <row r="27" spans="1:17" ht="16.2" x14ac:dyDescent="0.4">
      <c r="A27" s="660" t="s">
        <v>906</v>
      </c>
      <c r="B27" s="661">
        <v>45754</v>
      </c>
      <c r="C27" s="662" t="s">
        <v>378</v>
      </c>
      <c r="D27" s="737">
        <v>1620</v>
      </c>
      <c r="E27" s="737"/>
      <c r="F27" s="686"/>
      <c r="G27" s="665"/>
      <c r="H27" s="665"/>
      <c r="I27" s="1120"/>
      <c r="J27" s="1121"/>
      <c r="K27" s="1121"/>
      <c r="L27" s="1122"/>
      <c r="M27" s="636"/>
      <c r="N27" s="687"/>
      <c r="O27" s="666"/>
      <c r="P27" s="668"/>
      <c r="Q27" s="685"/>
    </row>
    <row r="28" spans="1:17" ht="15.6" x14ac:dyDescent="0.35">
      <c r="A28" s="660" t="s">
        <v>907</v>
      </c>
      <c r="B28" s="661">
        <v>45755</v>
      </c>
      <c r="C28" s="662" t="s">
        <v>378</v>
      </c>
      <c r="D28" s="737"/>
      <c r="E28" s="738">
        <v>2920</v>
      </c>
      <c r="F28" s="688">
        <v>2800</v>
      </c>
      <c r="G28" s="665" t="s">
        <v>909</v>
      </c>
      <c r="H28" s="665"/>
      <c r="I28" s="1120"/>
      <c r="J28" s="1121"/>
      <c r="K28" s="1121"/>
      <c r="L28" s="1122"/>
      <c r="M28" s="638" t="s">
        <v>910</v>
      </c>
      <c r="N28" s="687" t="s">
        <v>908</v>
      </c>
      <c r="O28" s="666" t="s">
        <v>228</v>
      </c>
      <c r="P28" s="672" t="s">
        <v>871</v>
      </c>
      <c r="Q28" s="663" t="s">
        <v>911</v>
      </c>
    </row>
    <row r="29" spans="1:17" ht="15.6" x14ac:dyDescent="0.35">
      <c r="A29" s="689" t="s">
        <v>912</v>
      </c>
      <c r="B29" s="690">
        <v>45779</v>
      </c>
      <c r="C29" s="662" t="s">
        <v>407</v>
      </c>
      <c r="D29" s="676">
        <v>128</v>
      </c>
      <c r="E29" s="676"/>
      <c r="F29" s="686"/>
      <c r="G29" s="665"/>
      <c r="H29" s="665"/>
      <c r="I29" s="1120"/>
      <c r="J29" s="1121"/>
      <c r="K29" s="1121"/>
      <c r="L29" s="1122"/>
      <c r="M29" s="638"/>
      <c r="N29" s="691"/>
      <c r="O29" s="666"/>
      <c r="P29" s="684"/>
      <c r="Q29" s="692"/>
    </row>
    <row r="30" spans="1:17" ht="15.6" x14ac:dyDescent="0.35">
      <c r="A30" s="689" t="s">
        <v>913</v>
      </c>
      <c r="B30" s="690">
        <v>45780</v>
      </c>
      <c r="C30" s="662" t="s">
        <v>407</v>
      </c>
      <c r="D30" s="676">
        <v>780</v>
      </c>
      <c r="E30" s="676"/>
      <c r="F30" s="686"/>
      <c r="G30" s="665"/>
      <c r="H30" s="665"/>
      <c r="I30" s="1120"/>
      <c r="J30" s="1121"/>
      <c r="K30" s="1121"/>
      <c r="L30" s="1122"/>
      <c r="M30" s="638"/>
      <c r="N30" s="668"/>
      <c r="O30" s="666"/>
      <c r="P30" s="668"/>
      <c r="Q30" s="685"/>
    </row>
    <row r="31" spans="1:17" ht="15.6" x14ac:dyDescent="0.35">
      <c r="A31" s="689" t="s">
        <v>915</v>
      </c>
      <c r="B31" s="690">
        <v>45782</v>
      </c>
      <c r="C31" s="662" t="s">
        <v>407</v>
      </c>
      <c r="D31" s="676"/>
      <c r="E31" s="676">
        <v>2060</v>
      </c>
      <c r="F31" s="686"/>
      <c r="G31" s="693" t="s">
        <v>916</v>
      </c>
      <c r="H31" s="665"/>
      <c r="I31" s="1120"/>
      <c r="J31" s="1121"/>
      <c r="K31" s="1121"/>
      <c r="L31" s="1122"/>
      <c r="M31" s="638" t="s">
        <v>917</v>
      </c>
      <c r="N31" s="682" t="s">
        <v>914</v>
      </c>
      <c r="O31" s="694" t="s">
        <v>229</v>
      </c>
      <c r="P31" s="666" t="s">
        <v>894</v>
      </c>
      <c r="Q31" s="679" t="s">
        <v>895</v>
      </c>
    </row>
    <row r="32" spans="1:17" ht="15.6" x14ac:dyDescent="0.35">
      <c r="A32" s="689" t="s">
        <v>918</v>
      </c>
      <c r="B32" s="690">
        <v>45783</v>
      </c>
      <c r="C32" s="662" t="s">
        <v>459</v>
      </c>
      <c r="D32" s="676">
        <v>720</v>
      </c>
      <c r="E32" s="676"/>
      <c r="F32" s="686"/>
      <c r="G32" s="664"/>
      <c r="H32" s="664"/>
      <c r="I32" s="1123"/>
      <c r="J32" s="1124"/>
      <c r="K32" s="1124"/>
      <c r="L32" s="1125"/>
      <c r="M32" s="638"/>
      <c r="N32" s="695"/>
      <c r="O32" s="672"/>
      <c r="P32" s="668"/>
      <c r="Q32" s="685"/>
    </row>
    <row r="33" spans="1:17" ht="15.6" x14ac:dyDescent="0.35">
      <c r="A33" s="689" t="s">
        <v>919</v>
      </c>
      <c r="B33" s="690">
        <v>45784</v>
      </c>
      <c r="C33" s="662" t="s">
        <v>459</v>
      </c>
      <c r="D33" s="676">
        <v>280</v>
      </c>
      <c r="E33" s="676"/>
      <c r="F33" s="686"/>
      <c r="G33" s="664"/>
      <c r="H33" s="664"/>
      <c r="I33" s="1123"/>
      <c r="J33" s="1124"/>
      <c r="K33" s="1124"/>
      <c r="L33" s="1125"/>
      <c r="M33" s="638"/>
      <c r="N33" s="695"/>
      <c r="O33" s="672"/>
      <c r="P33" s="668"/>
      <c r="Q33" s="685"/>
    </row>
    <row r="34" spans="1:17" ht="15.6" x14ac:dyDescent="0.35">
      <c r="A34" s="689" t="s">
        <v>920</v>
      </c>
      <c r="B34" s="690">
        <v>45785</v>
      </c>
      <c r="C34" s="662" t="s">
        <v>459</v>
      </c>
      <c r="D34" s="676"/>
      <c r="E34" s="676">
        <v>1000</v>
      </c>
      <c r="F34" s="688">
        <v>700</v>
      </c>
      <c r="G34" s="665" t="s">
        <v>909</v>
      </c>
      <c r="H34" s="664"/>
      <c r="I34" s="1123"/>
      <c r="J34" s="1124"/>
      <c r="K34" s="1124"/>
      <c r="L34" s="1125"/>
      <c r="M34" s="638" t="s">
        <v>922</v>
      </c>
      <c r="N34" s="663" t="s">
        <v>921</v>
      </c>
      <c r="O34" s="672" t="s">
        <v>228</v>
      </c>
      <c r="P34" s="672" t="s">
        <v>871</v>
      </c>
      <c r="Q34" s="672" t="s">
        <v>872</v>
      </c>
    </row>
    <row r="35" spans="1:17" ht="15.6" x14ac:dyDescent="0.35">
      <c r="A35" s="689"/>
      <c r="B35" s="671"/>
      <c r="C35" s="696"/>
      <c r="D35" s="676"/>
      <c r="E35" s="676"/>
      <c r="F35" s="686"/>
      <c r="G35" s="664"/>
      <c r="H35" s="664"/>
      <c r="I35" s="1123"/>
      <c r="J35" s="1124"/>
      <c r="K35" s="1124"/>
      <c r="L35" s="1125"/>
      <c r="M35" s="637"/>
      <c r="N35" s="697"/>
      <c r="O35" s="698"/>
      <c r="P35" s="668"/>
      <c r="Q35" s="699"/>
    </row>
    <row r="36" spans="1:17" ht="15.6" x14ac:dyDescent="0.35">
      <c r="A36" s="689"/>
      <c r="B36" s="671"/>
      <c r="C36" s="696"/>
      <c r="D36" s="676"/>
      <c r="E36" s="676"/>
      <c r="F36" s="683"/>
      <c r="G36" s="664"/>
      <c r="H36" s="664"/>
      <c r="I36" s="1123"/>
      <c r="J36" s="1124"/>
      <c r="K36" s="1124"/>
      <c r="L36" s="1125"/>
      <c r="M36" s="637"/>
      <c r="N36" s="697"/>
      <c r="O36" s="672"/>
      <c r="P36" s="668"/>
      <c r="Q36" s="678"/>
    </row>
    <row r="37" spans="1:17" ht="15.6" x14ac:dyDescent="0.35">
      <c r="A37" s="689"/>
      <c r="B37" s="671"/>
      <c r="C37" s="696"/>
      <c r="D37" s="676"/>
      <c r="E37" s="676"/>
      <c r="F37" s="686"/>
      <c r="G37" s="664"/>
      <c r="H37" s="664"/>
      <c r="I37" s="1123"/>
      <c r="J37" s="1124"/>
      <c r="K37" s="1124"/>
      <c r="L37" s="1125"/>
      <c r="M37" s="637"/>
      <c r="N37" s="697"/>
      <c r="O37" s="698"/>
      <c r="P37" s="668"/>
      <c r="Q37" s="699"/>
    </row>
    <row r="38" spans="1:17" ht="15.6" x14ac:dyDescent="0.35">
      <c r="A38" s="689"/>
      <c r="B38" s="671"/>
      <c r="C38" s="696"/>
      <c r="D38" s="676"/>
      <c r="E38" s="676"/>
      <c r="F38" s="686"/>
      <c r="G38" s="664"/>
      <c r="H38" s="664"/>
      <c r="I38" s="1123"/>
      <c r="J38" s="1124"/>
      <c r="K38" s="1124"/>
      <c r="L38" s="1125"/>
      <c r="M38" s="637"/>
      <c r="N38" s="695"/>
      <c r="O38" s="672"/>
      <c r="P38" s="668"/>
      <c r="Q38" s="685"/>
    </row>
    <row r="39" spans="1:17" ht="15.6" x14ac:dyDescent="0.35">
      <c r="A39" s="689"/>
      <c r="B39" s="671"/>
      <c r="C39" s="696"/>
      <c r="D39" s="676"/>
      <c r="E39" s="676"/>
      <c r="F39" s="686"/>
      <c r="G39" s="664"/>
      <c r="H39" s="664"/>
      <c r="I39" s="1123"/>
      <c r="J39" s="1124"/>
      <c r="K39" s="1124"/>
      <c r="L39" s="1125"/>
      <c r="M39" s="637"/>
      <c r="N39" s="695"/>
      <c r="O39" s="672"/>
      <c r="P39" s="668"/>
      <c r="Q39" s="685"/>
    </row>
    <row r="40" spans="1:17" ht="15.6" x14ac:dyDescent="0.35">
      <c r="A40" s="689"/>
      <c r="B40" s="671"/>
      <c r="C40" s="696"/>
      <c r="D40" s="676"/>
      <c r="E40" s="676"/>
      <c r="F40" s="683"/>
      <c r="G40" s="664"/>
      <c r="H40" s="664"/>
      <c r="I40" s="1123"/>
      <c r="J40" s="1124"/>
      <c r="K40" s="1124"/>
      <c r="L40" s="1125"/>
      <c r="M40" s="637"/>
      <c r="N40" s="697"/>
      <c r="O40" s="672"/>
      <c r="P40" s="684"/>
      <c r="Q40" s="685"/>
    </row>
    <row r="41" spans="1:17" ht="16.2" x14ac:dyDescent="0.4">
      <c r="A41" s="700"/>
      <c r="B41" s="671"/>
      <c r="C41" s="696"/>
      <c r="D41" s="701"/>
      <c r="E41" s="701"/>
      <c r="F41" s="702"/>
      <c r="G41" s="665"/>
      <c r="H41" s="665"/>
      <c r="I41" s="1120"/>
      <c r="J41" s="1121"/>
      <c r="K41" s="1121"/>
      <c r="L41" s="1122"/>
      <c r="M41" s="703"/>
      <c r="N41" s="691"/>
      <c r="O41" s="666"/>
      <c r="P41" s="684"/>
      <c r="Q41" s="699"/>
    </row>
    <row r="42" spans="1:17" ht="16.2" x14ac:dyDescent="0.4">
      <c r="A42" s="700"/>
      <c r="B42" s="671"/>
      <c r="C42" s="696"/>
      <c r="D42" s="701"/>
      <c r="E42" s="701"/>
      <c r="F42" s="702"/>
      <c r="G42" s="665"/>
      <c r="H42" s="665"/>
      <c r="I42" s="1120"/>
      <c r="J42" s="1121"/>
      <c r="K42" s="1121"/>
      <c r="L42" s="1122"/>
      <c r="M42" s="703"/>
      <c r="N42" s="691"/>
      <c r="O42" s="666"/>
      <c r="P42" s="668"/>
      <c r="Q42" s="678"/>
    </row>
    <row r="43" spans="1:17" ht="16.2" x14ac:dyDescent="0.4">
      <c r="A43" s="700"/>
      <c r="B43" s="671"/>
      <c r="C43" s="696"/>
      <c r="D43" s="701"/>
      <c r="E43" s="701"/>
      <c r="F43" s="665"/>
      <c r="G43" s="665"/>
      <c r="H43" s="665"/>
      <c r="I43" s="1117"/>
      <c r="J43" s="1118"/>
      <c r="K43" s="1118"/>
      <c r="L43" s="1119"/>
      <c r="M43" s="703"/>
      <c r="N43" s="691"/>
      <c r="O43" s="666"/>
      <c r="P43" s="684"/>
      <c r="Q43" s="692"/>
    </row>
    <row r="44" spans="1:17" ht="16.2" x14ac:dyDescent="0.4">
      <c r="A44" s="700"/>
      <c r="B44" s="671"/>
      <c r="C44" s="696"/>
      <c r="D44" s="701"/>
      <c r="E44" s="701"/>
      <c r="F44" s="665"/>
      <c r="G44" s="665"/>
      <c r="H44" s="665"/>
      <c r="I44" s="1117"/>
      <c r="J44" s="1118"/>
      <c r="K44" s="1118"/>
      <c r="L44" s="1119"/>
      <c r="M44" s="703"/>
      <c r="N44" s="668"/>
      <c r="O44" s="666"/>
      <c r="P44" s="668"/>
      <c r="Q44" s="685"/>
    </row>
    <row r="45" spans="1:17" ht="16.2" x14ac:dyDescent="0.4">
      <c r="A45" s="700"/>
      <c r="B45" s="671"/>
      <c r="C45" s="696"/>
      <c r="D45" s="701"/>
      <c r="E45" s="701"/>
      <c r="F45" s="665"/>
      <c r="G45" s="665"/>
      <c r="H45" s="665"/>
      <c r="I45" s="1117"/>
      <c r="J45" s="1118"/>
      <c r="K45" s="1118"/>
      <c r="L45" s="1119"/>
      <c r="M45" s="703"/>
      <c r="N45" s="668"/>
      <c r="O45" s="666"/>
      <c r="P45" s="668"/>
      <c r="Q45" s="685"/>
    </row>
    <row r="46" spans="1:17" ht="16.2" x14ac:dyDescent="0.4">
      <c r="A46" s="700"/>
      <c r="B46" s="671"/>
      <c r="C46" s="696"/>
      <c r="D46" s="701"/>
      <c r="E46" s="701"/>
      <c r="F46" s="665"/>
      <c r="G46" s="665"/>
      <c r="H46" s="665"/>
      <c r="I46" s="1117"/>
      <c r="J46" s="1118"/>
      <c r="K46" s="1118"/>
      <c r="L46" s="1119"/>
      <c r="M46" s="703"/>
      <c r="N46" s="668"/>
      <c r="O46" s="666"/>
      <c r="P46" s="668"/>
      <c r="Q46" s="685"/>
    </row>
    <row r="47" spans="1:17" ht="16.2" x14ac:dyDescent="0.4">
      <c r="A47" s="700"/>
      <c r="B47" s="671"/>
      <c r="C47" s="696"/>
      <c r="D47" s="701"/>
      <c r="E47" s="701"/>
      <c r="F47" s="665"/>
      <c r="G47" s="665"/>
      <c r="H47" s="665"/>
      <c r="I47" s="1117"/>
      <c r="J47" s="1118"/>
      <c r="K47" s="1118"/>
      <c r="L47" s="1119"/>
      <c r="M47" s="703"/>
      <c r="N47" s="668"/>
      <c r="O47" s="666"/>
      <c r="P47" s="668"/>
      <c r="Q47" s="685"/>
    </row>
    <row r="48" spans="1:17" ht="16.2" x14ac:dyDescent="0.4">
      <c r="A48" s="704"/>
      <c r="B48" s="705"/>
      <c r="C48" s="706"/>
      <c r="D48" s="707"/>
      <c r="E48" s="707"/>
      <c r="F48" s="708"/>
      <c r="G48" s="708"/>
      <c r="H48" s="708"/>
      <c r="I48" s="1114"/>
      <c r="J48" s="1115"/>
      <c r="K48" s="1115"/>
      <c r="L48" s="1116"/>
      <c r="M48" s="703"/>
      <c r="N48" s="685"/>
      <c r="O48" s="709"/>
      <c r="P48" s="685"/>
      <c r="Q48" s="685"/>
    </row>
    <row r="49" spans="1:17" ht="16.2" x14ac:dyDescent="0.4">
      <c r="A49" s="704"/>
      <c r="B49" s="705"/>
      <c r="C49" s="706"/>
      <c r="D49" s="707"/>
      <c r="E49" s="707"/>
      <c r="F49" s="708"/>
      <c r="G49" s="708"/>
      <c r="H49" s="708"/>
      <c r="I49" s="1114"/>
      <c r="J49" s="1115"/>
      <c r="K49" s="1115"/>
      <c r="L49" s="1116"/>
      <c r="M49" s="703"/>
      <c r="N49" s="685"/>
      <c r="O49" s="709"/>
      <c r="P49" s="685"/>
      <c r="Q49" s="685"/>
    </row>
    <row r="50" spans="1:17" ht="16.2" x14ac:dyDescent="0.4">
      <c r="A50" s="704"/>
      <c r="B50" s="705"/>
      <c r="C50" s="706"/>
      <c r="D50" s="707"/>
      <c r="E50" s="707"/>
      <c r="F50" s="708"/>
      <c r="G50" s="708"/>
      <c r="H50" s="708"/>
      <c r="I50" s="1114"/>
      <c r="J50" s="1115"/>
      <c r="K50" s="1115"/>
      <c r="L50" s="1116"/>
      <c r="M50" s="703"/>
      <c r="N50" s="685"/>
      <c r="O50" s="709"/>
      <c r="P50" s="685"/>
      <c r="Q50" s="685"/>
    </row>
    <row r="51" spans="1:17" ht="16.2" x14ac:dyDescent="0.4">
      <c r="A51" s="704"/>
      <c r="B51" s="705"/>
      <c r="C51" s="706"/>
      <c r="D51" s="707"/>
      <c r="E51" s="707"/>
      <c r="F51" s="708"/>
      <c r="G51" s="708"/>
      <c r="H51" s="708"/>
      <c r="I51" s="1114"/>
      <c r="J51" s="1115"/>
      <c r="K51" s="1115"/>
      <c r="L51" s="1116"/>
      <c r="M51" s="703"/>
      <c r="N51" s="685"/>
      <c r="O51" s="709"/>
      <c r="P51" s="685"/>
      <c r="Q51" s="685"/>
    </row>
    <row r="52" spans="1:17" ht="16.2" x14ac:dyDescent="0.4">
      <c r="A52" s="704"/>
      <c r="B52" s="705"/>
      <c r="C52" s="706"/>
      <c r="D52" s="707"/>
      <c r="E52" s="707"/>
      <c r="F52" s="708"/>
      <c r="G52" s="708"/>
      <c r="H52" s="708"/>
      <c r="I52" s="1114"/>
      <c r="J52" s="1115"/>
      <c r="K52" s="1115"/>
      <c r="L52" s="1116"/>
      <c r="M52" s="703"/>
      <c r="N52" s="685"/>
      <c r="O52" s="709"/>
      <c r="P52" s="685"/>
      <c r="Q52" s="685"/>
    </row>
    <row r="53" spans="1:17" ht="16.2" x14ac:dyDescent="0.4">
      <c r="A53" s="704"/>
      <c r="B53" s="705"/>
      <c r="C53" s="706"/>
      <c r="D53" s="707"/>
      <c r="E53" s="707"/>
      <c r="F53" s="708"/>
      <c r="G53" s="708"/>
      <c r="H53" s="708"/>
      <c r="I53" s="1114"/>
      <c r="J53" s="1115"/>
      <c r="K53" s="1115"/>
      <c r="L53" s="1116"/>
      <c r="M53" s="703"/>
      <c r="N53" s="685"/>
      <c r="O53" s="709"/>
      <c r="P53" s="685"/>
      <c r="Q53" s="685"/>
    </row>
    <row r="54" spans="1:17" ht="16.2" x14ac:dyDescent="0.4">
      <c r="A54" s="704"/>
      <c r="B54" s="705"/>
      <c r="C54" s="706"/>
      <c r="D54" s="707"/>
      <c r="E54" s="707"/>
      <c r="F54" s="708"/>
      <c r="G54" s="708"/>
      <c r="H54" s="708"/>
      <c r="I54" s="1114"/>
      <c r="J54" s="1115"/>
      <c r="K54" s="1115"/>
      <c r="L54" s="1116"/>
      <c r="M54" s="703"/>
      <c r="N54" s="685"/>
      <c r="O54" s="709"/>
      <c r="P54" s="685"/>
      <c r="Q54" s="685"/>
    </row>
    <row r="55" spans="1:17" ht="16.2" x14ac:dyDescent="0.4">
      <c r="A55" s="704"/>
      <c r="B55" s="705"/>
      <c r="C55" s="706"/>
      <c r="D55" s="707"/>
      <c r="E55" s="707"/>
      <c r="F55" s="708"/>
      <c r="G55" s="708"/>
      <c r="H55" s="708"/>
      <c r="I55" s="1114"/>
      <c r="J55" s="1115"/>
      <c r="K55" s="1115"/>
      <c r="L55" s="1116"/>
      <c r="M55" s="703"/>
      <c r="N55" s="685"/>
      <c r="O55" s="709"/>
      <c r="P55" s="685"/>
      <c r="Q55" s="685"/>
    </row>
    <row r="56" spans="1:17" ht="16.2" x14ac:dyDescent="0.4">
      <c r="A56" s="704"/>
      <c r="B56" s="705"/>
      <c r="C56" s="706"/>
      <c r="D56" s="707"/>
      <c r="E56" s="707"/>
      <c r="F56" s="708"/>
      <c r="G56" s="708"/>
      <c r="H56" s="708"/>
      <c r="I56" s="1114"/>
      <c r="J56" s="1115"/>
      <c r="K56" s="1115"/>
      <c r="L56" s="1116"/>
      <c r="M56" s="703"/>
      <c r="N56" s="710"/>
      <c r="O56" s="709"/>
      <c r="P56" s="685"/>
      <c r="Q56" s="678"/>
    </row>
    <row r="57" spans="1:17" ht="16.2" x14ac:dyDescent="0.4">
      <c r="A57" s="704"/>
      <c r="B57" s="705"/>
      <c r="C57" s="706"/>
      <c r="D57" s="707"/>
      <c r="E57" s="707"/>
      <c r="F57" s="708"/>
      <c r="G57" s="708"/>
      <c r="H57" s="708"/>
      <c r="I57" s="1114"/>
      <c r="J57" s="1115"/>
      <c r="K57" s="1115"/>
      <c r="L57" s="1116"/>
      <c r="M57" s="703"/>
      <c r="N57" s="685"/>
      <c r="O57" s="709"/>
      <c r="P57" s="685"/>
      <c r="Q57" s="685"/>
    </row>
    <row r="58" spans="1:17" ht="16.2" x14ac:dyDescent="0.4">
      <c r="A58" s="704"/>
      <c r="B58" s="705"/>
      <c r="C58" s="706"/>
      <c r="D58" s="707"/>
      <c r="E58" s="707"/>
      <c r="F58" s="708"/>
      <c r="G58" s="708"/>
      <c r="H58" s="708"/>
      <c r="I58" s="1114"/>
      <c r="J58" s="1115"/>
      <c r="K58" s="1115"/>
      <c r="L58" s="1116"/>
      <c r="M58" s="703"/>
      <c r="N58" s="710"/>
      <c r="O58" s="594"/>
      <c r="P58" s="685"/>
      <c r="Q58" s="678"/>
    </row>
    <row r="59" spans="1:17" ht="16.2" x14ac:dyDescent="0.4">
      <c r="A59" s="704"/>
      <c r="B59" s="705"/>
      <c r="C59" s="706"/>
      <c r="D59" s="707"/>
      <c r="E59" s="707"/>
      <c r="F59" s="708"/>
      <c r="G59" s="708"/>
      <c r="H59" s="708"/>
      <c r="I59" s="1114"/>
      <c r="J59" s="1115"/>
      <c r="K59" s="1115"/>
      <c r="L59" s="1116"/>
      <c r="M59" s="703"/>
      <c r="N59" s="710"/>
      <c r="O59" s="547"/>
      <c r="P59" s="699"/>
      <c r="Q59" s="692"/>
    </row>
    <row r="60" spans="1:17" ht="16.2" x14ac:dyDescent="0.4">
      <c r="A60" s="704"/>
      <c r="B60" s="705"/>
      <c r="C60" s="706"/>
      <c r="D60" s="707"/>
      <c r="E60" s="707"/>
      <c r="F60" s="708"/>
      <c r="G60" s="708"/>
      <c r="H60" s="708"/>
      <c r="I60" s="1114"/>
      <c r="J60" s="1115"/>
      <c r="K60" s="1115"/>
      <c r="L60" s="1116"/>
      <c r="M60" s="703"/>
      <c r="N60" s="685"/>
      <c r="O60" s="709"/>
      <c r="P60" s="685"/>
      <c r="Q60" s="685"/>
    </row>
    <row r="61" spans="1:17" ht="16.2" x14ac:dyDescent="0.4">
      <c r="A61" s="704"/>
      <c r="B61" s="705"/>
      <c r="C61" s="706"/>
      <c r="D61" s="707"/>
      <c r="E61" s="707"/>
      <c r="F61" s="708"/>
      <c r="G61" s="708"/>
      <c r="H61" s="708"/>
      <c r="I61" s="1114"/>
      <c r="J61" s="1115"/>
      <c r="K61" s="1115"/>
      <c r="L61" s="1116"/>
      <c r="M61" s="703"/>
      <c r="N61" s="710"/>
      <c r="O61" s="547"/>
      <c r="P61" s="685"/>
      <c r="Q61" s="699"/>
    </row>
    <row r="62" spans="1:17" ht="16.2" x14ac:dyDescent="0.4">
      <c r="A62" s="704"/>
      <c r="B62" s="705"/>
      <c r="C62" s="706"/>
      <c r="D62" s="707"/>
      <c r="E62" s="707"/>
      <c r="F62" s="708"/>
      <c r="G62" s="708"/>
      <c r="H62" s="708"/>
      <c r="I62" s="1114"/>
      <c r="J62" s="1115"/>
      <c r="K62" s="1115"/>
      <c r="L62" s="1116"/>
      <c r="M62" s="703"/>
      <c r="N62" s="685"/>
      <c r="O62" s="709"/>
      <c r="P62" s="685"/>
      <c r="Q62" s="685"/>
    </row>
    <row r="63" spans="1:17" ht="16.2" x14ac:dyDescent="0.4">
      <c r="A63" s="704"/>
      <c r="B63" s="705"/>
      <c r="C63" s="706"/>
      <c r="D63" s="707"/>
      <c r="E63" s="707"/>
      <c r="F63" s="708"/>
      <c r="G63" s="708"/>
      <c r="H63" s="708"/>
      <c r="I63" s="1114"/>
      <c r="J63" s="1115"/>
      <c r="K63" s="1115"/>
      <c r="L63" s="1116"/>
      <c r="M63" s="703"/>
      <c r="N63" s="685"/>
      <c r="O63" s="709"/>
      <c r="P63" s="685"/>
      <c r="Q63" s="685"/>
    </row>
    <row r="64" spans="1:17" ht="16.2" x14ac:dyDescent="0.4">
      <c r="A64" s="704"/>
      <c r="B64" s="705"/>
      <c r="C64" s="706"/>
      <c r="D64" s="707"/>
      <c r="E64" s="707"/>
      <c r="F64" s="708"/>
      <c r="G64" s="708"/>
      <c r="H64" s="708"/>
      <c r="I64" s="1114"/>
      <c r="J64" s="1115"/>
      <c r="K64" s="1115"/>
      <c r="L64" s="1116"/>
      <c r="M64" s="703"/>
      <c r="N64" s="685"/>
      <c r="O64" s="709"/>
      <c r="P64" s="685"/>
      <c r="Q64" s="685"/>
    </row>
    <row r="65" spans="1:17" ht="16.2" x14ac:dyDescent="0.4">
      <c r="A65" s="704"/>
      <c r="B65" s="705"/>
      <c r="C65" s="706"/>
      <c r="D65" s="707"/>
      <c r="E65" s="707"/>
      <c r="F65" s="708"/>
      <c r="G65" s="708"/>
      <c r="H65" s="708"/>
      <c r="I65" s="1114"/>
      <c r="J65" s="1115"/>
      <c r="K65" s="1115"/>
      <c r="L65" s="1116"/>
      <c r="M65" s="703"/>
      <c r="N65" s="710"/>
      <c r="O65" s="709"/>
      <c r="P65" s="685"/>
      <c r="Q65" s="678"/>
    </row>
    <row r="66" spans="1:17" ht="16.2" x14ac:dyDescent="0.4">
      <c r="A66" s="704"/>
      <c r="B66" s="705"/>
      <c r="C66" s="706"/>
      <c r="D66" s="707"/>
      <c r="E66" s="707"/>
      <c r="F66" s="711"/>
      <c r="G66" s="708"/>
      <c r="H66" s="708"/>
      <c r="I66" s="1114"/>
      <c r="J66" s="1115"/>
      <c r="K66" s="1115"/>
      <c r="L66" s="1116"/>
      <c r="M66" s="703"/>
      <c r="N66" s="710"/>
      <c r="O66" s="547"/>
      <c r="P66" s="685"/>
      <c r="Q66" s="685"/>
    </row>
    <row r="67" spans="1:17" ht="16.2" x14ac:dyDescent="0.4">
      <c r="A67" s="704"/>
      <c r="B67" s="705"/>
      <c r="C67" s="706"/>
      <c r="D67" s="707"/>
      <c r="E67" s="707"/>
      <c r="F67" s="708"/>
      <c r="G67" s="708"/>
      <c r="H67" s="708"/>
      <c r="I67" s="1114"/>
      <c r="J67" s="1115"/>
      <c r="K67" s="1115"/>
      <c r="L67" s="1116"/>
      <c r="M67" s="703"/>
      <c r="N67" s="685"/>
      <c r="O67" s="709"/>
      <c r="P67" s="685"/>
      <c r="Q67" s="685"/>
    </row>
    <row r="68" spans="1:17" ht="16.2" x14ac:dyDescent="0.4">
      <c r="A68" s="704"/>
      <c r="B68" s="705"/>
      <c r="C68" s="706"/>
      <c r="D68" s="707"/>
      <c r="E68" s="707"/>
      <c r="F68" s="711"/>
      <c r="G68" s="708"/>
      <c r="H68" s="708"/>
      <c r="I68" s="1114"/>
      <c r="J68" s="1115"/>
      <c r="K68" s="1115"/>
      <c r="L68" s="1116"/>
      <c r="M68" s="703"/>
      <c r="N68" s="710"/>
      <c r="O68" s="547"/>
      <c r="P68" s="699"/>
      <c r="Q68" s="685"/>
    </row>
    <row r="69" spans="1:17" ht="16.2" x14ac:dyDescent="0.4">
      <c r="A69" s="704"/>
      <c r="B69" s="705"/>
      <c r="C69" s="706"/>
      <c r="D69" s="707"/>
      <c r="E69" s="707"/>
      <c r="F69" s="708"/>
      <c r="G69" s="708"/>
      <c r="H69" s="708"/>
      <c r="I69" s="1114"/>
      <c r="J69" s="1115"/>
      <c r="K69" s="1115"/>
      <c r="L69" s="1116"/>
      <c r="M69" s="703"/>
      <c r="N69" s="685"/>
      <c r="O69" s="709"/>
      <c r="P69" s="685"/>
      <c r="Q69" s="685"/>
    </row>
    <row r="70" spans="1:17" ht="16.2" x14ac:dyDescent="0.4">
      <c r="A70" s="704"/>
      <c r="B70" s="705"/>
      <c r="C70" s="706"/>
      <c r="D70" s="707"/>
      <c r="E70" s="707"/>
      <c r="F70" s="708"/>
      <c r="G70" s="708"/>
      <c r="H70" s="708"/>
      <c r="I70" s="1114"/>
      <c r="J70" s="1115"/>
      <c r="K70" s="1115"/>
      <c r="L70" s="1116"/>
      <c r="M70" s="703"/>
      <c r="N70" s="685"/>
      <c r="O70" s="709"/>
      <c r="P70" s="685"/>
      <c r="Q70" s="685"/>
    </row>
    <row r="71" spans="1:17" ht="16.2" x14ac:dyDescent="0.4">
      <c r="A71" s="704"/>
      <c r="B71" s="705"/>
      <c r="C71" s="706"/>
      <c r="D71" s="707"/>
      <c r="E71" s="707"/>
      <c r="F71" s="708"/>
      <c r="G71" s="708"/>
      <c r="H71" s="708"/>
      <c r="I71" s="1114"/>
      <c r="J71" s="1115"/>
      <c r="K71" s="1115"/>
      <c r="L71" s="1116"/>
      <c r="M71" s="703"/>
      <c r="N71" s="710"/>
      <c r="O71" s="709"/>
      <c r="P71" s="685"/>
      <c r="Q71" s="678"/>
    </row>
    <row r="72" spans="1:17" ht="16.2" x14ac:dyDescent="0.4">
      <c r="A72" s="704"/>
      <c r="B72" s="705"/>
      <c r="C72" s="706"/>
      <c r="D72" s="707"/>
      <c r="E72" s="707"/>
      <c r="F72" s="708"/>
      <c r="G72" s="708"/>
      <c r="H72" s="708"/>
      <c r="I72" s="1114"/>
      <c r="J72" s="1115"/>
      <c r="K72" s="1115"/>
      <c r="L72" s="1116"/>
      <c r="M72" s="703"/>
      <c r="N72" s="710"/>
      <c r="O72" s="709"/>
      <c r="P72" s="699"/>
      <c r="Q72" s="692"/>
    </row>
    <row r="73" spans="1:17" ht="16.2" x14ac:dyDescent="0.4">
      <c r="A73" s="704"/>
      <c r="B73" s="705"/>
      <c r="C73" s="706"/>
      <c r="D73" s="707"/>
      <c r="E73" s="707"/>
      <c r="F73" s="708"/>
      <c r="G73" s="708"/>
      <c r="H73" s="708"/>
      <c r="I73" s="1114"/>
      <c r="J73" s="1115"/>
      <c r="K73" s="1115"/>
      <c r="L73" s="1116"/>
      <c r="M73" s="703"/>
      <c r="N73" s="685"/>
      <c r="O73" s="709"/>
      <c r="P73" s="685"/>
      <c r="Q73" s="685"/>
    </row>
    <row r="74" spans="1:17" ht="16.2" x14ac:dyDescent="0.4">
      <c r="A74" s="704"/>
      <c r="B74" s="705"/>
      <c r="C74" s="706"/>
      <c r="D74" s="707"/>
      <c r="E74" s="707"/>
      <c r="F74" s="708"/>
      <c r="G74" s="708"/>
      <c r="H74" s="708"/>
      <c r="I74" s="1114"/>
      <c r="J74" s="1115"/>
      <c r="K74" s="1115"/>
      <c r="L74" s="1116"/>
      <c r="M74" s="703"/>
      <c r="N74" s="685"/>
      <c r="O74" s="709"/>
      <c r="P74" s="685"/>
      <c r="Q74" s="685"/>
    </row>
    <row r="75" spans="1:17" ht="16.2" x14ac:dyDescent="0.4">
      <c r="A75" s="704"/>
      <c r="B75" s="705"/>
      <c r="C75" s="706"/>
      <c r="D75" s="707"/>
      <c r="E75" s="707"/>
      <c r="F75" s="708"/>
      <c r="G75" s="708"/>
      <c r="H75" s="708"/>
      <c r="I75" s="1114"/>
      <c r="J75" s="1115"/>
      <c r="K75" s="1115"/>
      <c r="L75" s="1116"/>
      <c r="M75" s="703"/>
      <c r="N75" s="710"/>
      <c r="O75" s="709"/>
      <c r="P75" s="685"/>
      <c r="Q75" s="678"/>
    </row>
    <row r="76" spans="1:17" ht="16.2" x14ac:dyDescent="0.4">
      <c r="A76" s="704"/>
      <c r="B76" s="705"/>
      <c r="C76" s="706"/>
      <c r="D76" s="707"/>
      <c r="E76" s="707"/>
      <c r="F76" s="708"/>
      <c r="G76" s="708"/>
      <c r="H76" s="708"/>
      <c r="I76" s="1114"/>
      <c r="J76" s="1115"/>
      <c r="K76" s="1115"/>
      <c r="L76" s="1116"/>
      <c r="M76" s="703"/>
      <c r="N76" s="710"/>
      <c r="O76" s="709"/>
      <c r="P76" s="685"/>
      <c r="Q76" s="678"/>
    </row>
    <row r="77" spans="1:17" ht="16.2" x14ac:dyDescent="0.4">
      <c r="A77" s="704"/>
      <c r="B77" s="705"/>
      <c r="C77" s="706"/>
      <c r="D77" s="707"/>
      <c r="E77" s="707"/>
      <c r="F77" s="708"/>
      <c r="G77" s="708"/>
      <c r="H77" s="708"/>
      <c r="I77" s="1114"/>
      <c r="J77" s="1115"/>
      <c r="K77" s="1115"/>
      <c r="L77" s="1116"/>
      <c r="M77" s="703"/>
      <c r="N77" s="685"/>
      <c r="O77" s="709"/>
      <c r="P77" s="685"/>
      <c r="Q77" s="685"/>
    </row>
    <row r="78" spans="1:17" ht="16.2" x14ac:dyDescent="0.4">
      <c r="A78" s="704"/>
      <c r="B78" s="705"/>
      <c r="C78" s="706"/>
      <c r="D78" s="707"/>
      <c r="E78" s="707"/>
      <c r="F78" s="708"/>
      <c r="G78" s="708"/>
      <c r="H78" s="708"/>
      <c r="I78" s="1114"/>
      <c r="J78" s="1115"/>
      <c r="K78" s="1115"/>
      <c r="L78" s="1116"/>
      <c r="M78" s="703"/>
      <c r="N78" s="685"/>
      <c r="O78" s="709"/>
      <c r="P78" s="685"/>
      <c r="Q78" s="685"/>
    </row>
    <row r="79" spans="1:17" ht="16.2" x14ac:dyDescent="0.4">
      <c r="A79" s="704"/>
      <c r="B79" s="705"/>
      <c r="C79" s="706"/>
      <c r="D79" s="707"/>
      <c r="E79" s="707"/>
      <c r="F79" s="708"/>
      <c r="G79" s="708"/>
      <c r="H79" s="708"/>
      <c r="I79" s="1114"/>
      <c r="J79" s="1115"/>
      <c r="K79" s="1115"/>
      <c r="L79" s="1116"/>
      <c r="M79" s="703"/>
      <c r="N79" s="685"/>
      <c r="O79" s="709"/>
      <c r="P79" s="685"/>
      <c r="Q79" s="685"/>
    </row>
    <row r="80" spans="1:17" ht="16.2" x14ac:dyDescent="0.4">
      <c r="A80" s="704"/>
      <c r="B80" s="705"/>
      <c r="C80" s="706"/>
      <c r="D80" s="707"/>
      <c r="E80" s="707"/>
      <c r="F80" s="708"/>
      <c r="G80" s="708"/>
      <c r="H80" s="708"/>
      <c r="I80" s="1114"/>
      <c r="J80" s="1115"/>
      <c r="K80" s="1115"/>
      <c r="L80" s="1116"/>
      <c r="M80" s="703"/>
      <c r="N80" s="685"/>
      <c r="O80" s="709"/>
      <c r="P80" s="685"/>
      <c r="Q80" s="685"/>
    </row>
    <row r="81" spans="1:17" ht="16.2" x14ac:dyDescent="0.4">
      <c r="A81" s="704"/>
      <c r="B81" s="705"/>
      <c r="C81" s="706"/>
      <c r="D81" s="707"/>
      <c r="E81" s="707"/>
      <c r="F81" s="708"/>
      <c r="G81" s="708"/>
      <c r="H81" s="708"/>
      <c r="I81" s="1114"/>
      <c r="J81" s="1115"/>
      <c r="K81" s="1115"/>
      <c r="L81" s="1116"/>
      <c r="M81" s="703"/>
      <c r="N81" s="685"/>
      <c r="O81" s="709"/>
      <c r="P81" s="685"/>
      <c r="Q81" s="685"/>
    </row>
    <row r="82" spans="1:17" ht="16.2" x14ac:dyDescent="0.4">
      <c r="A82" s="704"/>
      <c r="B82" s="705"/>
      <c r="C82" s="706"/>
      <c r="D82" s="707"/>
      <c r="E82" s="707"/>
      <c r="F82" s="708"/>
      <c r="G82" s="708"/>
      <c r="H82" s="708"/>
      <c r="I82" s="1114"/>
      <c r="J82" s="1115"/>
      <c r="K82" s="1115"/>
      <c r="L82" s="1116"/>
      <c r="M82" s="703"/>
      <c r="N82" s="685"/>
      <c r="O82" s="709"/>
      <c r="P82" s="685"/>
      <c r="Q82" s="685"/>
    </row>
    <row r="83" spans="1:17" ht="16.2" x14ac:dyDescent="0.4">
      <c r="A83" s="704"/>
      <c r="B83" s="705"/>
      <c r="C83" s="706"/>
      <c r="D83" s="707"/>
      <c r="E83" s="707"/>
      <c r="F83" s="708"/>
      <c r="G83" s="708"/>
      <c r="H83" s="708"/>
      <c r="I83" s="1114"/>
      <c r="J83" s="1115"/>
      <c r="K83" s="1115"/>
      <c r="L83" s="1116"/>
      <c r="M83" s="703"/>
      <c r="N83" s="710"/>
      <c r="O83" s="547"/>
      <c r="P83" s="699"/>
      <c r="Q83" s="699"/>
    </row>
    <row r="84" spans="1:17" ht="16.2" x14ac:dyDescent="0.4">
      <c r="A84" s="704"/>
      <c r="B84" s="705"/>
      <c r="C84" s="706"/>
      <c r="D84" s="707"/>
      <c r="E84" s="707"/>
      <c r="F84" s="708"/>
      <c r="G84" s="708"/>
      <c r="H84" s="708"/>
      <c r="I84" s="1114"/>
      <c r="J84" s="1115"/>
      <c r="K84" s="1115"/>
      <c r="L84" s="1116"/>
      <c r="M84" s="703"/>
      <c r="N84" s="710"/>
      <c r="O84" s="709"/>
      <c r="P84" s="685"/>
      <c r="Q84" s="678"/>
    </row>
    <row r="85" spans="1:17" ht="16.2" x14ac:dyDescent="0.4">
      <c r="A85" s="704"/>
      <c r="B85" s="705"/>
      <c r="C85" s="706"/>
      <c r="D85" s="707"/>
      <c r="E85" s="707"/>
      <c r="F85" s="708"/>
      <c r="G85" s="708"/>
      <c r="H85" s="708"/>
      <c r="I85" s="1114"/>
      <c r="J85" s="1115"/>
      <c r="K85" s="1115"/>
      <c r="L85" s="1116"/>
      <c r="M85" s="703"/>
      <c r="N85" s="710"/>
      <c r="O85" s="709"/>
      <c r="P85" s="699"/>
      <c r="Q85" s="692"/>
    </row>
    <row r="86" spans="1:17" ht="16.2" x14ac:dyDescent="0.4">
      <c r="A86" s="704"/>
      <c r="B86" s="705"/>
      <c r="C86" s="706"/>
      <c r="D86" s="707"/>
      <c r="E86" s="707"/>
      <c r="F86" s="708"/>
      <c r="G86" s="708"/>
      <c r="H86" s="708"/>
      <c r="I86" s="1114"/>
      <c r="J86" s="1115"/>
      <c r="K86" s="1115"/>
      <c r="L86" s="1116"/>
      <c r="M86" s="703"/>
      <c r="N86" s="685"/>
      <c r="O86" s="709"/>
      <c r="P86" s="685"/>
      <c r="Q86" s="685"/>
    </row>
    <row r="87" spans="1:17" ht="16.2" x14ac:dyDescent="0.4">
      <c r="A87" s="704"/>
      <c r="B87" s="705"/>
      <c r="C87" s="706"/>
      <c r="D87" s="707"/>
      <c r="E87" s="707"/>
      <c r="F87" s="708"/>
      <c r="G87" s="708"/>
      <c r="H87" s="708"/>
      <c r="I87" s="1114"/>
      <c r="J87" s="1115"/>
      <c r="K87" s="1115"/>
      <c r="L87" s="1116"/>
      <c r="M87" s="703"/>
      <c r="N87" s="685"/>
      <c r="O87" s="709"/>
      <c r="P87" s="685"/>
      <c r="Q87" s="685"/>
    </row>
    <row r="88" spans="1:17" ht="16.2" x14ac:dyDescent="0.4">
      <c r="A88" s="704"/>
      <c r="B88" s="705"/>
      <c r="C88" s="706"/>
      <c r="D88" s="707"/>
      <c r="E88" s="707"/>
      <c r="F88" s="708"/>
      <c r="G88" s="708"/>
      <c r="H88" s="708"/>
      <c r="I88" s="1114"/>
      <c r="J88" s="1115"/>
      <c r="K88" s="1115"/>
      <c r="L88" s="1116"/>
      <c r="M88" s="703"/>
      <c r="N88" s="710"/>
      <c r="O88" s="709"/>
      <c r="P88" s="685"/>
      <c r="Q88" s="678"/>
    </row>
    <row r="89" spans="1:17" ht="16.2" x14ac:dyDescent="0.4">
      <c r="A89" s="704"/>
      <c r="B89" s="705"/>
      <c r="C89" s="706"/>
      <c r="D89" s="707"/>
      <c r="E89" s="707"/>
      <c r="F89" s="708"/>
      <c r="G89" s="708"/>
      <c r="H89" s="708"/>
      <c r="I89" s="1114"/>
      <c r="J89" s="1115"/>
      <c r="K89" s="1115"/>
      <c r="L89" s="1116"/>
      <c r="M89" s="703"/>
      <c r="N89" s="710"/>
      <c r="O89" s="709"/>
      <c r="P89" s="685"/>
      <c r="Q89" s="678"/>
    </row>
    <row r="90" spans="1:17" ht="16.2" x14ac:dyDescent="0.4">
      <c r="A90" s="704"/>
      <c r="B90" s="705"/>
      <c r="C90" s="706"/>
      <c r="D90" s="707"/>
      <c r="E90" s="707"/>
      <c r="F90" s="708"/>
      <c r="G90" s="708"/>
      <c r="H90" s="708"/>
      <c r="I90" s="1114"/>
      <c r="J90" s="1115"/>
      <c r="K90" s="1115"/>
      <c r="L90" s="1116"/>
      <c r="M90" s="703"/>
      <c r="N90" s="685"/>
      <c r="O90" s="709"/>
      <c r="P90" s="685"/>
      <c r="Q90" s="685"/>
    </row>
    <row r="91" spans="1:17" ht="16.2" x14ac:dyDescent="0.4">
      <c r="A91" s="704"/>
      <c r="B91" s="705"/>
      <c r="C91" s="706"/>
      <c r="D91" s="707"/>
      <c r="E91" s="707"/>
      <c r="F91" s="708"/>
      <c r="G91" s="708"/>
      <c r="H91" s="708"/>
      <c r="I91" s="1114"/>
      <c r="J91" s="1115"/>
      <c r="K91" s="1115"/>
      <c r="L91" s="1116"/>
      <c r="M91" s="703"/>
      <c r="N91" s="685"/>
      <c r="O91" s="709"/>
      <c r="P91" s="685"/>
      <c r="Q91" s="685"/>
    </row>
    <row r="92" spans="1:17" ht="16.2" x14ac:dyDescent="0.4">
      <c r="A92" s="704"/>
      <c r="B92" s="705"/>
      <c r="C92" s="706"/>
      <c r="D92" s="707"/>
      <c r="E92" s="707"/>
      <c r="F92" s="708"/>
      <c r="G92" s="708"/>
      <c r="H92" s="708"/>
      <c r="I92" s="1114"/>
      <c r="J92" s="1115"/>
      <c r="K92" s="1115"/>
      <c r="L92" s="1116"/>
      <c r="M92" s="703"/>
      <c r="N92" s="685"/>
      <c r="O92" s="709"/>
      <c r="P92" s="685"/>
      <c r="Q92" s="685"/>
    </row>
    <row r="93" spans="1:17" x14ac:dyDescent="0.3">
      <c r="A93" s="704"/>
      <c r="B93" s="705"/>
      <c r="C93" s="706"/>
      <c r="D93" s="707"/>
      <c r="E93" s="707"/>
      <c r="F93" s="708"/>
      <c r="G93" s="708"/>
      <c r="H93" s="708"/>
      <c r="I93" s="1114"/>
      <c r="J93" s="1115"/>
      <c r="K93" s="1115"/>
      <c r="L93" s="1116"/>
      <c r="M93" s="685"/>
      <c r="N93" s="685"/>
      <c r="O93" s="709"/>
      <c r="P93" s="685"/>
      <c r="Q93" s="685"/>
    </row>
    <row r="94" spans="1:17" x14ac:dyDescent="0.3">
      <c r="A94" s="704"/>
      <c r="B94" s="705"/>
      <c r="C94" s="706"/>
      <c r="D94" s="707"/>
      <c r="E94" s="707"/>
      <c r="F94" s="708"/>
      <c r="G94" s="708"/>
      <c r="H94" s="708"/>
      <c r="I94" s="1114"/>
      <c r="J94" s="1115"/>
      <c r="K94" s="1115"/>
      <c r="L94" s="1116"/>
      <c r="M94" s="685"/>
      <c r="N94" s="710"/>
      <c r="O94" s="709"/>
      <c r="P94" s="685"/>
      <c r="Q94" s="678"/>
    </row>
    <row r="95" spans="1:17" x14ac:dyDescent="0.3">
      <c r="A95" s="704"/>
      <c r="B95" s="705"/>
      <c r="C95" s="706"/>
      <c r="D95" s="707"/>
      <c r="E95" s="707"/>
      <c r="F95" s="708"/>
      <c r="G95" s="708"/>
      <c r="H95" s="708"/>
      <c r="I95" s="1114"/>
      <c r="J95" s="1115"/>
      <c r="K95" s="1115"/>
      <c r="L95" s="1116"/>
      <c r="M95" s="685"/>
      <c r="N95" s="685"/>
      <c r="O95" s="709"/>
      <c r="P95" s="685"/>
      <c r="Q95" s="685"/>
    </row>
    <row r="96" spans="1:17" x14ac:dyDescent="0.3">
      <c r="A96" s="704"/>
      <c r="B96" s="705"/>
      <c r="C96" s="706"/>
      <c r="D96" s="707"/>
      <c r="E96" s="707"/>
      <c r="F96" s="708"/>
      <c r="G96" s="708"/>
      <c r="H96" s="708"/>
      <c r="I96" s="1114"/>
      <c r="J96" s="1115"/>
      <c r="K96" s="1115"/>
      <c r="L96" s="1116"/>
      <c r="M96" s="685"/>
      <c r="N96" s="685"/>
      <c r="O96" s="709"/>
      <c r="P96" s="685"/>
      <c r="Q96" s="685"/>
    </row>
    <row r="97" spans="1:17" x14ac:dyDescent="0.3">
      <c r="A97" s="704"/>
      <c r="B97" s="705"/>
      <c r="C97" s="704"/>
      <c r="D97" s="712"/>
      <c r="E97" s="707"/>
      <c r="F97" s="708"/>
      <c r="G97" s="708"/>
      <c r="H97" s="708"/>
      <c r="I97" s="1114"/>
      <c r="J97" s="1115"/>
      <c r="K97" s="1115"/>
      <c r="L97" s="1116"/>
      <c r="M97" s="685"/>
      <c r="N97" s="710"/>
      <c r="O97" s="709"/>
      <c r="P97" s="699"/>
      <c r="Q97" s="692"/>
    </row>
    <row r="98" spans="1:17" x14ac:dyDescent="0.3">
      <c r="A98" s="704"/>
      <c r="B98" s="705"/>
      <c r="C98" s="706"/>
      <c r="D98" s="712"/>
      <c r="E98" s="707"/>
      <c r="F98" s="708"/>
      <c r="G98" s="708"/>
      <c r="H98" s="708"/>
      <c r="I98" s="1114"/>
      <c r="J98" s="1115"/>
      <c r="K98" s="1115"/>
      <c r="L98" s="1116"/>
      <c r="M98" s="685"/>
      <c r="N98" s="685"/>
      <c r="O98" s="709"/>
      <c r="P98" s="685"/>
      <c r="Q98" s="685"/>
    </row>
    <row r="99" spans="1:17" ht="13.8" x14ac:dyDescent="0.3">
      <c r="A99" s="704"/>
      <c r="B99" s="705"/>
      <c r="C99" s="706"/>
      <c r="D99" s="712"/>
      <c r="E99" s="707"/>
      <c r="F99" s="708"/>
      <c r="G99" s="708"/>
      <c r="H99" s="708"/>
      <c r="I99" s="1114"/>
      <c r="J99" s="1115"/>
      <c r="K99" s="1115"/>
      <c r="L99" s="1116"/>
      <c r="M99" s="685"/>
      <c r="N99" s="710"/>
      <c r="O99" s="594"/>
      <c r="P99" s="685"/>
      <c r="Q99" s="678"/>
    </row>
    <row r="100" spans="1:17" x14ac:dyDescent="0.3">
      <c r="A100" s="704"/>
      <c r="B100" s="705"/>
      <c r="C100" s="706"/>
      <c r="D100" s="712"/>
      <c r="E100" s="707"/>
      <c r="F100" s="708"/>
      <c r="G100" s="708"/>
      <c r="H100" s="708"/>
      <c r="I100" s="1114"/>
      <c r="J100" s="1115"/>
      <c r="K100" s="1115"/>
      <c r="L100" s="1116"/>
      <c r="M100" s="685"/>
      <c r="N100" s="685"/>
      <c r="O100" s="709"/>
      <c r="P100" s="685"/>
      <c r="Q100" s="685"/>
    </row>
    <row r="101" spans="1:17" x14ac:dyDescent="0.3">
      <c r="A101" s="704"/>
      <c r="B101" s="705"/>
      <c r="C101" s="706"/>
      <c r="D101" s="712"/>
      <c r="E101" s="707"/>
      <c r="F101" s="708"/>
      <c r="G101" s="708"/>
      <c r="H101" s="708"/>
      <c r="I101" s="1114"/>
      <c r="J101" s="1115"/>
      <c r="K101" s="1115"/>
      <c r="L101" s="1116"/>
      <c r="M101" s="685"/>
      <c r="N101" s="685"/>
      <c r="O101" s="709"/>
      <c r="P101" s="685"/>
      <c r="Q101" s="685"/>
    </row>
    <row r="102" spans="1:17" x14ac:dyDescent="0.3">
      <c r="A102" s="704"/>
      <c r="B102" s="705"/>
      <c r="C102" s="704"/>
      <c r="D102" s="712"/>
      <c r="E102" s="707"/>
      <c r="F102" s="708"/>
      <c r="G102" s="708"/>
      <c r="H102" s="708"/>
      <c r="I102" s="1114"/>
      <c r="J102" s="1115"/>
      <c r="K102" s="1115"/>
      <c r="L102" s="1116"/>
      <c r="M102" s="685"/>
      <c r="N102" s="685"/>
      <c r="O102" s="709"/>
      <c r="P102" s="685"/>
      <c r="Q102" s="685"/>
    </row>
    <row r="103" spans="1:17" x14ac:dyDescent="0.3">
      <c r="A103" s="704"/>
      <c r="B103" s="705"/>
      <c r="C103" s="706"/>
      <c r="D103" s="712"/>
      <c r="E103" s="707"/>
      <c r="F103" s="708"/>
      <c r="G103" s="708"/>
      <c r="H103" s="708"/>
      <c r="I103" s="1114"/>
      <c r="J103" s="1115"/>
      <c r="K103" s="1115"/>
      <c r="L103" s="1116"/>
      <c r="M103" s="685"/>
      <c r="N103" s="710"/>
      <c r="O103" s="709"/>
      <c r="P103" s="685"/>
      <c r="Q103" s="685"/>
    </row>
    <row r="104" spans="1:17" x14ac:dyDescent="0.3">
      <c r="A104" s="704"/>
      <c r="B104" s="705"/>
      <c r="C104" s="704"/>
      <c r="D104" s="712"/>
      <c r="E104" s="707"/>
      <c r="F104" s="708"/>
      <c r="G104" s="708"/>
      <c r="H104" s="708"/>
      <c r="I104" s="1114"/>
      <c r="J104" s="1115"/>
      <c r="K104" s="1115"/>
      <c r="L104" s="1116"/>
      <c r="M104" s="685"/>
      <c r="N104" s="685"/>
      <c r="O104" s="709"/>
      <c r="P104" s="685"/>
      <c r="Q104" s="685"/>
    </row>
    <row r="105" spans="1:17" x14ac:dyDescent="0.3">
      <c r="A105" s="704"/>
      <c r="B105" s="705"/>
      <c r="C105" s="704"/>
      <c r="D105" s="712"/>
      <c r="E105" s="707"/>
      <c r="F105" s="708"/>
      <c r="G105" s="708"/>
      <c r="H105" s="708"/>
      <c r="I105" s="1114"/>
      <c r="J105" s="1115"/>
      <c r="K105" s="1115"/>
      <c r="L105" s="1116"/>
      <c r="M105" s="685"/>
      <c r="N105" s="685"/>
      <c r="O105" s="709"/>
      <c r="P105" s="685"/>
      <c r="Q105" s="685"/>
    </row>
    <row r="106" spans="1:17" x14ac:dyDescent="0.3">
      <c r="A106" s="704"/>
      <c r="B106" s="705"/>
      <c r="C106" s="706"/>
      <c r="D106" s="707"/>
      <c r="E106" s="707"/>
      <c r="F106" s="708"/>
      <c r="G106" s="708"/>
      <c r="H106" s="708"/>
      <c r="I106" s="1114"/>
      <c r="J106" s="1115"/>
      <c r="K106" s="1115"/>
      <c r="L106" s="1116"/>
      <c r="M106" s="685"/>
      <c r="N106" s="685"/>
      <c r="O106" s="709"/>
      <c r="P106" s="685"/>
      <c r="Q106" s="685"/>
    </row>
    <row r="107" spans="1:17" x14ac:dyDescent="0.3">
      <c r="A107" s="704"/>
      <c r="B107" s="705"/>
      <c r="C107" s="706"/>
      <c r="D107" s="707"/>
      <c r="E107" s="707"/>
      <c r="F107" s="708"/>
      <c r="G107" s="708"/>
      <c r="H107" s="708"/>
      <c r="I107" s="1114"/>
      <c r="J107" s="1115"/>
      <c r="K107" s="1115"/>
      <c r="L107" s="1116"/>
      <c r="M107" s="685"/>
      <c r="N107" s="685"/>
      <c r="O107" s="709"/>
      <c r="P107" s="685"/>
      <c r="Q107" s="685"/>
    </row>
    <row r="108" spans="1:17" x14ac:dyDescent="0.3">
      <c r="A108" s="704"/>
      <c r="B108" s="705"/>
      <c r="C108" s="706"/>
      <c r="D108" s="707"/>
      <c r="E108" s="707"/>
      <c r="F108" s="708"/>
      <c r="G108" s="708"/>
      <c r="H108" s="708"/>
      <c r="I108" s="1114"/>
      <c r="J108" s="1115"/>
      <c r="K108" s="1115"/>
      <c r="L108" s="1116"/>
      <c r="M108" s="685"/>
      <c r="N108" s="710"/>
      <c r="O108" s="709"/>
      <c r="P108" s="685"/>
      <c r="Q108" s="678"/>
    </row>
    <row r="109" spans="1:17" x14ac:dyDescent="0.3">
      <c r="A109" s="704"/>
      <c r="B109" s="705"/>
      <c r="C109" s="706"/>
      <c r="D109" s="707"/>
      <c r="E109" s="707"/>
      <c r="F109" s="708"/>
      <c r="G109" s="708"/>
      <c r="H109" s="708"/>
      <c r="I109" s="1114"/>
      <c r="J109" s="1115"/>
      <c r="K109" s="1115"/>
      <c r="L109" s="1116"/>
      <c r="M109" s="685"/>
      <c r="N109" s="710"/>
      <c r="O109" s="709"/>
      <c r="P109" s="685"/>
      <c r="Q109" s="678"/>
    </row>
    <row r="110" spans="1:17" x14ac:dyDescent="0.3">
      <c r="A110" s="704"/>
      <c r="B110" s="705"/>
      <c r="C110" s="706"/>
      <c r="D110" s="707"/>
      <c r="E110" s="707"/>
      <c r="F110" s="708"/>
      <c r="G110" s="708"/>
      <c r="H110" s="708"/>
      <c r="I110" s="1114"/>
      <c r="J110" s="1115"/>
      <c r="K110" s="1115"/>
      <c r="L110" s="1116"/>
      <c r="M110" s="685"/>
      <c r="N110" s="710"/>
      <c r="O110" s="709"/>
      <c r="P110" s="685"/>
      <c r="Q110" s="685"/>
    </row>
    <row r="111" spans="1:17" x14ac:dyDescent="0.3">
      <c r="A111" s="704"/>
      <c r="B111" s="705"/>
      <c r="C111" s="706"/>
      <c r="D111" s="707"/>
      <c r="E111" s="707"/>
      <c r="F111" s="708"/>
      <c r="G111" s="708"/>
      <c r="H111" s="708"/>
      <c r="I111" s="1114"/>
      <c r="J111" s="1115"/>
      <c r="K111" s="1115"/>
      <c r="L111" s="1116"/>
      <c r="M111" s="685"/>
      <c r="N111" s="685"/>
      <c r="O111" s="709"/>
      <c r="P111" s="685"/>
      <c r="Q111" s="685"/>
    </row>
    <row r="112" spans="1:17" x14ac:dyDescent="0.3">
      <c r="A112" s="704"/>
      <c r="B112" s="705"/>
      <c r="C112" s="706"/>
      <c r="D112" s="707"/>
      <c r="E112" s="707"/>
      <c r="F112" s="708"/>
      <c r="G112" s="708"/>
      <c r="H112" s="708"/>
      <c r="I112" s="1114"/>
      <c r="J112" s="1115"/>
      <c r="K112" s="1115"/>
      <c r="L112" s="1116"/>
      <c r="M112" s="685"/>
      <c r="N112" s="685"/>
      <c r="O112" s="709"/>
      <c r="P112" s="685"/>
      <c r="Q112" s="685"/>
    </row>
    <row r="113" spans="1:17" x14ac:dyDescent="0.3">
      <c r="A113" s="704"/>
      <c r="B113" s="705"/>
      <c r="C113" s="706"/>
      <c r="D113" s="707"/>
      <c r="E113" s="707"/>
      <c r="F113" s="708"/>
      <c r="G113" s="708"/>
      <c r="H113" s="708"/>
      <c r="I113" s="1114"/>
      <c r="J113" s="1115"/>
      <c r="K113" s="1115"/>
      <c r="L113" s="1116"/>
      <c r="M113" s="685"/>
      <c r="N113" s="685"/>
      <c r="O113" s="709"/>
      <c r="P113" s="685"/>
      <c r="Q113" s="685"/>
    </row>
    <row r="114" spans="1:17" x14ac:dyDescent="0.3">
      <c r="A114" s="704"/>
      <c r="B114" s="705"/>
      <c r="C114" s="706"/>
      <c r="D114" s="707"/>
      <c r="E114" s="707"/>
      <c r="F114" s="708"/>
      <c r="G114" s="708"/>
      <c r="H114" s="708"/>
      <c r="I114" s="1114"/>
      <c r="J114" s="1115"/>
      <c r="K114" s="1115"/>
      <c r="L114" s="1116"/>
      <c r="M114" s="685"/>
      <c r="N114" s="710"/>
      <c r="O114" s="709"/>
      <c r="P114" s="699"/>
      <c r="Q114" s="699"/>
    </row>
    <row r="115" spans="1:17" x14ac:dyDescent="0.3">
      <c r="A115" s="704"/>
      <c r="B115" s="705"/>
      <c r="C115" s="706"/>
      <c r="D115" s="707"/>
      <c r="E115" s="707"/>
      <c r="F115" s="708"/>
      <c r="G115" s="708"/>
      <c r="H115" s="708"/>
      <c r="I115" s="1114"/>
      <c r="J115" s="1115"/>
      <c r="K115" s="1115"/>
      <c r="L115" s="1116"/>
      <c r="M115" s="685"/>
      <c r="N115" s="710"/>
      <c r="O115" s="709"/>
      <c r="P115" s="685"/>
      <c r="Q115" s="685"/>
    </row>
    <row r="116" spans="1:17" x14ac:dyDescent="0.3">
      <c r="A116" s="704"/>
      <c r="B116" s="705"/>
      <c r="C116" s="706"/>
      <c r="D116" s="707"/>
      <c r="E116" s="707"/>
      <c r="F116" s="708"/>
      <c r="G116" s="708"/>
      <c r="H116" s="708"/>
      <c r="I116" s="1114"/>
      <c r="J116" s="1115"/>
      <c r="K116" s="1115"/>
      <c r="L116" s="1116"/>
      <c r="M116" s="685"/>
      <c r="N116" s="685"/>
      <c r="O116" s="709"/>
      <c r="P116" s="685"/>
      <c r="Q116" s="685"/>
    </row>
    <row r="117" spans="1:17" ht="13.8" x14ac:dyDescent="0.3">
      <c r="A117" s="704"/>
      <c r="B117" s="705"/>
      <c r="C117" s="706"/>
      <c r="D117" s="707"/>
      <c r="E117" s="707"/>
      <c r="F117" s="708"/>
      <c r="G117" s="708"/>
      <c r="H117" s="708"/>
      <c r="I117" s="1114"/>
      <c r="J117" s="1115"/>
      <c r="K117" s="1115"/>
      <c r="L117" s="1116"/>
      <c r="M117" s="685"/>
      <c r="N117" s="710"/>
      <c r="O117" s="594"/>
      <c r="P117" s="685"/>
      <c r="Q117" s="678"/>
    </row>
    <row r="118" spans="1:17" ht="13.8" x14ac:dyDescent="0.3">
      <c r="A118" s="704"/>
      <c r="B118" s="705"/>
      <c r="C118" s="706"/>
      <c r="D118" s="707"/>
      <c r="E118" s="707"/>
      <c r="F118" s="708"/>
      <c r="G118" s="708"/>
      <c r="H118" s="708"/>
      <c r="I118" s="1114"/>
      <c r="J118" s="1115"/>
      <c r="K118" s="1115"/>
      <c r="L118" s="1116"/>
      <c r="M118" s="685"/>
      <c r="N118" s="710"/>
      <c r="O118" s="594"/>
      <c r="P118" s="685"/>
      <c r="Q118" s="678"/>
    </row>
    <row r="119" spans="1:17" x14ac:dyDescent="0.3">
      <c r="A119" s="704"/>
      <c r="B119" s="705"/>
      <c r="C119" s="706"/>
      <c r="D119" s="707"/>
      <c r="E119" s="707"/>
      <c r="F119" s="708"/>
      <c r="G119" s="708"/>
      <c r="H119" s="708"/>
      <c r="I119" s="1114"/>
      <c r="J119" s="1115"/>
      <c r="K119" s="1115"/>
      <c r="L119" s="1116"/>
      <c r="M119" s="685"/>
      <c r="N119" s="710"/>
      <c r="O119" s="709"/>
      <c r="P119" s="685"/>
      <c r="Q119" s="678"/>
    </row>
    <row r="120" spans="1:17" x14ac:dyDescent="0.3">
      <c r="A120" s="713"/>
      <c r="B120" s="714"/>
      <c r="C120" s="715"/>
      <c r="D120" s="716"/>
      <c r="E120" s="716"/>
      <c r="F120" s="717"/>
      <c r="G120" s="708"/>
      <c r="H120" s="708"/>
      <c r="I120" s="1111"/>
      <c r="J120" s="1112"/>
      <c r="K120" s="1112"/>
      <c r="L120" s="1113"/>
      <c r="M120" s="685"/>
      <c r="N120" s="685"/>
      <c r="O120" s="709"/>
      <c r="P120" s="685"/>
      <c r="Q120" s="685"/>
    </row>
    <row r="121" spans="1:17" x14ac:dyDescent="0.3">
      <c r="A121" s="713"/>
      <c r="B121" s="714"/>
      <c r="C121" s="715"/>
      <c r="D121" s="716"/>
      <c r="E121" s="716"/>
      <c r="F121" s="717"/>
      <c r="G121" s="708"/>
      <c r="H121" s="708"/>
      <c r="I121" s="1111"/>
      <c r="J121" s="1112"/>
      <c r="K121" s="1112"/>
      <c r="L121" s="1113"/>
      <c r="M121" s="685"/>
      <c r="N121" s="685"/>
      <c r="O121" s="709"/>
      <c r="P121" s="685"/>
      <c r="Q121" s="685"/>
    </row>
    <row r="122" spans="1:17" x14ac:dyDescent="0.3">
      <c r="A122" s="713"/>
      <c r="B122" s="714"/>
      <c r="C122" s="715"/>
      <c r="D122" s="716"/>
      <c r="E122" s="716"/>
      <c r="F122" s="717"/>
      <c r="G122" s="708"/>
      <c r="H122" s="708"/>
      <c r="I122" s="1111"/>
      <c r="J122" s="1112"/>
      <c r="K122" s="1112"/>
      <c r="L122" s="1113"/>
      <c r="M122" s="685"/>
      <c r="N122" s="685"/>
      <c r="O122" s="709"/>
      <c r="P122" s="685"/>
      <c r="Q122" s="685"/>
    </row>
    <row r="123" spans="1:17" x14ac:dyDescent="0.3">
      <c r="A123" s="713"/>
      <c r="B123" s="714"/>
      <c r="C123" s="715"/>
      <c r="D123" s="716"/>
      <c r="E123" s="716"/>
      <c r="F123" s="717"/>
      <c r="G123" s="708"/>
      <c r="H123" s="708"/>
      <c r="I123" s="1111"/>
      <c r="J123" s="1112"/>
      <c r="K123" s="1112"/>
      <c r="L123" s="1113"/>
      <c r="M123" s="685"/>
      <c r="N123" s="685"/>
      <c r="O123" s="709"/>
      <c r="P123" s="685"/>
      <c r="Q123" s="685"/>
    </row>
    <row r="124" spans="1:17" ht="13.8" x14ac:dyDescent="0.3">
      <c r="A124" s="713"/>
      <c r="B124" s="714"/>
      <c r="C124" s="715"/>
      <c r="D124" s="716"/>
      <c r="E124" s="716"/>
      <c r="F124" s="717"/>
      <c r="G124" s="708"/>
      <c r="H124" s="708"/>
      <c r="I124" s="1111"/>
      <c r="J124" s="1112"/>
      <c r="K124" s="1112"/>
      <c r="L124" s="1113"/>
      <c r="M124" s="685"/>
      <c r="N124" s="710"/>
      <c r="O124" s="594"/>
      <c r="P124" s="685"/>
      <c r="Q124" s="678"/>
    </row>
    <row r="125" spans="1:17" x14ac:dyDescent="0.3">
      <c r="A125" s="713"/>
      <c r="B125" s="714"/>
      <c r="C125" s="715"/>
      <c r="D125" s="716"/>
      <c r="E125" s="716"/>
      <c r="F125" s="717"/>
      <c r="G125" s="708"/>
      <c r="H125" s="708"/>
      <c r="I125" s="1111"/>
      <c r="J125" s="1112"/>
      <c r="K125" s="1112"/>
      <c r="L125" s="1113"/>
      <c r="M125" s="685"/>
      <c r="N125" s="710"/>
      <c r="O125" s="709"/>
      <c r="P125" s="685"/>
      <c r="Q125" s="678"/>
    </row>
    <row r="126" spans="1:17" x14ac:dyDescent="0.3">
      <c r="A126" s="713"/>
      <c r="B126" s="714"/>
      <c r="C126" s="715"/>
      <c r="D126" s="716"/>
      <c r="E126" s="716"/>
      <c r="F126" s="717"/>
      <c r="G126" s="708"/>
      <c r="H126" s="708"/>
      <c r="I126" s="1111"/>
      <c r="J126" s="1112"/>
      <c r="K126" s="1112"/>
      <c r="L126" s="1113"/>
      <c r="M126" s="685"/>
      <c r="N126" s="710"/>
      <c r="O126" s="709"/>
      <c r="P126" s="685"/>
      <c r="Q126" s="685"/>
    </row>
    <row r="127" spans="1:17" x14ac:dyDescent="0.3">
      <c r="A127" s="713"/>
      <c r="B127" s="714"/>
      <c r="C127" s="715"/>
      <c r="D127" s="716"/>
      <c r="E127" s="716"/>
      <c r="F127" s="717"/>
      <c r="G127" s="708"/>
      <c r="H127" s="708"/>
      <c r="I127" s="1111"/>
      <c r="J127" s="1112"/>
      <c r="K127" s="1112"/>
      <c r="L127" s="1113"/>
      <c r="M127" s="685"/>
      <c r="N127" s="685"/>
      <c r="O127" s="709"/>
      <c r="P127" s="685"/>
      <c r="Q127" s="685"/>
    </row>
    <row r="128" spans="1:17" ht="13.8" x14ac:dyDescent="0.3">
      <c r="A128" s="713"/>
      <c r="B128" s="714"/>
      <c r="C128" s="715"/>
      <c r="D128" s="716"/>
      <c r="E128" s="716"/>
      <c r="F128" s="717"/>
      <c r="G128" s="708"/>
      <c r="H128" s="708"/>
      <c r="I128" s="1111"/>
      <c r="J128" s="1112"/>
      <c r="K128" s="1112"/>
      <c r="L128" s="1113"/>
      <c r="M128" s="685"/>
      <c r="N128" s="710"/>
      <c r="O128" s="595"/>
      <c r="P128" s="685"/>
      <c r="Q128" s="685"/>
    </row>
    <row r="129" spans="1:17" x14ac:dyDescent="0.3">
      <c r="A129" s="713"/>
      <c r="B129" s="714"/>
      <c r="C129" s="715"/>
      <c r="D129" s="716"/>
      <c r="E129" s="716"/>
      <c r="F129" s="717"/>
      <c r="G129" s="708"/>
      <c r="H129" s="708"/>
      <c r="I129" s="1111"/>
      <c r="J129" s="1112"/>
      <c r="K129" s="1112"/>
      <c r="L129" s="1113"/>
      <c r="M129" s="685"/>
      <c r="N129" s="685"/>
      <c r="O129" s="718"/>
      <c r="P129" s="685"/>
      <c r="Q129" s="685"/>
    </row>
    <row r="130" spans="1:17" x14ac:dyDescent="0.3">
      <c r="A130" s="713"/>
      <c r="B130" s="714"/>
      <c r="C130" s="715"/>
      <c r="D130" s="716"/>
      <c r="E130" s="716"/>
      <c r="F130" s="717"/>
      <c r="G130" s="708"/>
      <c r="H130" s="708"/>
      <c r="I130" s="1111"/>
      <c r="J130" s="1112"/>
      <c r="K130" s="1112"/>
      <c r="L130" s="1113"/>
      <c r="M130" s="685"/>
      <c r="N130" s="685"/>
      <c r="O130" s="718"/>
      <c r="P130" s="685"/>
      <c r="Q130" s="685"/>
    </row>
    <row r="131" spans="1:17" x14ac:dyDescent="0.3">
      <c r="A131" s="713"/>
      <c r="B131" s="714"/>
      <c r="C131" s="715"/>
      <c r="D131" s="716"/>
      <c r="E131" s="716"/>
      <c r="F131" s="717"/>
      <c r="G131" s="708"/>
      <c r="H131" s="708"/>
      <c r="I131" s="1111"/>
      <c r="J131" s="1112"/>
      <c r="K131" s="1112"/>
      <c r="L131" s="1113"/>
      <c r="M131" s="685"/>
      <c r="N131" s="685"/>
      <c r="O131" s="718"/>
      <c r="P131" s="685"/>
      <c r="Q131" s="685"/>
    </row>
    <row r="132" spans="1:17" x14ac:dyDescent="0.3">
      <c r="A132" s="713"/>
      <c r="B132" s="714"/>
      <c r="C132" s="715"/>
      <c r="D132" s="716"/>
      <c r="E132" s="716"/>
      <c r="F132" s="717"/>
      <c r="G132" s="708"/>
      <c r="H132" s="708"/>
      <c r="I132" s="1111"/>
      <c r="J132" s="1112"/>
      <c r="K132" s="1112"/>
      <c r="L132" s="1113"/>
      <c r="M132" s="685"/>
      <c r="N132" s="710"/>
      <c r="O132" s="718"/>
      <c r="P132" s="685"/>
      <c r="Q132" s="685"/>
    </row>
    <row r="133" spans="1:17" x14ac:dyDescent="0.3">
      <c r="A133" s="713"/>
      <c r="B133" s="714"/>
      <c r="C133" s="715"/>
      <c r="D133" s="716"/>
      <c r="E133" s="716"/>
      <c r="F133" s="717"/>
      <c r="G133" s="708"/>
      <c r="H133" s="708"/>
      <c r="I133" s="1111"/>
      <c r="J133" s="1112"/>
      <c r="K133" s="1112"/>
      <c r="L133" s="1113"/>
      <c r="M133" s="685"/>
      <c r="N133" s="685"/>
      <c r="O133" s="718"/>
      <c r="P133" s="685"/>
      <c r="Q133" s="685"/>
    </row>
    <row r="134" spans="1:17" ht="13.8" x14ac:dyDescent="0.3">
      <c r="A134" s="713"/>
      <c r="B134" s="714"/>
      <c r="C134" s="715"/>
      <c r="D134" s="716"/>
      <c r="E134" s="716"/>
      <c r="F134" s="717"/>
      <c r="G134" s="708"/>
      <c r="H134" s="708"/>
      <c r="I134" s="1111"/>
      <c r="J134" s="1112"/>
      <c r="K134" s="1112"/>
      <c r="L134" s="1113"/>
      <c r="M134" s="685"/>
      <c r="N134" s="710"/>
      <c r="O134" s="595"/>
      <c r="P134" s="685"/>
      <c r="Q134" s="678"/>
    </row>
    <row r="135" spans="1:17" ht="13.8" x14ac:dyDescent="0.3">
      <c r="A135" s="713"/>
      <c r="B135" s="714"/>
      <c r="C135" s="715"/>
      <c r="D135" s="716"/>
      <c r="E135" s="716"/>
      <c r="F135" s="717"/>
      <c r="G135" s="708"/>
      <c r="H135" s="708"/>
      <c r="I135" s="1111"/>
      <c r="J135" s="1112"/>
      <c r="K135" s="1112"/>
      <c r="L135" s="1113"/>
      <c r="M135" s="685"/>
      <c r="N135" s="710"/>
      <c r="O135" s="595"/>
      <c r="P135" s="685"/>
      <c r="Q135" s="678"/>
    </row>
    <row r="136" spans="1:17" x14ac:dyDescent="0.3">
      <c r="A136" s="713"/>
      <c r="B136" s="714"/>
      <c r="C136" s="715"/>
      <c r="D136" s="716"/>
      <c r="E136" s="716"/>
      <c r="F136" s="717"/>
      <c r="G136" s="708"/>
      <c r="H136" s="708"/>
      <c r="I136" s="1111"/>
      <c r="J136" s="1112"/>
      <c r="K136" s="1112"/>
      <c r="L136" s="1113"/>
      <c r="M136" s="685"/>
      <c r="N136" s="685"/>
      <c r="O136" s="718"/>
      <c r="P136" s="685"/>
      <c r="Q136" s="685"/>
    </row>
    <row r="137" spans="1:17" x14ac:dyDescent="0.3">
      <c r="A137" s="713"/>
      <c r="B137" s="714"/>
      <c r="C137" s="715"/>
      <c r="D137" s="716"/>
      <c r="E137" s="716"/>
      <c r="F137" s="717"/>
      <c r="G137" s="708"/>
      <c r="H137" s="708"/>
      <c r="I137" s="1111"/>
      <c r="J137" s="1112"/>
      <c r="K137" s="1112"/>
      <c r="L137" s="1113"/>
      <c r="M137" s="685"/>
      <c r="N137" s="685"/>
      <c r="O137" s="718"/>
      <c r="P137" s="685"/>
      <c r="Q137" s="685"/>
    </row>
    <row r="138" spans="1:17" ht="13.8" x14ac:dyDescent="0.3">
      <c r="A138" s="713"/>
      <c r="B138" s="714"/>
      <c r="C138" s="715"/>
      <c r="D138" s="707"/>
      <c r="E138" s="716"/>
      <c r="F138" s="717"/>
      <c r="G138" s="708"/>
      <c r="H138" s="708"/>
      <c r="I138" s="1111"/>
      <c r="J138" s="1112"/>
      <c r="K138" s="1112"/>
      <c r="L138" s="1113"/>
      <c r="M138" s="685"/>
      <c r="N138" s="710"/>
      <c r="O138" s="594"/>
      <c r="P138" s="685"/>
      <c r="Q138" s="678"/>
    </row>
    <row r="139" spans="1:17" x14ac:dyDescent="0.3">
      <c r="A139" s="713"/>
      <c r="B139" s="714"/>
      <c r="C139" s="715"/>
      <c r="D139" s="716"/>
      <c r="E139" s="716"/>
      <c r="F139" s="717"/>
      <c r="G139" s="708"/>
      <c r="H139" s="708"/>
      <c r="I139" s="1111"/>
      <c r="J139" s="1112"/>
      <c r="K139" s="1112"/>
      <c r="L139" s="1113"/>
      <c r="M139" s="685"/>
      <c r="N139" s="685"/>
      <c r="O139" s="718"/>
      <c r="P139" s="685"/>
      <c r="Q139" s="685"/>
    </row>
    <row r="140" spans="1:17" x14ac:dyDescent="0.3">
      <c r="A140" s="713"/>
      <c r="B140" s="714"/>
      <c r="C140" s="715"/>
      <c r="D140" s="716"/>
      <c r="E140" s="716"/>
      <c r="F140" s="717"/>
      <c r="G140" s="708"/>
      <c r="H140" s="708"/>
      <c r="I140" s="1111"/>
      <c r="J140" s="1112"/>
      <c r="K140" s="1112"/>
      <c r="L140" s="1113"/>
      <c r="M140" s="685"/>
      <c r="N140" s="685"/>
      <c r="O140" s="718"/>
      <c r="P140" s="685"/>
      <c r="Q140" s="685"/>
    </row>
    <row r="141" spans="1:17" x14ac:dyDescent="0.3">
      <c r="A141" s="713"/>
      <c r="B141" s="714"/>
      <c r="C141" s="715"/>
      <c r="D141" s="716"/>
      <c r="E141" s="716"/>
      <c r="F141" s="717"/>
      <c r="G141" s="708"/>
      <c r="H141" s="708"/>
      <c r="I141" s="1111"/>
      <c r="J141" s="1112"/>
      <c r="K141" s="1112"/>
      <c r="L141" s="1113"/>
      <c r="M141" s="685"/>
      <c r="N141" s="685"/>
      <c r="O141" s="718"/>
      <c r="P141" s="685"/>
      <c r="Q141" s="685"/>
    </row>
    <row r="142" spans="1:17" x14ac:dyDescent="0.3">
      <c r="A142" s="713"/>
      <c r="B142" s="714"/>
      <c r="C142" s="715"/>
      <c r="D142" s="716"/>
      <c r="E142" s="716"/>
      <c r="F142" s="717"/>
      <c r="G142" s="708"/>
      <c r="H142" s="708"/>
      <c r="I142" s="1111"/>
      <c r="J142" s="1112"/>
      <c r="K142" s="1112"/>
      <c r="L142" s="1113"/>
      <c r="M142" s="685"/>
      <c r="N142" s="685"/>
      <c r="O142" s="718"/>
      <c r="P142" s="685"/>
      <c r="Q142" s="685"/>
    </row>
    <row r="143" spans="1:17" x14ac:dyDescent="0.3">
      <c r="A143" s="713"/>
      <c r="B143" s="714"/>
      <c r="C143" s="715"/>
      <c r="D143" s="716"/>
      <c r="E143" s="716"/>
      <c r="F143" s="717"/>
      <c r="G143" s="708"/>
      <c r="H143" s="708"/>
      <c r="I143" s="1111"/>
      <c r="J143" s="1112"/>
      <c r="K143" s="1112"/>
      <c r="L143" s="1113"/>
      <c r="M143" s="685"/>
      <c r="N143" s="685"/>
      <c r="O143" s="718"/>
      <c r="P143" s="685"/>
      <c r="Q143" s="685"/>
    </row>
    <row r="144" spans="1:17" x14ac:dyDescent="0.3">
      <c r="A144" s="713"/>
      <c r="B144" s="714"/>
      <c r="C144" s="715"/>
      <c r="D144" s="716"/>
      <c r="E144" s="716"/>
      <c r="F144" s="717"/>
      <c r="G144" s="708"/>
      <c r="H144" s="708"/>
      <c r="I144" s="1111"/>
      <c r="J144" s="1112"/>
      <c r="K144" s="1112"/>
      <c r="L144" s="1113"/>
      <c r="M144" s="685"/>
      <c r="N144" s="710"/>
      <c r="O144" s="718"/>
      <c r="P144" s="685"/>
      <c r="Q144" s="685"/>
    </row>
    <row r="145" spans="1:17" x14ac:dyDescent="0.3">
      <c r="A145" s="713"/>
      <c r="B145" s="714"/>
      <c r="C145" s="715"/>
      <c r="D145" s="716"/>
      <c r="E145" s="716"/>
      <c r="F145" s="717"/>
      <c r="G145" s="708"/>
      <c r="H145" s="708"/>
      <c r="I145" s="1111"/>
      <c r="J145" s="1112"/>
      <c r="K145" s="1112"/>
      <c r="L145" s="1113"/>
      <c r="M145" s="685"/>
      <c r="N145" s="685"/>
      <c r="O145" s="718"/>
      <c r="P145" s="685"/>
      <c r="Q145" s="685"/>
    </row>
    <row r="146" spans="1:17" x14ac:dyDescent="0.3">
      <c r="A146" s="713"/>
      <c r="B146" s="714"/>
      <c r="C146" s="715"/>
      <c r="D146" s="716"/>
      <c r="E146" s="716"/>
      <c r="F146" s="717"/>
      <c r="G146" s="708"/>
      <c r="H146" s="708"/>
      <c r="I146" s="1111"/>
      <c r="J146" s="1112"/>
      <c r="K146" s="1112"/>
      <c r="L146" s="1113"/>
      <c r="M146" s="685"/>
      <c r="N146" s="685"/>
      <c r="O146" s="718"/>
      <c r="P146" s="685"/>
      <c r="Q146" s="685"/>
    </row>
    <row r="147" spans="1:17" x14ac:dyDescent="0.3">
      <c r="A147" s="713"/>
      <c r="B147" s="714"/>
      <c r="C147" s="715"/>
      <c r="D147" s="716"/>
      <c r="E147" s="716"/>
      <c r="F147" s="717"/>
      <c r="G147" s="708"/>
      <c r="H147" s="708"/>
      <c r="I147" s="1111"/>
      <c r="J147" s="1112"/>
      <c r="K147" s="1112"/>
      <c r="L147" s="1113"/>
      <c r="M147" s="685"/>
      <c r="N147" s="710"/>
      <c r="O147" s="718"/>
      <c r="P147" s="685"/>
      <c r="Q147" s="685"/>
    </row>
    <row r="148" spans="1:17" x14ac:dyDescent="0.3">
      <c r="A148" s="713"/>
      <c r="B148" s="714"/>
      <c r="C148" s="715"/>
      <c r="D148" s="716"/>
      <c r="E148" s="716"/>
      <c r="F148" s="717"/>
      <c r="G148" s="708"/>
      <c r="H148" s="708"/>
      <c r="I148" s="1111"/>
      <c r="J148" s="1112"/>
      <c r="K148" s="1112"/>
      <c r="L148" s="1113"/>
      <c r="M148" s="685"/>
      <c r="N148" s="685"/>
      <c r="O148" s="718"/>
      <c r="P148" s="685"/>
      <c r="Q148" s="685"/>
    </row>
    <row r="149" spans="1:17" ht="13.8" x14ac:dyDescent="0.3">
      <c r="A149" s="713"/>
      <c r="B149" s="714"/>
      <c r="C149" s="715"/>
      <c r="D149" s="716"/>
      <c r="E149" s="716"/>
      <c r="F149" s="717"/>
      <c r="G149" s="708"/>
      <c r="H149" s="708"/>
      <c r="I149" s="1111"/>
      <c r="J149" s="1112"/>
      <c r="K149" s="1112"/>
      <c r="L149" s="1113"/>
      <c r="M149" s="685"/>
      <c r="N149" s="710"/>
      <c r="O149" s="595"/>
      <c r="P149" s="685"/>
      <c r="Q149" s="678"/>
    </row>
    <row r="150" spans="1:17" x14ac:dyDescent="0.3">
      <c r="A150" s="713"/>
      <c r="B150" s="714"/>
      <c r="C150" s="715"/>
      <c r="D150" s="716"/>
      <c r="E150" s="716"/>
      <c r="F150" s="717"/>
      <c r="G150" s="708"/>
      <c r="H150" s="708"/>
      <c r="I150" s="1111"/>
      <c r="J150" s="1112"/>
      <c r="K150" s="1112"/>
      <c r="L150" s="1113"/>
      <c r="M150" s="685"/>
      <c r="N150" s="685"/>
      <c r="O150" s="718"/>
      <c r="P150" s="685"/>
      <c r="Q150" s="685"/>
    </row>
    <row r="151" spans="1:17" x14ac:dyDescent="0.3">
      <c r="B151" s="714"/>
      <c r="C151" s="715"/>
      <c r="D151" s="716"/>
      <c r="E151" s="716"/>
      <c r="F151" s="717"/>
      <c r="G151" s="708"/>
      <c r="H151" s="708"/>
      <c r="I151" s="1111"/>
      <c r="J151" s="1112"/>
      <c r="K151" s="1112"/>
      <c r="L151" s="1113"/>
      <c r="M151" s="685"/>
      <c r="N151" s="685"/>
      <c r="O151" s="718"/>
      <c r="P151" s="685"/>
      <c r="Q151" s="685"/>
    </row>
    <row r="152" spans="1:17" x14ac:dyDescent="0.3">
      <c r="A152" s="713"/>
      <c r="B152" s="714"/>
      <c r="C152" s="715"/>
      <c r="D152" s="716"/>
      <c r="E152" s="716"/>
      <c r="F152" s="717"/>
      <c r="G152" s="708"/>
      <c r="H152" s="708"/>
      <c r="I152" s="1111"/>
      <c r="J152" s="1112"/>
      <c r="K152" s="1112"/>
      <c r="L152" s="1113"/>
      <c r="M152" s="685"/>
      <c r="N152" s="685"/>
      <c r="O152" s="718"/>
      <c r="P152" s="685"/>
      <c r="Q152" s="685"/>
    </row>
    <row r="153" spans="1:17" x14ac:dyDescent="0.3">
      <c r="A153" s="713"/>
      <c r="B153" s="714"/>
      <c r="C153" s="715"/>
      <c r="D153" s="716"/>
      <c r="E153" s="716"/>
      <c r="F153" s="717"/>
      <c r="G153" s="708"/>
      <c r="H153" s="708"/>
      <c r="I153" s="1111"/>
      <c r="J153" s="1112"/>
      <c r="K153" s="1112"/>
      <c r="L153" s="1113"/>
      <c r="M153" s="685"/>
      <c r="N153" s="685"/>
      <c r="O153" s="718"/>
      <c r="P153" s="685"/>
      <c r="Q153" s="685"/>
    </row>
    <row r="154" spans="1:17" ht="13.8" x14ac:dyDescent="0.3">
      <c r="A154" s="713"/>
      <c r="B154" s="714"/>
      <c r="C154" s="715"/>
      <c r="D154" s="716"/>
      <c r="E154" s="716"/>
      <c r="F154" s="717"/>
      <c r="G154" s="708"/>
      <c r="H154" s="708"/>
      <c r="I154" s="1111"/>
      <c r="J154" s="1112"/>
      <c r="K154" s="1112"/>
      <c r="L154" s="1113"/>
      <c r="M154" s="685"/>
      <c r="N154" s="710"/>
      <c r="O154" s="596"/>
      <c r="P154" s="685"/>
      <c r="Q154" s="685"/>
    </row>
    <row r="155" spans="1:17" x14ac:dyDescent="0.3">
      <c r="A155" s="713"/>
      <c r="B155" s="714"/>
      <c r="C155" s="715"/>
      <c r="D155" s="716"/>
      <c r="E155" s="716"/>
      <c r="F155" s="717"/>
      <c r="G155" s="708"/>
      <c r="H155" s="708"/>
      <c r="I155" s="1111"/>
      <c r="J155" s="1112"/>
      <c r="K155" s="1112"/>
      <c r="L155" s="1113"/>
      <c r="M155" s="685"/>
      <c r="N155" s="685"/>
      <c r="O155" s="718"/>
      <c r="P155" s="685"/>
      <c r="Q155" s="685"/>
    </row>
    <row r="156" spans="1:17" ht="13.8" x14ac:dyDescent="0.3">
      <c r="A156" s="713"/>
      <c r="B156" s="714"/>
      <c r="C156" s="715"/>
      <c r="D156" s="716"/>
      <c r="E156" s="716"/>
      <c r="F156" s="717"/>
      <c r="G156" s="708"/>
      <c r="H156" s="708"/>
      <c r="I156" s="1111"/>
      <c r="J156" s="1112"/>
      <c r="K156" s="1112"/>
      <c r="L156" s="1113"/>
      <c r="M156" s="685"/>
      <c r="N156" s="710"/>
      <c r="O156" s="596"/>
      <c r="P156" s="685"/>
      <c r="Q156" s="685"/>
    </row>
    <row r="157" spans="1:17" ht="13.8" x14ac:dyDescent="0.3">
      <c r="A157" s="713"/>
      <c r="B157" s="714"/>
      <c r="C157" s="715"/>
      <c r="D157" s="716"/>
      <c r="E157" s="716"/>
      <c r="F157" s="717"/>
      <c r="G157" s="708"/>
      <c r="H157" s="708"/>
      <c r="I157" s="1111"/>
      <c r="J157" s="1112"/>
      <c r="K157" s="1112"/>
      <c r="L157" s="1113"/>
      <c r="M157" s="685"/>
      <c r="N157" s="710"/>
      <c r="O157" s="597"/>
      <c r="P157" s="685"/>
      <c r="Q157" s="678"/>
    </row>
    <row r="158" spans="1:17" ht="13.8" x14ac:dyDescent="0.3">
      <c r="A158" s="713"/>
      <c r="B158" s="714"/>
      <c r="C158" s="715"/>
      <c r="D158" s="716"/>
      <c r="E158" s="716"/>
      <c r="F158" s="717"/>
      <c r="G158" s="708"/>
      <c r="H158" s="708"/>
      <c r="I158" s="1111"/>
      <c r="J158" s="1112"/>
      <c r="K158" s="1112"/>
      <c r="L158" s="1113"/>
      <c r="M158" s="685"/>
      <c r="N158" s="710"/>
      <c r="O158" s="596"/>
      <c r="P158" s="685"/>
      <c r="Q158" s="678"/>
    </row>
    <row r="159" spans="1:17" x14ac:dyDescent="0.3">
      <c r="A159" s="713"/>
      <c r="B159" s="714"/>
      <c r="C159" s="715"/>
      <c r="D159" s="716"/>
      <c r="E159" s="716"/>
      <c r="F159" s="717"/>
      <c r="G159" s="708"/>
      <c r="H159" s="708"/>
      <c r="I159" s="1111"/>
      <c r="J159" s="1112"/>
      <c r="K159" s="1112"/>
      <c r="L159" s="1113"/>
      <c r="M159" s="685"/>
      <c r="N159" s="685"/>
      <c r="O159" s="718"/>
      <c r="P159" s="685"/>
      <c r="Q159" s="685"/>
    </row>
    <row r="160" spans="1:17" x14ac:dyDescent="0.3">
      <c r="A160" s="713"/>
      <c r="B160" s="714"/>
      <c r="C160" s="715"/>
      <c r="D160" s="716"/>
      <c r="E160" s="716"/>
      <c r="F160" s="717"/>
      <c r="G160" s="708"/>
      <c r="H160" s="708"/>
      <c r="I160" s="1111"/>
      <c r="J160" s="1112"/>
      <c r="K160" s="1112"/>
      <c r="L160" s="1113"/>
      <c r="M160" s="685"/>
      <c r="N160" s="685"/>
      <c r="O160" s="718"/>
      <c r="P160" s="685"/>
      <c r="Q160" s="685"/>
    </row>
    <row r="161" spans="1:17" x14ac:dyDescent="0.3">
      <c r="A161" s="713"/>
      <c r="B161" s="714"/>
      <c r="C161" s="715"/>
      <c r="D161" s="716"/>
      <c r="E161" s="716"/>
      <c r="F161" s="717"/>
      <c r="G161" s="708"/>
      <c r="H161" s="708"/>
      <c r="I161" s="1111"/>
      <c r="J161" s="1112"/>
      <c r="K161" s="1112"/>
      <c r="L161" s="1113"/>
      <c r="M161" s="685"/>
      <c r="N161" s="685"/>
      <c r="O161" s="718"/>
      <c r="P161" s="685"/>
      <c r="Q161" s="685"/>
    </row>
    <row r="162" spans="1:17" x14ac:dyDescent="0.3">
      <c r="A162" s="713"/>
      <c r="B162" s="714"/>
      <c r="C162" s="715"/>
      <c r="D162" s="716"/>
      <c r="E162" s="716"/>
      <c r="F162" s="717"/>
      <c r="G162" s="708"/>
      <c r="H162" s="708"/>
      <c r="I162" s="1111"/>
      <c r="J162" s="1112"/>
      <c r="K162" s="1112"/>
      <c r="L162" s="1113"/>
      <c r="M162" s="685"/>
      <c r="N162" s="685"/>
      <c r="O162" s="718"/>
      <c r="P162" s="685"/>
      <c r="Q162" s="685"/>
    </row>
    <row r="163" spans="1:17" ht="13.8" x14ac:dyDescent="0.3">
      <c r="A163" s="713"/>
      <c r="B163" s="714"/>
      <c r="C163" s="715"/>
      <c r="D163" s="716"/>
      <c r="E163" s="716"/>
      <c r="F163" s="717"/>
      <c r="G163" s="708"/>
      <c r="H163" s="708"/>
      <c r="I163" s="1111"/>
      <c r="J163" s="1112"/>
      <c r="K163" s="1112"/>
      <c r="L163" s="1113"/>
      <c r="M163" s="685"/>
      <c r="N163" s="710"/>
      <c r="O163" s="596"/>
      <c r="P163" s="685"/>
      <c r="Q163" s="678"/>
    </row>
    <row r="164" spans="1:17" ht="13.8" x14ac:dyDescent="0.3">
      <c r="A164" s="713"/>
      <c r="B164" s="714"/>
      <c r="C164" s="715"/>
      <c r="D164" s="716"/>
      <c r="E164" s="716"/>
      <c r="F164" s="717"/>
      <c r="G164" s="708"/>
      <c r="H164" s="708"/>
      <c r="I164" s="1111"/>
      <c r="J164" s="1112"/>
      <c r="K164" s="1112"/>
      <c r="L164" s="1113"/>
      <c r="M164" s="685"/>
      <c r="N164" s="710"/>
      <c r="O164" s="595"/>
      <c r="P164" s="685"/>
      <c r="Q164" s="685"/>
    </row>
    <row r="165" spans="1:17" x14ac:dyDescent="0.3">
      <c r="A165" s="713"/>
      <c r="B165" s="714"/>
      <c r="C165" s="715"/>
      <c r="D165" s="716"/>
      <c r="E165" s="716"/>
      <c r="F165" s="717"/>
      <c r="G165" s="708"/>
      <c r="H165" s="708"/>
      <c r="I165" s="1111"/>
      <c r="J165" s="1112"/>
      <c r="K165" s="1112"/>
      <c r="L165" s="1113"/>
      <c r="M165" s="685"/>
      <c r="N165" s="685"/>
      <c r="O165" s="718"/>
      <c r="P165" s="685"/>
      <c r="Q165" s="685"/>
    </row>
    <row r="166" spans="1:17" ht="13.8" x14ac:dyDescent="0.3">
      <c r="A166" s="713"/>
      <c r="B166" s="714"/>
      <c r="C166" s="715"/>
      <c r="D166" s="716"/>
      <c r="E166" s="716"/>
      <c r="F166" s="717"/>
      <c r="G166" s="708"/>
      <c r="H166" s="708"/>
      <c r="I166" s="1111"/>
      <c r="J166" s="1112"/>
      <c r="K166" s="1112"/>
      <c r="L166" s="1113"/>
      <c r="M166" s="598"/>
      <c r="N166" s="710"/>
      <c r="O166" s="595"/>
      <c r="P166" s="685"/>
      <c r="Q166" s="685"/>
    </row>
    <row r="167" spans="1:17" ht="13.8" x14ac:dyDescent="0.3">
      <c r="A167" s="713"/>
      <c r="B167" s="714"/>
      <c r="C167" s="715"/>
      <c r="D167" s="716"/>
      <c r="E167" s="716"/>
      <c r="F167" s="717"/>
      <c r="G167" s="708"/>
      <c r="H167" s="708"/>
      <c r="I167" s="1111"/>
      <c r="J167" s="1112"/>
      <c r="K167" s="1112"/>
      <c r="L167" s="1113"/>
      <c r="M167" s="685"/>
      <c r="N167" s="710"/>
      <c r="O167" s="595"/>
      <c r="P167" s="685"/>
      <c r="Q167" s="678"/>
    </row>
    <row r="168" spans="1:17" ht="13.8" x14ac:dyDescent="0.3">
      <c r="A168" s="713"/>
      <c r="B168" s="714"/>
      <c r="C168" s="715"/>
      <c r="D168" s="716"/>
      <c r="E168" s="716"/>
      <c r="F168" s="717"/>
      <c r="G168" s="708"/>
      <c r="H168" s="708"/>
      <c r="I168" s="1111"/>
      <c r="J168" s="1112"/>
      <c r="K168" s="1112"/>
      <c r="L168" s="1113"/>
      <c r="M168" s="598"/>
      <c r="N168" s="710"/>
      <c r="O168" s="595"/>
      <c r="P168" s="685"/>
      <c r="Q168" s="685"/>
    </row>
    <row r="169" spans="1:17" x14ac:dyDescent="0.3">
      <c r="A169" s="713"/>
      <c r="B169" s="714"/>
      <c r="C169" s="715"/>
      <c r="D169" s="716"/>
      <c r="E169" s="716"/>
      <c r="F169" s="717"/>
      <c r="G169" s="708"/>
      <c r="H169" s="708"/>
      <c r="I169" s="1111"/>
      <c r="J169" s="1112"/>
      <c r="K169" s="1112"/>
      <c r="L169" s="1113"/>
      <c r="M169" s="685"/>
      <c r="N169" s="685"/>
      <c r="O169" s="718"/>
      <c r="P169" s="685"/>
      <c r="Q169" s="685"/>
    </row>
    <row r="170" spans="1:17" x14ac:dyDescent="0.3">
      <c r="A170" s="713"/>
      <c r="B170" s="714"/>
      <c r="C170" s="715"/>
      <c r="D170" s="716"/>
      <c r="E170" s="716"/>
      <c r="F170" s="717"/>
      <c r="G170" s="708"/>
      <c r="H170" s="708"/>
      <c r="I170" s="1111"/>
      <c r="J170" s="1112"/>
      <c r="K170" s="1112"/>
      <c r="L170" s="1113"/>
      <c r="M170" s="685"/>
      <c r="N170" s="685"/>
      <c r="O170" s="718"/>
      <c r="P170" s="685"/>
      <c r="Q170" s="685"/>
    </row>
    <row r="171" spans="1:17" x14ac:dyDescent="0.3">
      <c r="A171" s="713"/>
      <c r="B171" s="714"/>
      <c r="C171" s="715"/>
      <c r="D171" s="716"/>
      <c r="E171" s="716"/>
      <c r="F171" s="717"/>
      <c r="G171" s="708"/>
      <c r="H171" s="708"/>
      <c r="I171" s="1111"/>
      <c r="J171" s="1112"/>
      <c r="K171" s="1112"/>
      <c r="L171" s="1113"/>
      <c r="M171" s="685"/>
      <c r="N171" s="685"/>
      <c r="O171" s="718"/>
      <c r="P171" s="685"/>
      <c r="Q171" s="685"/>
    </row>
    <row r="172" spans="1:17" x14ac:dyDescent="0.3">
      <c r="A172" s="713"/>
      <c r="B172" s="714"/>
      <c r="C172" s="715"/>
      <c r="D172" s="716"/>
      <c r="E172" s="716"/>
      <c r="F172" s="717"/>
      <c r="G172" s="708"/>
      <c r="H172" s="708"/>
      <c r="I172" s="1111"/>
      <c r="J172" s="1112"/>
      <c r="K172" s="1112"/>
      <c r="L172" s="1113"/>
      <c r="M172" s="685"/>
      <c r="N172" s="710"/>
      <c r="O172" s="718"/>
      <c r="P172" s="685"/>
      <c r="Q172" s="678"/>
    </row>
    <row r="173" spans="1:17" x14ac:dyDescent="0.3">
      <c r="A173" s="713"/>
      <c r="B173" s="714"/>
      <c r="C173" s="715"/>
      <c r="D173" s="716"/>
      <c r="E173" s="716"/>
      <c r="F173" s="717"/>
      <c r="G173" s="708"/>
      <c r="H173" s="708"/>
      <c r="I173" s="1111"/>
      <c r="J173" s="1112"/>
      <c r="K173" s="1112"/>
      <c r="L173" s="1113"/>
      <c r="M173" s="685"/>
      <c r="N173" s="685"/>
      <c r="O173" s="718"/>
      <c r="P173" s="685"/>
      <c r="Q173" s="685"/>
    </row>
    <row r="174" spans="1:17" x14ac:dyDescent="0.3">
      <c r="A174" s="713"/>
      <c r="B174" s="714"/>
      <c r="C174" s="715"/>
      <c r="D174" s="716"/>
      <c r="E174" s="716"/>
      <c r="F174" s="717"/>
      <c r="G174" s="708"/>
      <c r="H174" s="708"/>
      <c r="I174" s="1111"/>
      <c r="J174" s="1112"/>
      <c r="K174" s="1112"/>
      <c r="L174" s="1113"/>
      <c r="M174" s="685"/>
      <c r="N174" s="685"/>
      <c r="O174" s="718"/>
      <c r="P174" s="685"/>
      <c r="Q174" s="685"/>
    </row>
    <row r="175" spans="1:17" x14ac:dyDescent="0.3">
      <c r="A175" s="713"/>
      <c r="B175" s="714"/>
      <c r="C175" s="715"/>
      <c r="D175" s="716"/>
      <c r="E175" s="716"/>
      <c r="F175" s="717"/>
      <c r="G175" s="708"/>
      <c r="H175" s="708"/>
      <c r="I175" s="1111"/>
      <c r="J175" s="1112"/>
      <c r="K175" s="1112"/>
      <c r="L175" s="1113"/>
      <c r="M175" s="685"/>
      <c r="N175" s="685"/>
      <c r="O175" s="718"/>
      <c r="P175" s="685"/>
      <c r="Q175" s="685"/>
    </row>
    <row r="176" spans="1:17" x14ac:dyDescent="0.3">
      <c r="A176" s="713"/>
      <c r="B176" s="714"/>
      <c r="C176" s="715"/>
      <c r="D176" s="716"/>
      <c r="E176" s="716"/>
      <c r="F176" s="717"/>
      <c r="G176" s="708"/>
      <c r="H176" s="708"/>
      <c r="I176" s="1111"/>
      <c r="J176" s="1112"/>
      <c r="K176" s="1112"/>
      <c r="L176" s="1113"/>
      <c r="M176" s="685"/>
      <c r="N176" s="685"/>
      <c r="O176" s="718"/>
      <c r="P176" s="685"/>
      <c r="Q176" s="685"/>
    </row>
    <row r="177" spans="1:17" x14ac:dyDescent="0.3">
      <c r="A177" s="713"/>
      <c r="B177" s="714"/>
      <c r="C177" s="715"/>
      <c r="D177" s="716"/>
      <c r="E177" s="716"/>
      <c r="F177" s="717"/>
      <c r="G177" s="708"/>
      <c r="H177" s="708"/>
      <c r="I177" s="1111"/>
      <c r="J177" s="1112"/>
      <c r="K177" s="1112"/>
      <c r="L177" s="1113"/>
      <c r="M177" s="685"/>
      <c r="N177" s="685"/>
      <c r="O177" s="718"/>
      <c r="P177" s="685"/>
      <c r="Q177" s="685"/>
    </row>
    <row r="178" spans="1:17" x14ac:dyDescent="0.3">
      <c r="A178" s="713"/>
      <c r="B178" s="714"/>
      <c r="C178" s="715"/>
      <c r="D178" s="716"/>
      <c r="E178" s="716"/>
      <c r="F178" s="717"/>
      <c r="G178" s="708"/>
      <c r="H178" s="708"/>
      <c r="I178" s="1111"/>
      <c r="J178" s="1112"/>
      <c r="K178" s="1112"/>
      <c r="L178" s="1113"/>
      <c r="M178" s="685"/>
      <c r="N178" s="710"/>
      <c r="O178" s="718"/>
      <c r="P178" s="685"/>
      <c r="Q178" s="678"/>
    </row>
    <row r="179" spans="1:17" x14ac:dyDescent="0.3">
      <c r="A179" s="713"/>
      <c r="B179" s="714"/>
      <c r="C179" s="715"/>
      <c r="D179" s="716"/>
      <c r="E179" s="716"/>
      <c r="F179" s="717"/>
      <c r="G179" s="708"/>
      <c r="H179" s="708"/>
      <c r="I179" s="1111"/>
      <c r="J179" s="1112"/>
      <c r="K179" s="1112"/>
      <c r="L179" s="1113"/>
      <c r="M179" s="685"/>
      <c r="N179" s="685"/>
      <c r="O179" s="718"/>
      <c r="P179" s="685"/>
      <c r="Q179" s="685"/>
    </row>
    <row r="180" spans="1:17" x14ac:dyDescent="0.3">
      <c r="A180" s="713"/>
      <c r="B180" s="714"/>
      <c r="C180" s="715"/>
      <c r="D180" s="716"/>
      <c r="E180" s="716"/>
      <c r="F180" s="717"/>
      <c r="G180" s="708"/>
      <c r="H180" s="708"/>
      <c r="I180" s="1111"/>
      <c r="J180" s="1112"/>
      <c r="K180" s="1112"/>
      <c r="L180" s="1113"/>
      <c r="M180" s="685"/>
      <c r="N180" s="685"/>
      <c r="O180" s="718"/>
      <c r="P180" s="685"/>
      <c r="Q180" s="685"/>
    </row>
    <row r="181" spans="1:17" x14ac:dyDescent="0.3">
      <c r="A181" s="713"/>
      <c r="B181" s="714"/>
      <c r="C181" s="715"/>
      <c r="D181" s="716"/>
      <c r="E181" s="716"/>
      <c r="F181" s="717"/>
      <c r="G181" s="708"/>
      <c r="H181" s="708"/>
      <c r="I181" s="1111"/>
      <c r="J181" s="1112"/>
      <c r="K181" s="1112"/>
      <c r="L181" s="1113"/>
      <c r="M181" s="685"/>
      <c r="N181" s="685"/>
      <c r="O181" s="718"/>
      <c r="P181" s="685"/>
      <c r="Q181" s="685"/>
    </row>
    <row r="182" spans="1:17" x14ac:dyDescent="0.3">
      <c r="A182" s="713"/>
      <c r="B182" s="714"/>
      <c r="C182" s="715"/>
      <c r="D182" s="716"/>
      <c r="E182" s="716"/>
      <c r="F182" s="717"/>
      <c r="G182" s="708"/>
      <c r="H182" s="708"/>
      <c r="I182" s="1111"/>
      <c r="J182" s="1112"/>
      <c r="K182" s="1112"/>
      <c r="L182" s="1113"/>
      <c r="M182" s="685"/>
      <c r="N182" s="685"/>
      <c r="O182" s="718"/>
      <c r="P182" s="685"/>
      <c r="Q182" s="685"/>
    </row>
    <row r="183" spans="1:17" x14ac:dyDescent="0.3">
      <c r="A183" s="713"/>
      <c r="B183" s="714"/>
      <c r="C183" s="715"/>
      <c r="D183" s="716"/>
      <c r="E183" s="716"/>
      <c r="F183" s="717"/>
      <c r="G183" s="708"/>
      <c r="H183" s="708"/>
      <c r="I183" s="1111"/>
      <c r="J183" s="1112"/>
      <c r="K183" s="1112"/>
      <c r="L183" s="1113"/>
      <c r="M183" s="685"/>
      <c r="N183" s="685"/>
      <c r="O183" s="718"/>
      <c r="P183" s="685"/>
      <c r="Q183" s="685"/>
    </row>
    <row r="184" spans="1:17" x14ac:dyDescent="0.3">
      <c r="A184" s="713"/>
      <c r="B184" s="714"/>
      <c r="C184" s="715"/>
      <c r="D184" s="716"/>
      <c r="E184" s="716"/>
      <c r="F184" s="717"/>
      <c r="G184" s="708"/>
      <c r="H184" s="708"/>
      <c r="I184" s="1111"/>
      <c r="J184" s="1112"/>
      <c r="K184" s="1112"/>
      <c r="L184" s="1113"/>
      <c r="M184" s="685"/>
      <c r="N184" s="685"/>
      <c r="O184" s="718"/>
      <c r="P184" s="685"/>
      <c r="Q184" s="685"/>
    </row>
    <row r="185" spans="1:17" x14ac:dyDescent="0.3">
      <c r="A185" s="713"/>
      <c r="B185" s="714"/>
      <c r="C185" s="715"/>
      <c r="D185" s="716"/>
      <c r="E185" s="716"/>
      <c r="F185" s="717"/>
      <c r="G185" s="708"/>
      <c r="H185" s="708"/>
      <c r="I185" s="1111"/>
      <c r="J185" s="1112"/>
      <c r="K185" s="1112"/>
      <c r="L185" s="1113"/>
      <c r="M185" s="685"/>
      <c r="N185" s="710"/>
      <c r="O185" s="718"/>
      <c r="P185" s="685"/>
      <c r="Q185" s="678"/>
    </row>
    <row r="186" spans="1:17" ht="13.8" x14ac:dyDescent="0.3">
      <c r="A186" s="713"/>
      <c r="B186" s="714"/>
      <c r="C186" s="715"/>
      <c r="D186" s="716"/>
      <c r="E186" s="716"/>
      <c r="F186" s="716"/>
      <c r="G186" s="708"/>
      <c r="H186" s="708"/>
      <c r="I186" s="1111"/>
      <c r="J186" s="1112"/>
      <c r="K186" s="1112"/>
      <c r="L186" s="1113"/>
      <c r="M186" s="685"/>
      <c r="N186" s="710"/>
      <c r="O186" s="595"/>
      <c r="P186" s="685"/>
      <c r="Q186" s="678"/>
    </row>
    <row r="187" spans="1:17" x14ac:dyDescent="0.3">
      <c r="A187" s="713"/>
      <c r="B187" s="714"/>
      <c r="C187" s="715"/>
      <c r="D187" s="716"/>
      <c r="E187" s="716"/>
      <c r="F187" s="717"/>
      <c r="G187" s="708"/>
      <c r="H187" s="708"/>
      <c r="I187" s="1111"/>
      <c r="J187" s="1112"/>
      <c r="K187" s="1112"/>
      <c r="L187" s="1113"/>
      <c r="M187" s="685"/>
      <c r="N187" s="685"/>
      <c r="O187" s="718"/>
      <c r="P187" s="685"/>
      <c r="Q187" s="685"/>
    </row>
    <row r="188" spans="1:17" x14ac:dyDescent="0.3">
      <c r="A188" s="713"/>
      <c r="B188" s="714"/>
      <c r="C188" s="715"/>
      <c r="D188" s="716"/>
      <c r="E188" s="716"/>
      <c r="F188" s="717"/>
      <c r="G188" s="708"/>
      <c r="H188" s="708"/>
      <c r="I188" s="1111"/>
      <c r="J188" s="1112"/>
      <c r="K188" s="1112"/>
      <c r="L188" s="1113"/>
      <c r="M188" s="685"/>
      <c r="N188" s="685"/>
      <c r="O188" s="718"/>
      <c r="P188" s="685"/>
      <c r="Q188" s="685"/>
    </row>
    <row r="189" spans="1:17" x14ac:dyDescent="0.3">
      <c r="A189" s="713"/>
      <c r="B189" s="714"/>
      <c r="C189" s="715"/>
      <c r="D189" s="716"/>
      <c r="E189" s="716"/>
      <c r="F189" s="717"/>
      <c r="G189" s="708"/>
      <c r="H189" s="708"/>
      <c r="I189" s="1111"/>
      <c r="J189" s="1112"/>
      <c r="K189" s="1112"/>
      <c r="L189" s="1113"/>
      <c r="M189" s="685"/>
      <c r="N189" s="685"/>
      <c r="O189" s="718"/>
      <c r="P189" s="685"/>
      <c r="Q189" s="685"/>
    </row>
    <row r="190" spans="1:17" x14ac:dyDescent="0.3">
      <c r="A190" s="713"/>
      <c r="B190" s="714"/>
      <c r="C190" s="715"/>
      <c r="D190" s="716"/>
      <c r="E190" s="716"/>
      <c r="F190" s="717"/>
      <c r="G190" s="708"/>
      <c r="H190" s="708"/>
      <c r="I190" s="1111"/>
      <c r="J190" s="1112"/>
      <c r="K190" s="1112"/>
      <c r="L190" s="1113"/>
      <c r="M190" s="685"/>
      <c r="N190" s="685"/>
      <c r="O190" s="718"/>
      <c r="P190" s="685"/>
      <c r="Q190" s="685"/>
    </row>
    <row r="191" spans="1:17" x14ac:dyDescent="0.3">
      <c r="A191" s="713"/>
      <c r="B191" s="714"/>
      <c r="C191" s="715"/>
      <c r="D191" s="716"/>
      <c r="E191" s="716"/>
      <c r="F191" s="717"/>
      <c r="G191" s="708"/>
      <c r="H191" s="708"/>
      <c r="I191" s="1111"/>
      <c r="J191" s="1112"/>
      <c r="K191" s="1112"/>
      <c r="L191" s="1113"/>
      <c r="M191" s="685"/>
      <c r="N191" s="685"/>
      <c r="O191" s="718"/>
      <c r="P191" s="685"/>
      <c r="Q191" s="685"/>
    </row>
    <row r="192" spans="1:17" ht="13.8" x14ac:dyDescent="0.3">
      <c r="A192" s="713"/>
      <c r="B192" s="714"/>
      <c r="C192" s="715"/>
      <c r="D192" s="716"/>
      <c r="E192" s="716"/>
      <c r="F192" s="717"/>
      <c r="G192" s="708"/>
      <c r="H192" s="708"/>
      <c r="I192" s="1111"/>
      <c r="J192" s="1112"/>
      <c r="K192" s="1112"/>
      <c r="L192" s="1113"/>
      <c r="M192" s="685"/>
      <c r="N192" s="710"/>
      <c r="O192" s="595"/>
      <c r="P192" s="685"/>
      <c r="Q192" s="678"/>
    </row>
    <row r="193" spans="1:17" x14ac:dyDescent="0.3">
      <c r="A193" s="713"/>
      <c r="B193" s="714"/>
      <c r="C193" s="715"/>
      <c r="D193" s="716"/>
      <c r="E193" s="716"/>
      <c r="F193" s="717"/>
      <c r="G193" s="708"/>
      <c r="H193" s="708"/>
      <c r="I193" s="1111"/>
      <c r="J193" s="1112"/>
      <c r="K193" s="1112"/>
      <c r="L193" s="1113"/>
      <c r="M193" s="685"/>
      <c r="N193" s="685"/>
      <c r="O193" s="718"/>
      <c r="P193" s="685"/>
      <c r="Q193" s="685"/>
    </row>
    <row r="194" spans="1:17" x14ac:dyDescent="0.3">
      <c r="A194" s="713"/>
      <c r="B194" s="714"/>
      <c r="C194" s="715"/>
      <c r="D194" s="716"/>
      <c r="E194" s="716"/>
      <c r="F194" s="717"/>
      <c r="G194" s="708"/>
      <c r="H194" s="708"/>
      <c r="I194" s="1111"/>
      <c r="J194" s="1112"/>
      <c r="K194" s="1112"/>
      <c r="L194" s="1113"/>
      <c r="M194" s="685"/>
      <c r="N194" s="685"/>
      <c r="O194" s="718"/>
      <c r="P194" s="685"/>
      <c r="Q194" s="685"/>
    </row>
    <row r="195" spans="1:17" x14ac:dyDescent="0.3">
      <c r="A195" s="713"/>
      <c r="B195" s="714"/>
      <c r="C195" s="715"/>
      <c r="D195" s="716"/>
      <c r="E195" s="716"/>
      <c r="F195" s="717"/>
      <c r="G195" s="708"/>
      <c r="H195" s="708"/>
      <c r="I195" s="1111"/>
      <c r="J195" s="1112"/>
      <c r="K195" s="1112"/>
      <c r="L195" s="1113"/>
      <c r="M195" s="685"/>
      <c r="N195" s="685"/>
      <c r="O195" s="718"/>
      <c r="P195" s="685"/>
      <c r="Q195" s="685"/>
    </row>
    <row r="196" spans="1:17" x14ac:dyDescent="0.3">
      <c r="A196" s="713"/>
      <c r="B196" s="714"/>
      <c r="C196" s="715"/>
      <c r="D196" s="716"/>
      <c r="E196" s="716"/>
      <c r="F196" s="717"/>
      <c r="G196" s="708"/>
      <c r="H196" s="708"/>
      <c r="I196" s="1111"/>
      <c r="J196" s="1112"/>
      <c r="K196" s="1112"/>
      <c r="L196" s="1113"/>
      <c r="M196" s="685"/>
      <c r="N196" s="685"/>
      <c r="O196" s="718"/>
      <c r="P196" s="685"/>
      <c r="Q196" s="685"/>
    </row>
    <row r="197" spans="1:17" x14ac:dyDescent="0.3">
      <c r="A197" s="713"/>
      <c r="B197" s="714"/>
      <c r="C197" s="715"/>
      <c r="D197" s="716"/>
      <c r="E197" s="716"/>
      <c r="F197" s="717"/>
      <c r="G197" s="708"/>
      <c r="H197" s="708"/>
      <c r="I197" s="1111"/>
      <c r="J197" s="1112"/>
      <c r="K197" s="1112"/>
      <c r="L197" s="1113"/>
      <c r="M197" s="685"/>
      <c r="N197" s="685"/>
      <c r="O197" s="718"/>
      <c r="P197" s="685"/>
      <c r="Q197" s="685"/>
    </row>
    <row r="198" spans="1:17" x14ac:dyDescent="0.3">
      <c r="A198" s="713"/>
      <c r="B198" s="714"/>
      <c r="C198" s="715"/>
      <c r="D198" s="716"/>
      <c r="E198" s="716"/>
      <c r="F198" s="717"/>
      <c r="G198" s="708"/>
      <c r="H198" s="708"/>
      <c r="I198" s="1111"/>
      <c r="J198" s="1112"/>
      <c r="K198" s="1112"/>
      <c r="L198" s="1113"/>
      <c r="M198" s="685"/>
      <c r="N198" s="685"/>
      <c r="O198" s="718"/>
      <c r="P198" s="685"/>
      <c r="Q198" s="685"/>
    </row>
    <row r="199" spans="1:17" x14ac:dyDescent="0.3">
      <c r="A199" s="713"/>
      <c r="B199" s="714"/>
      <c r="C199" s="715"/>
      <c r="D199" s="716"/>
      <c r="E199" s="716"/>
      <c r="F199" s="717"/>
      <c r="G199" s="708"/>
      <c r="H199" s="708"/>
      <c r="I199" s="1111"/>
      <c r="J199" s="1112"/>
      <c r="K199" s="1112"/>
      <c r="L199" s="1113"/>
      <c r="M199" s="685"/>
      <c r="N199" s="685"/>
      <c r="O199" s="718"/>
      <c r="P199" s="685"/>
      <c r="Q199" s="685"/>
    </row>
    <row r="200" spans="1:17" x14ac:dyDescent="0.3">
      <c r="A200" s="713"/>
      <c r="B200" s="714"/>
      <c r="C200" s="715"/>
      <c r="D200" s="716"/>
      <c r="E200" s="716"/>
      <c r="F200" s="717"/>
      <c r="G200" s="708"/>
      <c r="H200" s="708"/>
      <c r="I200" s="1111"/>
      <c r="J200" s="1112"/>
      <c r="K200" s="1112"/>
      <c r="L200" s="1113"/>
      <c r="M200" s="685"/>
      <c r="N200" s="685"/>
      <c r="O200" s="718"/>
      <c r="P200" s="685"/>
      <c r="Q200" s="685"/>
    </row>
    <row r="201" spans="1:17" x14ac:dyDescent="0.3">
      <c r="A201" s="713"/>
      <c r="B201" s="714"/>
      <c r="C201" s="715"/>
      <c r="D201" s="716"/>
      <c r="E201" s="716"/>
      <c r="F201" s="717"/>
      <c r="G201" s="708"/>
      <c r="H201" s="708"/>
      <c r="I201" s="1111"/>
      <c r="J201" s="1112"/>
      <c r="K201" s="1112"/>
      <c r="L201" s="1113"/>
      <c r="M201" s="685"/>
      <c r="N201" s="685"/>
      <c r="O201" s="718"/>
      <c r="P201" s="685"/>
      <c r="Q201" s="685"/>
    </row>
    <row r="202" spans="1:17" x14ac:dyDescent="0.3">
      <c r="A202" s="713"/>
      <c r="B202" s="714"/>
      <c r="C202" s="715"/>
      <c r="D202" s="716"/>
      <c r="E202" s="716"/>
      <c r="F202" s="717"/>
      <c r="G202" s="708"/>
      <c r="H202" s="708"/>
      <c r="I202" s="1111"/>
      <c r="J202" s="1112"/>
      <c r="K202" s="1112"/>
      <c r="L202" s="1113"/>
      <c r="M202" s="685"/>
      <c r="N202" s="685"/>
      <c r="O202" s="718"/>
      <c r="P202" s="685"/>
      <c r="Q202" s="685"/>
    </row>
    <row r="203" spans="1:17" ht="13.8" x14ac:dyDescent="0.3">
      <c r="A203" s="713"/>
      <c r="B203" s="714"/>
      <c r="C203" s="715"/>
      <c r="D203" s="716"/>
      <c r="E203" s="716"/>
      <c r="F203" s="717"/>
      <c r="G203" s="708"/>
      <c r="H203" s="708"/>
      <c r="I203" s="1111"/>
      <c r="J203" s="1112"/>
      <c r="K203" s="1112"/>
      <c r="L203" s="1113"/>
      <c r="M203" s="685"/>
      <c r="N203" s="710"/>
      <c r="O203" s="595"/>
      <c r="P203" s="685"/>
      <c r="Q203" s="678"/>
    </row>
    <row r="204" spans="1:17" ht="13.8" x14ac:dyDescent="0.3">
      <c r="A204" s="713"/>
      <c r="B204" s="714"/>
      <c r="C204" s="715"/>
      <c r="D204" s="716"/>
      <c r="E204" s="716"/>
      <c r="F204" s="717"/>
      <c r="G204" s="708"/>
      <c r="H204" s="708"/>
      <c r="I204" s="1111"/>
      <c r="J204" s="1112"/>
      <c r="K204" s="1112"/>
      <c r="L204" s="1113"/>
      <c r="M204" s="710"/>
      <c r="N204" s="710"/>
      <c r="O204" s="596"/>
      <c r="P204" s="685"/>
      <c r="Q204" s="678"/>
    </row>
    <row r="205" spans="1:17" ht="13.8" x14ac:dyDescent="0.3">
      <c r="A205" s="713"/>
      <c r="B205" s="714"/>
      <c r="C205" s="715"/>
      <c r="D205" s="716"/>
      <c r="E205" s="716"/>
      <c r="F205" s="717"/>
      <c r="G205" s="708"/>
      <c r="H205" s="708"/>
      <c r="I205" s="1111"/>
      <c r="J205" s="1112"/>
      <c r="K205" s="1112"/>
      <c r="L205" s="1113"/>
      <c r="M205" s="685"/>
      <c r="N205" s="710"/>
      <c r="O205" s="595"/>
      <c r="P205" s="685"/>
      <c r="Q205" s="678"/>
    </row>
    <row r="206" spans="1:17" x14ac:dyDescent="0.3">
      <c r="A206" s="713"/>
      <c r="B206" s="714"/>
      <c r="C206" s="715"/>
      <c r="D206" s="716"/>
      <c r="E206" s="716"/>
      <c r="F206" s="717"/>
      <c r="G206" s="708"/>
      <c r="H206" s="708"/>
      <c r="I206" s="1111"/>
      <c r="J206" s="1112"/>
      <c r="K206" s="1112"/>
      <c r="L206" s="1113"/>
      <c r="M206" s="685"/>
      <c r="N206" s="710"/>
      <c r="O206" s="718"/>
      <c r="P206" s="685"/>
      <c r="Q206" s="678"/>
    </row>
    <row r="207" spans="1:17" x14ac:dyDescent="0.3">
      <c r="A207" s="713"/>
      <c r="B207" s="714"/>
      <c r="C207" s="715"/>
      <c r="D207" s="716"/>
      <c r="E207" s="716"/>
      <c r="F207" s="717"/>
      <c r="G207" s="708"/>
      <c r="H207" s="708"/>
      <c r="I207" s="1111"/>
      <c r="J207" s="1112"/>
      <c r="K207" s="1112"/>
      <c r="L207" s="1113"/>
      <c r="M207" s="685"/>
      <c r="N207" s="710"/>
      <c r="O207" s="718"/>
      <c r="P207" s="685"/>
      <c r="Q207" s="678"/>
    </row>
    <row r="208" spans="1:17" x14ac:dyDescent="0.3">
      <c r="A208" s="713"/>
      <c r="B208" s="714"/>
      <c r="C208" s="715"/>
      <c r="D208" s="716"/>
      <c r="E208" s="716"/>
      <c r="F208" s="717"/>
      <c r="G208" s="708"/>
      <c r="H208" s="708"/>
      <c r="I208" s="1111"/>
      <c r="J208" s="1112"/>
      <c r="K208" s="1112"/>
      <c r="L208" s="1113"/>
      <c r="M208" s="685"/>
      <c r="N208" s="685"/>
      <c r="O208" s="718"/>
      <c r="P208" s="685"/>
      <c r="Q208" s="685"/>
    </row>
    <row r="209" spans="1:17" x14ac:dyDescent="0.3">
      <c r="A209" s="713"/>
      <c r="B209" s="714"/>
      <c r="C209" s="715"/>
      <c r="D209" s="716"/>
      <c r="E209" s="716"/>
      <c r="F209" s="717"/>
      <c r="G209" s="708"/>
      <c r="H209" s="708"/>
      <c r="I209" s="1111"/>
      <c r="J209" s="1112"/>
      <c r="K209" s="1112"/>
      <c r="L209" s="1113"/>
      <c r="M209" s="685"/>
      <c r="N209" s="685"/>
      <c r="O209" s="718"/>
      <c r="P209" s="685"/>
      <c r="Q209" s="685"/>
    </row>
    <row r="210" spans="1:17" x14ac:dyDescent="0.3">
      <c r="A210" s="713"/>
      <c r="B210" s="714"/>
      <c r="C210" s="715"/>
      <c r="D210" s="716"/>
      <c r="E210" s="716"/>
      <c r="F210" s="717"/>
      <c r="G210" s="708"/>
      <c r="H210" s="708"/>
      <c r="I210" s="1111"/>
      <c r="J210" s="1112"/>
      <c r="K210" s="1112"/>
      <c r="L210" s="1113"/>
      <c r="M210" s="685"/>
      <c r="N210" s="710"/>
      <c r="O210" s="718"/>
      <c r="P210" s="685"/>
      <c r="Q210" s="678"/>
    </row>
    <row r="211" spans="1:17" x14ac:dyDescent="0.3">
      <c r="A211" s="713"/>
      <c r="B211" s="714"/>
      <c r="C211" s="715"/>
      <c r="D211" s="716"/>
      <c r="E211" s="716"/>
      <c r="F211" s="717"/>
      <c r="G211" s="708"/>
      <c r="H211" s="708"/>
      <c r="I211" s="1111"/>
      <c r="J211" s="1112"/>
      <c r="K211" s="1112"/>
      <c r="L211" s="1113"/>
      <c r="M211" s="685"/>
      <c r="N211" s="685"/>
      <c r="O211" s="718"/>
      <c r="P211" s="685"/>
      <c r="Q211" s="685"/>
    </row>
    <row r="212" spans="1:17" x14ac:dyDescent="0.3">
      <c r="A212" s="713"/>
      <c r="B212" s="714"/>
      <c r="C212" s="715"/>
      <c r="D212" s="716"/>
      <c r="E212" s="716"/>
      <c r="F212" s="717"/>
      <c r="G212" s="708"/>
      <c r="H212" s="708"/>
      <c r="I212" s="1111"/>
      <c r="J212" s="1112"/>
      <c r="K212" s="1112"/>
      <c r="L212" s="1113"/>
      <c r="M212" s="685"/>
      <c r="N212" s="685"/>
      <c r="O212" s="718"/>
      <c r="P212" s="685"/>
      <c r="Q212" s="685"/>
    </row>
    <row r="213" spans="1:17" x14ac:dyDescent="0.3">
      <c r="A213" s="713"/>
      <c r="B213" s="714"/>
      <c r="C213" s="715"/>
      <c r="D213" s="716"/>
      <c r="E213" s="716"/>
      <c r="F213" s="717"/>
      <c r="G213" s="708"/>
      <c r="H213" s="708"/>
      <c r="I213" s="1111"/>
      <c r="J213" s="1112"/>
      <c r="K213" s="1112"/>
      <c r="L213" s="1113"/>
      <c r="M213" s="685"/>
      <c r="N213" s="685"/>
      <c r="O213" s="718"/>
      <c r="P213" s="685"/>
      <c r="Q213" s="685"/>
    </row>
    <row r="214" spans="1:17" x14ac:dyDescent="0.3">
      <c r="A214" s="713"/>
      <c r="B214" s="714"/>
      <c r="C214" s="715"/>
      <c r="D214" s="716"/>
      <c r="E214" s="716"/>
      <c r="F214" s="717"/>
      <c r="G214" s="708"/>
      <c r="H214" s="708"/>
      <c r="I214" s="1111"/>
      <c r="J214" s="1112"/>
      <c r="K214" s="1112"/>
      <c r="L214" s="1113"/>
      <c r="M214" s="685"/>
      <c r="N214" s="685"/>
      <c r="O214" s="718"/>
      <c r="P214" s="685"/>
      <c r="Q214" s="685"/>
    </row>
    <row r="215" spans="1:17" x14ac:dyDescent="0.3">
      <c r="A215" s="713"/>
      <c r="B215" s="714"/>
      <c r="C215" s="715"/>
      <c r="D215" s="716"/>
      <c r="E215" s="716"/>
      <c r="F215" s="717"/>
      <c r="G215" s="708"/>
      <c r="H215" s="708"/>
      <c r="I215" s="1111"/>
      <c r="J215" s="1112"/>
      <c r="K215" s="1112"/>
      <c r="L215" s="1113"/>
      <c r="M215" s="685"/>
      <c r="N215" s="685"/>
      <c r="O215" s="718"/>
      <c r="P215" s="685"/>
      <c r="Q215" s="685"/>
    </row>
    <row r="216" spans="1:17" x14ac:dyDescent="0.3">
      <c r="A216" s="713"/>
      <c r="B216" s="714"/>
      <c r="C216" s="715"/>
      <c r="D216" s="716"/>
      <c r="E216" s="716"/>
      <c r="F216" s="717"/>
      <c r="G216" s="708"/>
      <c r="H216" s="708"/>
      <c r="I216" s="1111"/>
      <c r="J216" s="1112"/>
      <c r="K216" s="1112"/>
      <c r="L216" s="1113"/>
      <c r="M216" s="685"/>
      <c r="N216" s="710"/>
      <c r="O216" s="718"/>
      <c r="P216" s="685"/>
      <c r="Q216" s="678"/>
    </row>
    <row r="217" spans="1:17" x14ac:dyDescent="0.3">
      <c r="A217" s="713"/>
      <c r="B217" s="714"/>
      <c r="C217" s="715"/>
      <c r="D217" s="716"/>
      <c r="E217" s="716"/>
      <c r="F217" s="717"/>
      <c r="G217" s="708"/>
      <c r="H217" s="708"/>
      <c r="I217" s="1111"/>
      <c r="J217" s="1112"/>
      <c r="K217" s="1112"/>
      <c r="L217" s="1113"/>
      <c r="M217" s="685"/>
      <c r="N217" s="685"/>
      <c r="O217" s="718"/>
      <c r="P217" s="685"/>
      <c r="Q217" s="685"/>
    </row>
    <row r="218" spans="1:17" x14ac:dyDescent="0.3">
      <c r="A218" s="713"/>
      <c r="B218" s="714"/>
      <c r="C218" s="715"/>
      <c r="D218" s="716"/>
      <c r="E218" s="716"/>
      <c r="F218" s="717"/>
      <c r="G218" s="708"/>
      <c r="H218" s="708"/>
      <c r="I218" s="1111"/>
      <c r="J218" s="1112"/>
      <c r="K218" s="1112"/>
      <c r="L218" s="1113"/>
      <c r="M218" s="685"/>
      <c r="N218" s="685"/>
      <c r="O218" s="718"/>
      <c r="P218" s="685"/>
      <c r="Q218" s="685"/>
    </row>
    <row r="219" spans="1:17" x14ac:dyDescent="0.3">
      <c r="A219" s="713"/>
      <c r="B219" s="714"/>
      <c r="C219" s="715"/>
      <c r="D219" s="716"/>
      <c r="E219" s="716"/>
      <c r="F219" s="717"/>
      <c r="G219" s="708"/>
      <c r="H219" s="708"/>
      <c r="I219" s="1111"/>
      <c r="J219" s="1112"/>
      <c r="K219" s="1112"/>
      <c r="L219" s="1113"/>
      <c r="M219" s="685"/>
      <c r="N219" s="685"/>
      <c r="O219" s="718"/>
      <c r="P219" s="685"/>
      <c r="Q219" s="685"/>
    </row>
    <row r="220" spans="1:17" x14ac:dyDescent="0.3">
      <c r="A220" s="713"/>
      <c r="B220" s="714"/>
      <c r="C220" s="715"/>
      <c r="D220" s="716"/>
      <c r="E220" s="716"/>
      <c r="F220" s="717"/>
      <c r="G220" s="708"/>
      <c r="H220" s="708"/>
      <c r="I220" s="1111"/>
      <c r="J220" s="1112"/>
      <c r="K220" s="1112"/>
      <c r="L220" s="1113"/>
      <c r="M220" s="685"/>
      <c r="N220" s="710"/>
      <c r="O220" s="718"/>
      <c r="P220" s="685"/>
      <c r="Q220" s="678"/>
    </row>
    <row r="221" spans="1:17" x14ac:dyDescent="0.3">
      <c r="A221" s="713"/>
      <c r="B221" s="714"/>
      <c r="C221" s="715"/>
      <c r="D221" s="716"/>
      <c r="E221" s="716"/>
      <c r="F221" s="717"/>
      <c r="G221" s="708"/>
      <c r="H221" s="708"/>
      <c r="I221" s="1111"/>
      <c r="J221" s="1112"/>
      <c r="K221" s="1112"/>
      <c r="L221" s="1113"/>
      <c r="M221" s="685"/>
      <c r="N221" s="685"/>
      <c r="O221" s="718"/>
      <c r="P221" s="685"/>
      <c r="Q221" s="685"/>
    </row>
    <row r="222" spans="1:17" x14ac:dyDescent="0.3">
      <c r="A222" s="713"/>
      <c r="B222" s="714"/>
      <c r="C222" s="715"/>
      <c r="D222" s="716"/>
      <c r="E222" s="716"/>
      <c r="F222" s="717"/>
      <c r="G222" s="708"/>
      <c r="H222" s="708"/>
      <c r="I222" s="1111"/>
      <c r="J222" s="1112"/>
      <c r="K222" s="1112"/>
      <c r="L222" s="1113"/>
      <c r="M222" s="685"/>
      <c r="N222" s="685"/>
      <c r="O222" s="718"/>
      <c r="P222" s="685"/>
      <c r="Q222" s="685"/>
    </row>
    <row r="223" spans="1:17" x14ac:dyDescent="0.3">
      <c r="A223" s="713"/>
      <c r="B223" s="714"/>
      <c r="C223" s="715"/>
      <c r="D223" s="716"/>
      <c r="E223" s="716"/>
      <c r="F223" s="717"/>
      <c r="G223" s="708"/>
      <c r="H223" s="708"/>
      <c r="I223" s="1111"/>
      <c r="J223" s="1112"/>
      <c r="K223" s="1112"/>
      <c r="L223" s="1113"/>
      <c r="M223" s="685"/>
      <c r="N223" s="685"/>
      <c r="O223" s="718"/>
      <c r="P223" s="685"/>
      <c r="Q223" s="685"/>
    </row>
    <row r="224" spans="1:17" x14ac:dyDescent="0.3">
      <c r="A224" s="713"/>
      <c r="B224" s="714"/>
      <c r="C224" s="715"/>
      <c r="D224" s="716"/>
      <c r="E224" s="716"/>
      <c r="F224" s="717"/>
      <c r="G224" s="708"/>
      <c r="H224" s="708"/>
      <c r="I224" s="1111"/>
      <c r="J224" s="1112"/>
      <c r="K224" s="1112"/>
      <c r="L224" s="1113"/>
      <c r="M224" s="685"/>
      <c r="N224" s="685"/>
      <c r="O224" s="718"/>
      <c r="P224" s="685"/>
      <c r="Q224" s="685"/>
    </row>
    <row r="225" spans="1:17" x14ac:dyDescent="0.3">
      <c r="A225" s="713"/>
      <c r="B225" s="714"/>
      <c r="C225" s="715"/>
      <c r="D225" s="716"/>
      <c r="E225" s="716"/>
      <c r="F225" s="717"/>
      <c r="G225" s="708"/>
      <c r="H225" s="708"/>
      <c r="I225" s="1111"/>
      <c r="J225" s="1112"/>
      <c r="K225" s="1112"/>
      <c r="L225" s="1113"/>
      <c r="M225" s="685"/>
      <c r="N225" s="710"/>
      <c r="O225" s="718"/>
      <c r="P225" s="685"/>
      <c r="Q225" s="678"/>
    </row>
    <row r="226" spans="1:17" x14ac:dyDescent="0.3">
      <c r="A226" s="713"/>
      <c r="B226" s="714"/>
      <c r="C226" s="715"/>
      <c r="D226" s="716"/>
      <c r="E226" s="716"/>
      <c r="F226" s="717"/>
      <c r="G226" s="708"/>
      <c r="H226" s="708"/>
      <c r="I226" s="1111"/>
      <c r="J226" s="1112"/>
      <c r="K226" s="1112"/>
      <c r="L226" s="1113"/>
      <c r="M226" s="685"/>
      <c r="N226" s="710"/>
      <c r="O226" s="718"/>
      <c r="P226" s="685"/>
      <c r="Q226" s="678"/>
    </row>
    <row r="227" spans="1:17" x14ac:dyDescent="0.3">
      <c r="A227" s="713"/>
      <c r="B227" s="714"/>
      <c r="C227" s="715"/>
      <c r="D227" s="716"/>
      <c r="E227" s="716"/>
      <c r="F227" s="717"/>
      <c r="G227" s="708"/>
      <c r="H227" s="708"/>
      <c r="I227" s="1111"/>
      <c r="J227" s="1112"/>
      <c r="K227" s="1112"/>
      <c r="L227" s="1113"/>
      <c r="M227" s="685"/>
      <c r="N227" s="685"/>
      <c r="O227" s="718"/>
      <c r="P227" s="685"/>
      <c r="Q227" s="685"/>
    </row>
    <row r="228" spans="1:17" x14ac:dyDescent="0.3">
      <c r="A228" s="713"/>
      <c r="B228" s="714"/>
      <c r="C228" s="715"/>
      <c r="D228" s="716"/>
      <c r="E228" s="716"/>
      <c r="F228" s="717"/>
      <c r="G228" s="708"/>
      <c r="H228" s="708"/>
      <c r="I228" s="1111"/>
      <c r="J228" s="1112"/>
      <c r="K228" s="1112"/>
      <c r="L228" s="1113"/>
      <c r="M228" s="685"/>
      <c r="N228" s="685"/>
      <c r="O228" s="718"/>
      <c r="P228" s="685"/>
      <c r="Q228" s="685"/>
    </row>
    <row r="229" spans="1:17" x14ac:dyDescent="0.3">
      <c r="A229" s="713"/>
      <c r="B229" s="714"/>
      <c r="C229" s="715"/>
      <c r="D229" s="716"/>
      <c r="E229" s="716"/>
      <c r="F229" s="717"/>
      <c r="G229" s="708"/>
      <c r="H229" s="708"/>
      <c r="I229" s="1111"/>
      <c r="J229" s="1112"/>
      <c r="K229" s="1112"/>
      <c r="L229" s="1113"/>
      <c r="M229" s="685"/>
      <c r="N229" s="685"/>
      <c r="O229" s="718"/>
      <c r="P229" s="685"/>
      <c r="Q229" s="685"/>
    </row>
    <row r="230" spans="1:17" x14ac:dyDescent="0.3">
      <c r="A230" s="713"/>
      <c r="B230" s="714"/>
      <c r="C230" s="715"/>
      <c r="D230" s="716"/>
      <c r="E230" s="716"/>
      <c r="F230" s="717"/>
      <c r="G230" s="708"/>
      <c r="H230" s="708"/>
      <c r="I230" s="1111"/>
      <c r="J230" s="1112"/>
      <c r="K230" s="1112"/>
      <c r="L230" s="1113"/>
      <c r="M230" s="685"/>
      <c r="N230" s="685"/>
      <c r="O230" s="718"/>
      <c r="P230" s="685"/>
      <c r="Q230" s="685"/>
    </row>
    <row r="231" spans="1:17" x14ac:dyDescent="0.3">
      <c r="A231" s="713"/>
      <c r="B231" s="714"/>
      <c r="C231" s="715"/>
      <c r="D231" s="716"/>
      <c r="E231" s="716"/>
      <c r="F231" s="717"/>
      <c r="G231" s="708"/>
      <c r="H231" s="708"/>
      <c r="I231" s="1111"/>
      <c r="J231" s="1112"/>
      <c r="K231" s="1112"/>
      <c r="L231" s="1113"/>
      <c r="M231" s="685"/>
      <c r="N231" s="685"/>
      <c r="O231" s="718"/>
      <c r="P231" s="685"/>
      <c r="Q231" s="685"/>
    </row>
    <row r="232" spans="1:17" ht="13.8" x14ac:dyDescent="0.3">
      <c r="A232" s="713"/>
      <c r="B232" s="714"/>
      <c r="C232" s="715"/>
      <c r="D232" s="716"/>
      <c r="E232" s="716"/>
      <c r="F232" s="717"/>
      <c r="G232" s="708"/>
      <c r="H232" s="708"/>
      <c r="I232" s="1111"/>
      <c r="J232" s="1112"/>
      <c r="K232" s="1112"/>
      <c r="L232" s="1113"/>
      <c r="M232" s="685"/>
      <c r="N232" s="710"/>
      <c r="O232" s="595"/>
      <c r="P232" s="685"/>
      <c r="Q232" s="678"/>
    </row>
    <row r="233" spans="1:17" x14ac:dyDescent="0.3">
      <c r="A233" s="713"/>
      <c r="B233" s="714"/>
      <c r="C233" s="715"/>
      <c r="D233" s="716"/>
      <c r="E233" s="716"/>
      <c r="F233" s="717"/>
      <c r="G233" s="708"/>
      <c r="H233" s="708"/>
      <c r="I233" s="1111"/>
      <c r="J233" s="1112"/>
      <c r="K233" s="1112"/>
      <c r="L233" s="1113"/>
      <c r="M233" s="685"/>
      <c r="N233" s="685"/>
      <c r="O233" s="718"/>
      <c r="P233" s="685"/>
      <c r="Q233" s="685"/>
    </row>
    <row r="234" spans="1:17" x14ac:dyDescent="0.3">
      <c r="A234" s="713"/>
      <c r="B234" s="714"/>
      <c r="C234" s="715"/>
      <c r="D234" s="716"/>
      <c r="E234" s="716"/>
      <c r="F234" s="717"/>
      <c r="G234" s="708"/>
      <c r="H234" s="708"/>
      <c r="I234" s="1111"/>
      <c r="J234" s="1112"/>
      <c r="K234" s="1112"/>
      <c r="L234" s="1113"/>
      <c r="M234" s="685"/>
      <c r="N234" s="685"/>
      <c r="O234" s="718"/>
      <c r="P234" s="685"/>
      <c r="Q234" s="685"/>
    </row>
    <row r="235" spans="1:17" x14ac:dyDescent="0.3">
      <c r="A235" s="713"/>
      <c r="B235" s="714"/>
      <c r="C235" s="715"/>
      <c r="D235" s="716"/>
      <c r="E235" s="716"/>
      <c r="F235" s="717"/>
      <c r="G235" s="708"/>
      <c r="H235" s="708"/>
      <c r="I235" s="1111"/>
      <c r="J235" s="1112"/>
      <c r="K235" s="1112"/>
      <c r="L235" s="1113"/>
      <c r="M235" s="685"/>
      <c r="N235" s="685"/>
      <c r="O235" s="718"/>
      <c r="P235" s="685"/>
      <c r="Q235" s="685"/>
    </row>
    <row r="236" spans="1:17" x14ac:dyDescent="0.3">
      <c r="A236" s="713"/>
      <c r="B236" s="714"/>
      <c r="C236" s="715"/>
      <c r="D236" s="716"/>
      <c r="E236" s="716"/>
      <c r="F236" s="717"/>
      <c r="G236" s="708"/>
      <c r="H236" s="708"/>
      <c r="I236" s="1111"/>
      <c r="J236" s="1112"/>
      <c r="K236" s="1112"/>
      <c r="L236" s="1113"/>
      <c r="M236" s="685"/>
      <c r="N236" s="685"/>
      <c r="O236" s="718"/>
      <c r="P236" s="685"/>
      <c r="Q236" s="685"/>
    </row>
    <row r="237" spans="1:17" x14ac:dyDescent="0.3">
      <c r="A237" s="713"/>
      <c r="B237" s="714"/>
      <c r="C237" s="715"/>
      <c r="D237" s="716"/>
      <c r="E237" s="716"/>
      <c r="F237" s="717"/>
      <c r="G237" s="708"/>
      <c r="H237" s="708"/>
      <c r="I237" s="1111"/>
      <c r="J237" s="1112"/>
      <c r="K237" s="1112"/>
      <c r="L237" s="1113"/>
      <c r="M237" s="685"/>
      <c r="N237" s="710"/>
      <c r="O237" s="718"/>
      <c r="P237" s="685"/>
      <c r="Q237" s="678"/>
    </row>
    <row r="238" spans="1:17" x14ac:dyDescent="0.3">
      <c r="A238" s="713"/>
      <c r="B238" s="714"/>
      <c r="C238" s="715"/>
      <c r="D238" s="716"/>
      <c r="E238" s="716"/>
      <c r="F238" s="717"/>
      <c r="G238" s="708"/>
      <c r="H238" s="708"/>
      <c r="I238" s="1111"/>
      <c r="J238" s="1112"/>
      <c r="K238" s="1112"/>
      <c r="L238" s="1113"/>
      <c r="M238" s="685"/>
      <c r="N238" s="685"/>
      <c r="O238" s="718"/>
      <c r="P238" s="685"/>
      <c r="Q238" s="685"/>
    </row>
    <row r="239" spans="1:17" x14ac:dyDescent="0.3">
      <c r="A239" s="713"/>
      <c r="B239" s="714"/>
      <c r="C239" s="715"/>
      <c r="D239" s="716"/>
      <c r="E239" s="716"/>
      <c r="F239" s="717"/>
      <c r="G239" s="708"/>
      <c r="H239" s="708"/>
      <c r="I239" s="1111"/>
      <c r="J239" s="1112"/>
      <c r="K239" s="1112"/>
      <c r="L239" s="1113"/>
      <c r="M239" s="685"/>
      <c r="N239" s="685"/>
      <c r="O239" s="718"/>
      <c r="P239" s="685"/>
      <c r="Q239" s="685"/>
    </row>
    <row r="240" spans="1:17" x14ac:dyDescent="0.3">
      <c r="A240" s="713"/>
      <c r="B240" s="714"/>
      <c r="C240" s="715"/>
      <c r="D240" s="716"/>
      <c r="E240" s="716"/>
      <c r="F240" s="717"/>
      <c r="G240" s="708"/>
      <c r="H240" s="708"/>
      <c r="I240" s="1111"/>
      <c r="J240" s="1112"/>
      <c r="K240" s="1112"/>
      <c r="L240" s="1113"/>
      <c r="M240" s="685"/>
      <c r="N240" s="685"/>
      <c r="O240" s="718"/>
      <c r="P240" s="685"/>
      <c r="Q240" s="685"/>
    </row>
    <row r="241" spans="1:17" x14ac:dyDescent="0.3">
      <c r="A241" s="713"/>
      <c r="B241" s="714"/>
      <c r="C241" s="715"/>
      <c r="D241" s="716"/>
      <c r="E241" s="716"/>
      <c r="F241" s="717"/>
      <c r="G241" s="708"/>
      <c r="H241" s="708"/>
      <c r="I241" s="1111"/>
      <c r="J241" s="1112"/>
      <c r="K241" s="1112"/>
      <c r="L241" s="1113"/>
      <c r="M241" s="685"/>
      <c r="N241" s="710"/>
      <c r="O241" s="718"/>
      <c r="P241" s="685"/>
      <c r="Q241" s="678"/>
    </row>
    <row r="242" spans="1:17" x14ac:dyDescent="0.3">
      <c r="A242" s="713"/>
      <c r="B242" s="714"/>
      <c r="C242" s="715"/>
      <c r="D242" s="716"/>
      <c r="E242" s="716"/>
      <c r="F242" s="717"/>
      <c r="G242" s="708"/>
      <c r="H242" s="708"/>
      <c r="I242" s="1111"/>
      <c r="J242" s="1112"/>
      <c r="K242" s="1112"/>
      <c r="L242" s="1113"/>
      <c r="M242" s="685"/>
      <c r="N242" s="710"/>
      <c r="O242" s="718"/>
      <c r="P242" s="685"/>
      <c r="Q242" s="678"/>
    </row>
    <row r="243" spans="1:17" x14ac:dyDescent="0.3">
      <c r="A243" s="713"/>
      <c r="B243" s="714"/>
      <c r="C243" s="715"/>
      <c r="D243" s="716"/>
      <c r="E243" s="716"/>
      <c r="F243" s="717"/>
      <c r="G243" s="708"/>
      <c r="H243" s="708"/>
      <c r="I243" s="1111"/>
      <c r="J243" s="1112"/>
      <c r="K243" s="1112"/>
      <c r="L243" s="1113"/>
      <c r="M243" s="685"/>
      <c r="N243" s="710"/>
      <c r="O243" s="718"/>
      <c r="P243" s="685"/>
      <c r="Q243" s="678"/>
    </row>
    <row r="244" spans="1:17" x14ac:dyDescent="0.3">
      <c r="A244" s="713"/>
      <c r="B244" s="714"/>
      <c r="C244" s="715"/>
      <c r="D244" s="716"/>
      <c r="E244" s="716"/>
      <c r="F244" s="717"/>
      <c r="G244" s="708"/>
      <c r="H244" s="708"/>
      <c r="I244" s="1111"/>
      <c r="J244" s="1112"/>
      <c r="K244" s="1112"/>
      <c r="L244" s="1113"/>
      <c r="M244" s="685"/>
      <c r="N244" s="710"/>
      <c r="O244" s="718"/>
      <c r="P244" s="685"/>
      <c r="Q244" s="685"/>
    </row>
    <row r="245" spans="1:17" x14ac:dyDescent="0.3">
      <c r="A245" s="713"/>
      <c r="B245" s="714"/>
      <c r="C245" s="715"/>
      <c r="D245" s="716"/>
      <c r="E245" s="716"/>
      <c r="F245" s="717"/>
      <c r="G245" s="708"/>
      <c r="H245" s="708"/>
      <c r="I245" s="1111"/>
      <c r="J245" s="1112"/>
      <c r="K245" s="1112"/>
      <c r="L245" s="1113"/>
      <c r="M245" s="685"/>
      <c r="N245" s="710"/>
      <c r="O245" s="718"/>
      <c r="P245" s="685"/>
      <c r="Q245" s="685"/>
    </row>
    <row r="246" spans="1:17" x14ac:dyDescent="0.3">
      <c r="A246" s="713"/>
      <c r="B246" s="714"/>
      <c r="C246" s="715"/>
      <c r="D246" s="716"/>
      <c r="E246" s="716"/>
      <c r="F246" s="717"/>
      <c r="G246" s="708"/>
      <c r="H246" s="708"/>
      <c r="I246" s="1111"/>
      <c r="J246" s="1112"/>
      <c r="K246" s="1112"/>
      <c r="L246" s="1113"/>
      <c r="M246" s="685"/>
      <c r="N246" s="710"/>
      <c r="O246" s="718"/>
      <c r="P246" s="685"/>
      <c r="Q246" s="685"/>
    </row>
    <row r="247" spans="1:17" x14ac:dyDescent="0.3">
      <c r="A247" s="713"/>
      <c r="B247" s="714"/>
      <c r="C247" s="715"/>
      <c r="D247" s="716"/>
      <c r="E247" s="716"/>
      <c r="F247" s="717"/>
      <c r="G247" s="708"/>
      <c r="H247" s="708"/>
      <c r="I247" s="1111"/>
      <c r="J247" s="1112"/>
      <c r="K247" s="1112"/>
      <c r="L247" s="1113"/>
      <c r="M247" s="685"/>
      <c r="N247" s="710"/>
      <c r="O247" s="718"/>
      <c r="P247" s="685"/>
      <c r="Q247" s="678"/>
    </row>
    <row r="248" spans="1:17" x14ac:dyDescent="0.3">
      <c r="A248" s="713"/>
      <c r="B248" s="714"/>
      <c r="C248" s="715"/>
      <c r="D248" s="716"/>
      <c r="E248" s="716"/>
      <c r="F248" s="717"/>
      <c r="G248" s="708"/>
      <c r="H248" s="708"/>
      <c r="I248" s="1111"/>
      <c r="J248" s="1112"/>
      <c r="K248" s="1112"/>
      <c r="L248" s="1113"/>
      <c r="M248" s="685"/>
      <c r="N248" s="710"/>
      <c r="O248" s="718"/>
      <c r="P248" s="685"/>
      <c r="Q248" s="685"/>
    </row>
    <row r="249" spans="1:17" x14ac:dyDescent="0.3">
      <c r="A249" s="713"/>
      <c r="B249" s="714"/>
      <c r="C249" s="715"/>
      <c r="D249" s="716"/>
      <c r="E249" s="716"/>
      <c r="F249" s="717"/>
      <c r="G249" s="708"/>
      <c r="H249" s="708"/>
      <c r="I249" s="1111"/>
      <c r="J249" s="1112"/>
      <c r="K249" s="1112"/>
      <c r="L249" s="1113"/>
      <c r="M249" s="685"/>
      <c r="N249" s="685"/>
      <c r="O249" s="718"/>
      <c r="P249" s="685"/>
      <c r="Q249" s="685"/>
    </row>
    <row r="250" spans="1:17" x14ac:dyDescent="0.3">
      <c r="A250" s="713"/>
      <c r="B250" s="714"/>
      <c r="C250" s="715"/>
      <c r="D250" s="716"/>
      <c r="E250" s="716"/>
      <c r="F250" s="717"/>
      <c r="G250" s="708"/>
      <c r="H250" s="708"/>
      <c r="I250" s="1111"/>
      <c r="J250" s="1112"/>
      <c r="K250" s="1112"/>
      <c r="L250" s="1113"/>
      <c r="M250" s="685"/>
      <c r="N250" s="685"/>
      <c r="O250" s="718"/>
      <c r="P250" s="685"/>
      <c r="Q250" s="685"/>
    </row>
    <row r="251" spans="1:17" x14ac:dyDescent="0.3">
      <c r="A251" s="713"/>
      <c r="B251" s="714"/>
      <c r="C251" s="715"/>
      <c r="D251" s="716"/>
      <c r="E251" s="716"/>
      <c r="F251" s="717"/>
      <c r="G251" s="708"/>
      <c r="H251" s="708"/>
      <c r="I251" s="1111"/>
      <c r="J251" s="1112"/>
      <c r="K251" s="1112"/>
      <c r="L251" s="1113"/>
      <c r="M251" s="685"/>
      <c r="N251" s="685"/>
      <c r="O251" s="718"/>
      <c r="P251" s="685"/>
      <c r="Q251" s="685"/>
    </row>
    <row r="252" spans="1:17" x14ac:dyDescent="0.3">
      <c r="A252" s="713"/>
      <c r="B252" s="714"/>
      <c r="C252" s="715"/>
      <c r="D252" s="716"/>
      <c r="E252" s="716"/>
      <c r="F252" s="717"/>
      <c r="G252" s="708"/>
      <c r="H252" s="708"/>
      <c r="I252" s="1111"/>
      <c r="J252" s="1112"/>
      <c r="K252" s="1112"/>
      <c r="L252" s="1113"/>
      <c r="M252" s="685"/>
      <c r="N252" s="685"/>
      <c r="O252" s="718"/>
      <c r="P252" s="685"/>
      <c r="Q252" s="685"/>
    </row>
    <row r="253" spans="1:17" x14ac:dyDescent="0.3">
      <c r="A253" s="713"/>
      <c r="B253" s="714"/>
      <c r="C253" s="715"/>
      <c r="D253" s="716"/>
      <c r="E253" s="716"/>
      <c r="F253" s="717"/>
      <c r="G253" s="708"/>
      <c r="H253" s="708"/>
      <c r="I253" s="1111"/>
      <c r="J253" s="1112"/>
      <c r="K253" s="1112"/>
      <c r="L253" s="1113"/>
      <c r="M253" s="685"/>
      <c r="N253" s="685"/>
      <c r="O253" s="718"/>
      <c r="P253" s="685"/>
      <c r="Q253" s="685"/>
    </row>
    <row r="254" spans="1:17" ht="13.8" x14ac:dyDescent="0.3">
      <c r="A254" s="713"/>
      <c r="B254" s="714"/>
      <c r="C254" s="715"/>
      <c r="D254" s="716"/>
      <c r="E254" s="716"/>
      <c r="F254" s="716"/>
      <c r="G254" s="708"/>
      <c r="H254" s="708"/>
      <c r="I254" s="1111"/>
      <c r="J254" s="1112"/>
      <c r="K254" s="1112"/>
      <c r="L254" s="1113"/>
      <c r="M254" s="685"/>
      <c r="N254" s="710"/>
      <c r="O254" s="595"/>
      <c r="P254" s="685"/>
      <c r="Q254" s="678"/>
    </row>
    <row r="255" spans="1:17" x14ac:dyDescent="0.3">
      <c r="A255" s="713"/>
      <c r="B255" s="714"/>
      <c r="C255" s="715"/>
      <c r="D255" s="716"/>
      <c r="E255" s="716"/>
      <c r="F255" s="717"/>
      <c r="G255" s="708"/>
      <c r="H255" s="708"/>
      <c r="I255" s="1111"/>
      <c r="J255" s="1112"/>
      <c r="K255" s="1112"/>
      <c r="L255" s="1113"/>
      <c r="M255" s="685"/>
      <c r="N255" s="685"/>
      <c r="O255" s="718"/>
      <c r="P255" s="685"/>
      <c r="Q255" s="685"/>
    </row>
    <row r="256" spans="1:17" x14ac:dyDescent="0.3">
      <c r="A256" s="713"/>
      <c r="B256" s="714"/>
      <c r="C256" s="715"/>
      <c r="D256" s="716"/>
      <c r="E256" s="716"/>
      <c r="F256" s="717"/>
      <c r="G256" s="708"/>
      <c r="H256" s="708"/>
      <c r="I256" s="1111"/>
      <c r="J256" s="1112"/>
      <c r="K256" s="1112"/>
      <c r="L256" s="1113"/>
      <c r="M256" s="685"/>
      <c r="N256" s="710"/>
      <c r="O256" s="718"/>
      <c r="P256" s="685"/>
      <c r="Q256" s="678"/>
    </row>
    <row r="257" spans="1:17" x14ac:dyDescent="0.3">
      <c r="A257" s="713"/>
      <c r="B257" s="714"/>
      <c r="C257" s="715"/>
      <c r="D257" s="716"/>
      <c r="E257" s="716"/>
      <c r="F257" s="717"/>
      <c r="G257" s="708"/>
      <c r="H257" s="708"/>
      <c r="I257" s="1111"/>
      <c r="J257" s="1112"/>
      <c r="K257" s="1112"/>
      <c r="L257" s="1113"/>
      <c r="M257" s="685"/>
      <c r="N257" s="685"/>
      <c r="O257" s="718"/>
      <c r="P257" s="685"/>
      <c r="Q257" s="685"/>
    </row>
    <row r="258" spans="1:17" x14ac:dyDescent="0.3">
      <c r="A258" s="713"/>
      <c r="B258" s="714"/>
      <c r="C258" s="715"/>
      <c r="D258" s="716"/>
      <c r="E258" s="716"/>
      <c r="F258" s="717"/>
      <c r="G258" s="708"/>
      <c r="H258" s="708"/>
      <c r="I258" s="1111"/>
      <c r="J258" s="1112"/>
      <c r="K258" s="1112"/>
      <c r="L258" s="1113"/>
      <c r="M258" s="685"/>
      <c r="N258" s="685"/>
      <c r="O258" s="718"/>
      <c r="P258" s="685"/>
      <c r="Q258" s="685"/>
    </row>
    <row r="259" spans="1:17" x14ac:dyDescent="0.3">
      <c r="A259" s="713"/>
      <c r="B259" s="714"/>
      <c r="C259" s="715"/>
      <c r="D259" s="716"/>
      <c r="E259" s="716"/>
      <c r="F259" s="717"/>
      <c r="G259" s="708"/>
      <c r="H259" s="708"/>
      <c r="I259" s="1111"/>
      <c r="J259" s="1112"/>
      <c r="K259" s="1112"/>
      <c r="L259" s="1113"/>
      <c r="M259" s="685"/>
      <c r="N259" s="685"/>
      <c r="O259" s="718"/>
      <c r="P259" s="685"/>
      <c r="Q259" s="685"/>
    </row>
    <row r="260" spans="1:17" x14ac:dyDescent="0.3">
      <c r="A260" s="713"/>
      <c r="B260" s="714"/>
      <c r="C260" s="715"/>
      <c r="D260" s="716"/>
      <c r="E260" s="716"/>
      <c r="F260" s="717"/>
      <c r="G260" s="708"/>
      <c r="H260" s="708"/>
      <c r="I260" s="1111"/>
      <c r="J260" s="1112"/>
      <c r="K260" s="1112"/>
      <c r="L260" s="1113"/>
      <c r="M260" s="685"/>
      <c r="N260" s="685"/>
      <c r="O260" s="718"/>
      <c r="P260" s="685"/>
      <c r="Q260" s="685"/>
    </row>
    <row r="261" spans="1:17" ht="13.8" x14ac:dyDescent="0.3">
      <c r="A261" s="713"/>
      <c r="B261" s="714"/>
      <c r="C261" s="715"/>
      <c r="D261" s="716"/>
      <c r="E261" s="716"/>
      <c r="F261" s="717"/>
      <c r="G261" s="708"/>
      <c r="H261" s="708"/>
      <c r="I261" s="1111"/>
      <c r="J261" s="1112"/>
      <c r="K261" s="1112"/>
      <c r="L261" s="1113"/>
      <c r="M261" s="685"/>
      <c r="N261" s="710"/>
      <c r="O261" s="594"/>
      <c r="P261" s="685"/>
      <c r="Q261" s="678"/>
    </row>
    <row r="262" spans="1:17" x14ac:dyDescent="0.3">
      <c r="A262" s="713"/>
      <c r="B262" s="714"/>
      <c r="C262" s="715"/>
      <c r="D262" s="716"/>
      <c r="E262" s="716"/>
      <c r="F262" s="717"/>
      <c r="G262" s="708"/>
      <c r="H262" s="708"/>
      <c r="I262" s="1111"/>
      <c r="J262" s="1112"/>
      <c r="K262" s="1112"/>
      <c r="L262" s="1113"/>
      <c r="M262" s="685"/>
      <c r="N262" s="685"/>
      <c r="O262" s="718"/>
      <c r="P262" s="685"/>
      <c r="Q262" s="685"/>
    </row>
    <row r="263" spans="1:17" x14ac:dyDescent="0.3">
      <c r="A263" s="713"/>
      <c r="B263" s="714"/>
      <c r="C263" s="715"/>
      <c r="D263" s="716"/>
      <c r="E263" s="716"/>
      <c r="F263" s="717"/>
      <c r="G263" s="708"/>
      <c r="H263" s="708"/>
      <c r="I263" s="1111"/>
      <c r="J263" s="1112"/>
      <c r="K263" s="1112"/>
      <c r="L263" s="1113"/>
      <c r="M263" s="685"/>
      <c r="N263" s="685"/>
      <c r="O263" s="718"/>
      <c r="P263" s="685"/>
      <c r="Q263" s="685"/>
    </row>
    <row r="264" spans="1:17" x14ac:dyDescent="0.3">
      <c r="A264" s="713"/>
      <c r="B264" s="714"/>
      <c r="C264" s="715"/>
      <c r="D264" s="716"/>
      <c r="E264" s="716"/>
      <c r="F264" s="717"/>
      <c r="G264" s="708"/>
      <c r="H264" s="708"/>
      <c r="I264" s="1111"/>
      <c r="J264" s="1112"/>
      <c r="K264" s="1112"/>
      <c r="L264" s="1113"/>
      <c r="M264" s="685"/>
      <c r="N264" s="710"/>
      <c r="O264" s="718"/>
      <c r="P264" s="685"/>
      <c r="Q264" s="678"/>
    </row>
    <row r="265" spans="1:17" x14ac:dyDescent="0.3">
      <c r="A265" s="713"/>
      <c r="B265" s="714"/>
      <c r="C265" s="715"/>
      <c r="D265" s="716"/>
      <c r="E265" s="716"/>
      <c r="F265" s="717"/>
      <c r="G265" s="708"/>
      <c r="H265" s="708"/>
      <c r="I265" s="1111"/>
      <c r="J265" s="1112"/>
      <c r="K265" s="1112"/>
      <c r="L265" s="1113"/>
      <c r="M265" s="685"/>
      <c r="N265" s="685"/>
      <c r="O265" s="718"/>
      <c r="P265" s="685"/>
      <c r="Q265" s="685"/>
    </row>
    <row r="266" spans="1:17" x14ac:dyDescent="0.3">
      <c r="A266" s="713"/>
      <c r="B266" s="714"/>
      <c r="C266" s="715"/>
      <c r="D266" s="716"/>
      <c r="E266" s="716"/>
      <c r="F266" s="717"/>
      <c r="G266" s="708"/>
      <c r="H266" s="708"/>
      <c r="I266" s="1111"/>
      <c r="J266" s="1112"/>
      <c r="K266" s="1112"/>
      <c r="L266" s="1113"/>
      <c r="M266" s="685"/>
      <c r="N266" s="685"/>
      <c r="O266" s="718"/>
      <c r="P266" s="685"/>
      <c r="Q266" s="685"/>
    </row>
    <row r="267" spans="1:17" x14ac:dyDescent="0.3">
      <c r="A267" s="713"/>
      <c r="B267" s="714"/>
      <c r="C267" s="715"/>
      <c r="D267" s="716"/>
      <c r="E267" s="716"/>
      <c r="F267" s="717"/>
      <c r="G267" s="708"/>
      <c r="H267" s="708"/>
      <c r="I267" s="1111"/>
      <c r="J267" s="1112"/>
      <c r="K267" s="1112"/>
      <c r="L267" s="1113"/>
      <c r="M267" s="685"/>
      <c r="N267" s="685"/>
      <c r="O267" s="718"/>
      <c r="P267" s="685"/>
      <c r="Q267" s="685"/>
    </row>
    <row r="268" spans="1:17" x14ac:dyDescent="0.3">
      <c r="A268" s="713"/>
      <c r="B268" s="714"/>
      <c r="C268" s="715"/>
      <c r="D268" s="716"/>
      <c r="E268" s="716"/>
      <c r="F268" s="717"/>
      <c r="G268" s="708"/>
      <c r="H268" s="708"/>
      <c r="I268" s="1111"/>
      <c r="J268" s="1112"/>
      <c r="K268" s="1112"/>
      <c r="L268" s="1113"/>
      <c r="M268" s="685"/>
      <c r="N268" s="710"/>
      <c r="O268" s="718"/>
      <c r="P268" s="685"/>
      <c r="Q268" s="678"/>
    </row>
    <row r="269" spans="1:17" ht="13.8" x14ac:dyDescent="0.3">
      <c r="A269" s="713"/>
      <c r="B269" s="714"/>
      <c r="C269" s="715"/>
      <c r="D269" s="716"/>
      <c r="E269" s="716"/>
      <c r="F269" s="717"/>
      <c r="G269" s="708"/>
      <c r="H269" s="708"/>
      <c r="I269" s="1111"/>
      <c r="J269" s="1112"/>
      <c r="K269" s="1112"/>
      <c r="L269" s="1113"/>
      <c r="M269" s="685"/>
      <c r="N269" s="710"/>
      <c r="O269" s="595"/>
      <c r="P269" s="685"/>
      <c r="Q269" s="685"/>
    </row>
    <row r="270" spans="1:17" x14ac:dyDescent="0.3">
      <c r="A270" s="713"/>
      <c r="B270" s="714"/>
      <c r="C270" s="715"/>
      <c r="D270" s="716"/>
      <c r="E270" s="716"/>
      <c r="F270" s="717"/>
      <c r="G270" s="708"/>
      <c r="H270" s="708"/>
      <c r="I270" s="1111"/>
      <c r="J270" s="1112"/>
      <c r="K270" s="1112"/>
      <c r="L270" s="1113"/>
      <c r="M270" s="685"/>
      <c r="N270" s="685"/>
      <c r="O270" s="718"/>
      <c r="P270" s="685"/>
      <c r="Q270" s="685"/>
    </row>
    <row r="271" spans="1:17" x14ac:dyDescent="0.3">
      <c r="A271" s="713"/>
      <c r="B271" s="714"/>
      <c r="C271" s="715"/>
      <c r="D271" s="716"/>
      <c r="E271" s="716"/>
      <c r="F271" s="717"/>
      <c r="G271" s="708"/>
      <c r="H271" s="708"/>
      <c r="I271" s="1111"/>
      <c r="J271" s="1112"/>
      <c r="K271" s="1112"/>
      <c r="L271" s="1113"/>
      <c r="M271" s="685"/>
      <c r="N271" s="685"/>
      <c r="O271" s="718"/>
      <c r="P271" s="685"/>
      <c r="Q271" s="685"/>
    </row>
    <row r="272" spans="1:17" x14ac:dyDescent="0.3">
      <c r="A272" s="713"/>
      <c r="B272" s="714"/>
      <c r="C272" s="715"/>
      <c r="D272" s="716"/>
      <c r="E272" s="716"/>
      <c r="F272" s="717"/>
      <c r="G272" s="708"/>
      <c r="H272" s="708"/>
      <c r="I272" s="1111"/>
      <c r="J272" s="1112"/>
      <c r="K272" s="1112"/>
      <c r="L272" s="1113"/>
      <c r="M272" s="685"/>
      <c r="N272" s="685"/>
      <c r="O272" s="718"/>
      <c r="P272" s="685"/>
      <c r="Q272" s="685"/>
    </row>
    <row r="273" spans="1:17" x14ac:dyDescent="0.3">
      <c r="A273" s="713"/>
      <c r="B273" s="714"/>
      <c r="C273" s="715"/>
      <c r="D273" s="716"/>
      <c r="E273" s="716"/>
      <c r="F273" s="717"/>
      <c r="G273" s="708"/>
      <c r="H273" s="708"/>
      <c r="I273" s="1111"/>
      <c r="J273" s="1112"/>
      <c r="K273" s="1112"/>
      <c r="L273" s="1113"/>
      <c r="M273" s="685"/>
      <c r="N273" s="685"/>
      <c r="O273" s="718"/>
      <c r="P273" s="685"/>
      <c r="Q273" s="685"/>
    </row>
    <row r="274" spans="1:17" x14ac:dyDescent="0.3">
      <c r="A274" s="713"/>
      <c r="B274" s="714"/>
      <c r="C274" s="715"/>
      <c r="D274" s="716"/>
      <c r="E274" s="716"/>
      <c r="F274" s="717"/>
      <c r="G274" s="708"/>
      <c r="H274" s="708"/>
      <c r="I274" s="1111"/>
      <c r="J274" s="1112"/>
      <c r="K274" s="1112"/>
      <c r="L274" s="1113"/>
      <c r="M274" s="685"/>
      <c r="N274" s="685"/>
      <c r="O274" s="718"/>
      <c r="P274" s="685"/>
      <c r="Q274" s="685"/>
    </row>
    <row r="275" spans="1:17" x14ac:dyDescent="0.3">
      <c r="A275" s="713"/>
      <c r="B275" s="714"/>
      <c r="C275" s="715"/>
      <c r="D275" s="716"/>
      <c r="E275" s="716"/>
      <c r="F275" s="717"/>
      <c r="G275" s="708"/>
      <c r="H275" s="708"/>
      <c r="I275" s="1111"/>
      <c r="J275" s="1112"/>
      <c r="K275" s="1112"/>
      <c r="L275" s="1113"/>
      <c r="M275" s="685"/>
      <c r="N275" s="710"/>
      <c r="O275" s="718"/>
      <c r="P275" s="685"/>
      <c r="Q275" s="678"/>
    </row>
    <row r="276" spans="1:17" x14ac:dyDescent="0.3">
      <c r="A276" s="713"/>
      <c r="B276" s="714"/>
      <c r="C276" s="715"/>
      <c r="D276" s="716"/>
      <c r="E276" s="716"/>
      <c r="F276" s="717"/>
      <c r="G276" s="708"/>
      <c r="H276" s="708"/>
      <c r="I276" s="1111"/>
      <c r="J276" s="1112"/>
      <c r="K276" s="1112"/>
      <c r="L276" s="1113"/>
      <c r="M276" s="685"/>
      <c r="N276" s="685"/>
      <c r="O276" s="718"/>
      <c r="P276" s="685"/>
      <c r="Q276" s="685"/>
    </row>
    <row r="277" spans="1:17" x14ac:dyDescent="0.3">
      <c r="A277" s="713"/>
      <c r="B277" s="714"/>
      <c r="C277" s="715"/>
      <c r="D277" s="716"/>
      <c r="E277" s="716"/>
      <c r="F277" s="717"/>
      <c r="G277" s="708"/>
      <c r="H277" s="708"/>
      <c r="I277" s="1111"/>
      <c r="J277" s="1112"/>
      <c r="K277" s="1112"/>
      <c r="L277" s="1113"/>
      <c r="M277" s="685"/>
      <c r="N277" s="710"/>
      <c r="O277" s="718"/>
      <c r="P277" s="685"/>
      <c r="Q277" s="685"/>
    </row>
    <row r="278" spans="1:17" x14ac:dyDescent="0.3">
      <c r="A278" s="713"/>
      <c r="B278" s="714"/>
      <c r="C278" s="715"/>
      <c r="D278" s="716"/>
      <c r="E278" s="716"/>
      <c r="F278" s="717"/>
      <c r="G278" s="708"/>
      <c r="H278" s="708"/>
      <c r="I278" s="1111"/>
      <c r="J278" s="1112"/>
      <c r="K278" s="1112"/>
      <c r="L278" s="1113"/>
      <c r="M278" s="685"/>
      <c r="N278" s="685"/>
      <c r="O278" s="718"/>
      <c r="P278" s="685"/>
      <c r="Q278" s="685"/>
    </row>
    <row r="279" spans="1:17" x14ac:dyDescent="0.3">
      <c r="A279" s="713"/>
      <c r="B279" s="714"/>
      <c r="C279" s="715"/>
      <c r="D279" s="716"/>
      <c r="E279" s="716"/>
      <c r="F279" s="717"/>
      <c r="G279" s="708"/>
      <c r="H279" s="708"/>
      <c r="I279" s="1111"/>
      <c r="J279" s="1112"/>
      <c r="K279" s="1112"/>
      <c r="L279" s="1113"/>
      <c r="M279" s="685"/>
      <c r="N279" s="710"/>
      <c r="O279" s="718"/>
      <c r="P279" s="685"/>
      <c r="Q279" s="685"/>
    </row>
    <row r="280" spans="1:17" x14ac:dyDescent="0.3">
      <c r="A280" s="713"/>
      <c r="B280" s="714"/>
      <c r="C280" s="715"/>
      <c r="D280" s="716"/>
      <c r="E280" s="716"/>
      <c r="F280" s="717"/>
      <c r="G280" s="708"/>
      <c r="H280" s="708"/>
      <c r="I280" s="1111"/>
      <c r="J280" s="1112"/>
      <c r="K280" s="1112"/>
      <c r="L280" s="1113"/>
      <c r="M280" s="685"/>
      <c r="N280" s="710"/>
      <c r="O280" s="718"/>
      <c r="P280" s="685"/>
      <c r="Q280" s="685"/>
    </row>
    <row r="281" spans="1:17" x14ac:dyDescent="0.3">
      <c r="A281" s="713"/>
      <c r="B281" s="714"/>
      <c r="C281" s="715"/>
      <c r="D281" s="716"/>
      <c r="E281" s="716"/>
      <c r="F281" s="717"/>
      <c r="G281" s="708"/>
      <c r="H281" s="708"/>
      <c r="I281" s="1111"/>
      <c r="J281" s="1112"/>
      <c r="K281" s="1112"/>
      <c r="L281" s="1113"/>
      <c r="M281" s="685"/>
      <c r="N281" s="710"/>
      <c r="O281" s="718"/>
      <c r="P281" s="685"/>
      <c r="Q281" s="685"/>
    </row>
    <row r="282" spans="1:17" x14ac:dyDescent="0.3">
      <c r="A282" s="713"/>
      <c r="B282" s="714"/>
      <c r="C282" s="715"/>
      <c r="D282" s="716"/>
      <c r="E282" s="716"/>
      <c r="F282" s="717"/>
      <c r="G282" s="708"/>
      <c r="H282" s="708"/>
      <c r="I282" s="1111"/>
      <c r="J282" s="1112"/>
      <c r="K282" s="1112"/>
      <c r="L282" s="1113"/>
      <c r="M282" s="685"/>
      <c r="N282" s="710"/>
      <c r="O282" s="718"/>
      <c r="P282" s="685"/>
      <c r="Q282" s="685"/>
    </row>
    <row r="283" spans="1:17" x14ac:dyDescent="0.3">
      <c r="A283" s="713"/>
      <c r="B283" s="714"/>
      <c r="C283" s="715"/>
      <c r="D283" s="716"/>
      <c r="E283" s="716"/>
      <c r="F283" s="717"/>
      <c r="G283" s="708"/>
      <c r="H283" s="708"/>
      <c r="I283" s="1114"/>
      <c r="J283" s="1115"/>
      <c r="K283" s="1115"/>
      <c r="L283" s="1116"/>
      <c r="M283" s="685"/>
      <c r="N283" s="710"/>
      <c r="O283" s="718"/>
      <c r="P283" s="685"/>
      <c r="Q283" s="685"/>
    </row>
    <row r="284" spans="1:17" x14ac:dyDescent="0.3">
      <c r="A284" s="713"/>
      <c r="B284" s="714"/>
      <c r="C284" s="715"/>
      <c r="D284" s="716"/>
      <c r="E284" s="716"/>
      <c r="F284" s="717"/>
      <c r="G284" s="708"/>
      <c r="H284" s="708"/>
      <c r="I284" s="1111"/>
      <c r="J284" s="1112"/>
      <c r="K284" s="1112"/>
      <c r="L284" s="1113"/>
      <c r="M284" s="685"/>
      <c r="N284" s="710"/>
      <c r="O284" s="718"/>
      <c r="P284" s="685"/>
      <c r="Q284" s="685"/>
    </row>
    <row r="285" spans="1:17" x14ac:dyDescent="0.3">
      <c r="A285" s="713"/>
      <c r="B285" s="714"/>
      <c r="C285" s="715"/>
      <c r="D285" s="716"/>
      <c r="E285" s="716"/>
      <c r="F285" s="717"/>
      <c r="G285" s="708"/>
      <c r="H285" s="708"/>
      <c r="I285" s="1111"/>
      <c r="J285" s="1112"/>
      <c r="K285" s="1112"/>
      <c r="L285" s="1113"/>
      <c r="M285" s="685"/>
      <c r="N285" s="710"/>
      <c r="O285" s="718"/>
      <c r="P285" s="685"/>
      <c r="Q285" s="685"/>
    </row>
    <row r="286" spans="1:17" x14ac:dyDescent="0.3">
      <c r="A286" s="713"/>
      <c r="B286" s="714"/>
      <c r="C286" s="715"/>
      <c r="D286" s="716"/>
      <c r="E286" s="716"/>
      <c r="F286" s="717"/>
      <c r="G286" s="708"/>
      <c r="H286" s="708"/>
      <c r="I286" s="1111"/>
      <c r="J286" s="1112"/>
      <c r="K286" s="1112"/>
      <c r="L286" s="1113"/>
      <c r="M286" s="685"/>
      <c r="N286" s="710"/>
      <c r="O286" s="718"/>
      <c r="P286" s="685"/>
      <c r="Q286" s="685"/>
    </row>
    <row r="287" spans="1:17" x14ac:dyDescent="0.3">
      <c r="A287" s="713"/>
      <c r="B287" s="714"/>
      <c r="C287" s="715"/>
      <c r="D287" s="716"/>
      <c r="E287" s="716"/>
      <c r="F287" s="717"/>
      <c r="G287" s="708"/>
      <c r="H287" s="708"/>
      <c r="I287" s="1111"/>
      <c r="J287" s="1112"/>
      <c r="K287" s="1112"/>
      <c r="L287" s="1113"/>
      <c r="M287" s="685"/>
      <c r="N287" s="710"/>
      <c r="O287" s="718"/>
      <c r="P287" s="685"/>
      <c r="Q287" s="678"/>
    </row>
    <row r="288" spans="1:17" x14ac:dyDescent="0.3">
      <c r="A288" s="713"/>
      <c r="B288" s="714"/>
      <c r="C288" s="715"/>
      <c r="D288" s="716"/>
      <c r="E288" s="716"/>
      <c r="F288" s="717"/>
      <c r="G288" s="708"/>
      <c r="H288" s="708"/>
      <c r="I288" s="1111"/>
      <c r="J288" s="1112"/>
      <c r="K288" s="1112"/>
      <c r="L288" s="1113"/>
      <c r="M288" s="685"/>
      <c r="N288" s="710"/>
      <c r="O288" s="718"/>
      <c r="P288" s="685"/>
      <c r="Q288" s="678"/>
    </row>
    <row r="289" spans="1:17" x14ac:dyDescent="0.3">
      <c r="A289" s="713"/>
      <c r="B289" s="714"/>
      <c r="C289" s="715"/>
      <c r="D289" s="716"/>
      <c r="E289" s="716"/>
      <c r="F289" s="717"/>
      <c r="G289" s="708"/>
      <c r="H289" s="708"/>
      <c r="I289" s="1111"/>
      <c r="J289" s="1112"/>
      <c r="K289" s="1112"/>
      <c r="L289" s="1113"/>
      <c r="M289" s="685"/>
      <c r="N289" s="710"/>
      <c r="O289" s="718"/>
      <c r="P289" s="685"/>
      <c r="Q289" s="678"/>
    </row>
    <row r="290" spans="1:17" x14ac:dyDescent="0.3">
      <c r="A290" s="713"/>
      <c r="B290" s="714"/>
      <c r="C290" s="715"/>
      <c r="D290" s="716"/>
      <c r="E290" s="716"/>
      <c r="F290" s="717"/>
      <c r="G290" s="708"/>
      <c r="H290" s="708"/>
      <c r="I290" s="1111"/>
      <c r="J290" s="1112"/>
      <c r="K290" s="1112"/>
      <c r="L290" s="1113"/>
      <c r="M290" s="685"/>
      <c r="N290" s="685"/>
      <c r="O290" s="718"/>
      <c r="P290" s="685"/>
      <c r="Q290" s="685"/>
    </row>
    <row r="291" spans="1:17" x14ac:dyDescent="0.3">
      <c r="A291" s="713"/>
      <c r="B291" s="714"/>
      <c r="C291" s="715"/>
      <c r="D291" s="716"/>
      <c r="E291" s="716"/>
      <c r="F291" s="717"/>
      <c r="G291" s="708"/>
      <c r="H291" s="708"/>
      <c r="I291" s="1111"/>
      <c r="J291" s="1112"/>
      <c r="K291" s="1112"/>
      <c r="L291" s="1113"/>
      <c r="M291" s="685"/>
      <c r="N291" s="710"/>
      <c r="O291" s="718"/>
      <c r="P291" s="685"/>
      <c r="Q291" s="685"/>
    </row>
    <row r="292" spans="1:17" x14ac:dyDescent="0.3">
      <c r="A292" s="713"/>
      <c r="B292" s="714"/>
      <c r="C292" s="715"/>
      <c r="D292" s="716"/>
      <c r="E292" s="716"/>
      <c r="F292" s="717"/>
      <c r="G292" s="708"/>
      <c r="H292" s="708"/>
      <c r="I292" s="1111"/>
      <c r="J292" s="1112"/>
      <c r="K292" s="1112"/>
      <c r="L292" s="1113"/>
      <c r="M292" s="685"/>
      <c r="N292" s="685"/>
      <c r="O292" s="718"/>
      <c r="P292" s="685"/>
      <c r="Q292" s="685"/>
    </row>
    <row r="293" spans="1:17" x14ac:dyDescent="0.3">
      <c r="A293" s="713"/>
      <c r="B293" s="714"/>
      <c r="C293" s="715"/>
      <c r="D293" s="716"/>
      <c r="E293" s="716"/>
      <c r="F293" s="717"/>
      <c r="G293" s="708"/>
      <c r="H293" s="708"/>
      <c r="I293" s="1111"/>
      <c r="J293" s="1112"/>
      <c r="K293" s="1112"/>
      <c r="L293" s="1113"/>
      <c r="M293" s="685"/>
      <c r="N293" s="685"/>
      <c r="O293" s="718"/>
      <c r="P293" s="685"/>
      <c r="Q293" s="685"/>
    </row>
    <row r="294" spans="1:17" x14ac:dyDescent="0.3">
      <c r="A294" s="713"/>
      <c r="B294" s="714"/>
      <c r="C294" s="715"/>
      <c r="D294" s="716"/>
      <c r="E294" s="716"/>
      <c r="F294" s="717"/>
      <c r="G294" s="708"/>
      <c r="H294" s="708"/>
      <c r="I294" s="1111"/>
      <c r="J294" s="1112"/>
      <c r="K294" s="1112"/>
      <c r="L294" s="1113"/>
      <c r="M294" s="685"/>
      <c r="N294" s="685"/>
      <c r="O294" s="718"/>
      <c r="P294" s="685"/>
      <c r="Q294" s="685"/>
    </row>
    <row r="295" spans="1:17" x14ac:dyDescent="0.3">
      <c r="A295" s="713"/>
      <c r="B295" s="714"/>
      <c r="C295" s="715"/>
      <c r="D295" s="716"/>
      <c r="E295" s="716"/>
      <c r="F295" s="717"/>
      <c r="G295" s="708"/>
      <c r="H295" s="708"/>
      <c r="I295" s="1111"/>
      <c r="J295" s="1112"/>
      <c r="K295" s="1112"/>
      <c r="L295" s="1113"/>
      <c r="M295" s="685"/>
      <c r="N295" s="710"/>
      <c r="O295" s="718"/>
      <c r="P295" s="685"/>
      <c r="Q295" s="678"/>
    </row>
    <row r="296" spans="1:17" x14ac:dyDescent="0.3">
      <c r="A296" s="713"/>
      <c r="B296" s="718"/>
      <c r="C296" s="715"/>
      <c r="D296" s="716"/>
      <c r="E296" s="716"/>
      <c r="F296" s="717"/>
      <c r="G296" s="708"/>
      <c r="H296" s="708"/>
      <c r="I296" s="1111"/>
      <c r="J296" s="1112"/>
      <c r="K296" s="1112"/>
      <c r="L296" s="1113"/>
      <c r="M296" s="685"/>
      <c r="N296" s="685"/>
      <c r="O296" s="718"/>
      <c r="P296" s="685"/>
      <c r="Q296" s="685"/>
    </row>
    <row r="297" spans="1:17" x14ac:dyDescent="0.3">
      <c r="A297" s="713"/>
      <c r="B297" s="718"/>
      <c r="C297" s="715"/>
      <c r="D297" s="716"/>
      <c r="E297" s="716"/>
      <c r="F297" s="717"/>
      <c r="G297" s="708"/>
      <c r="H297" s="708"/>
      <c r="I297" s="1111"/>
      <c r="J297" s="1112"/>
      <c r="K297" s="1112"/>
      <c r="L297" s="1113"/>
      <c r="M297" s="685"/>
      <c r="N297" s="685"/>
      <c r="O297" s="718"/>
      <c r="P297" s="685"/>
      <c r="Q297" s="685"/>
    </row>
    <row r="298" spans="1:17" x14ac:dyDescent="0.3">
      <c r="A298" s="713"/>
      <c r="B298" s="718"/>
      <c r="C298" s="715"/>
      <c r="D298" s="716"/>
      <c r="E298" s="716"/>
      <c r="F298" s="717"/>
      <c r="G298" s="708"/>
      <c r="H298" s="708"/>
      <c r="I298" s="1111"/>
      <c r="J298" s="1112"/>
      <c r="K298" s="1112"/>
      <c r="L298" s="1113"/>
      <c r="M298" s="685"/>
      <c r="N298" s="685"/>
      <c r="O298" s="718"/>
      <c r="P298" s="685"/>
      <c r="Q298" s="685"/>
    </row>
    <row r="299" spans="1:17" x14ac:dyDescent="0.3">
      <c r="A299" s="713"/>
      <c r="B299" s="718"/>
      <c r="C299" s="715"/>
      <c r="D299" s="716"/>
      <c r="E299" s="716"/>
      <c r="F299" s="717"/>
      <c r="G299" s="708"/>
      <c r="H299" s="708"/>
      <c r="I299" s="1111"/>
      <c r="J299" s="1112"/>
      <c r="K299" s="1112"/>
      <c r="L299" s="1113"/>
      <c r="M299" s="685"/>
      <c r="N299" s="685"/>
      <c r="O299" s="718"/>
      <c r="P299" s="685"/>
      <c r="Q299" s="685"/>
    </row>
    <row r="300" spans="1:17" x14ac:dyDescent="0.3">
      <c r="A300" s="713"/>
      <c r="B300" s="718"/>
      <c r="C300" s="715"/>
      <c r="D300" s="716"/>
      <c r="E300" s="716"/>
      <c r="F300" s="717"/>
      <c r="G300" s="708"/>
      <c r="H300" s="708"/>
      <c r="I300" s="1111"/>
      <c r="J300" s="1112"/>
      <c r="K300" s="1112"/>
      <c r="L300" s="1113"/>
      <c r="M300" s="685"/>
      <c r="N300" s="685"/>
      <c r="O300" s="718"/>
      <c r="P300" s="685"/>
      <c r="Q300" s="685"/>
    </row>
    <row r="301" spans="1:17" x14ac:dyDescent="0.3">
      <c r="A301" s="713"/>
      <c r="B301" s="718"/>
      <c r="C301" s="715"/>
      <c r="D301" s="716"/>
      <c r="E301" s="716"/>
      <c r="F301" s="717"/>
      <c r="G301" s="708"/>
      <c r="H301" s="708"/>
      <c r="I301" s="1111"/>
      <c r="J301" s="1112"/>
      <c r="K301" s="1112"/>
      <c r="L301" s="1113"/>
      <c r="M301" s="685"/>
      <c r="N301" s="685"/>
      <c r="O301" s="718"/>
      <c r="P301" s="685"/>
      <c r="Q301" s="685"/>
    </row>
    <row r="302" spans="1:17" s="726" customFormat="1" x14ac:dyDescent="0.3">
      <c r="A302" s="720"/>
      <c r="B302" s="721"/>
      <c r="C302" s="722"/>
      <c r="D302" s="723"/>
      <c r="E302" s="723"/>
      <c r="F302" s="724"/>
      <c r="G302" s="725"/>
      <c r="H302" s="725"/>
      <c r="I302" s="1108"/>
      <c r="J302" s="1109"/>
      <c r="K302" s="1109"/>
      <c r="L302" s="1110"/>
      <c r="M302" s="699"/>
      <c r="N302" s="699"/>
      <c r="O302" s="721"/>
      <c r="P302" s="699"/>
      <c r="Q302" s="699"/>
    </row>
    <row r="303" spans="1:17" s="726" customFormat="1" x14ac:dyDescent="0.3">
      <c r="A303" s="720"/>
      <c r="B303" s="721"/>
      <c r="C303" s="722"/>
      <c r="D303" s="723"/>
      <c r="E303" s="723"/>
      <c r="F303" s="724"/>
      <c r="G303" s="725"/>
      <c r="H303" s="725"/>
      <c r="I303" s="1108"/>
      <c r="J303" s="1109"/>
      <c r="K303" s="1109"/>
      <c r="L303" s="1110"/>
      <c r="M303" s="699"/>
      <c r="N303" s="699"/>
      <c r="O303" s="721"/>
      <c r="P303" s="699"/>
      <c r="Q303" s="699"/>
    </row>
    <row r="304" spans="1:17" s="726" customFormat="1" x14ac:dyDescent="0.3">
      <c r="A304" s="720"/>
      <c r="B304" s="721"/>
      <c r="C304" s="722"/>
      <c r="D304" s="723"/>
      <c r="E304" s="723"/>
      <c r="F304" s="724"/>
      <c r="G304" s="725"/>
      <c r="H304" s="725"/>
      <c r="I304" s="1108"/>
      <c r="J304" s="1109"/>
      <c r="K304" s="1109"/>
      <c r="L304" s="1110"/>
      <c r="M304" s="699"/>
      <c r="N304" s="699"/>
      <c r="O304" s="721"/>
      <c r="P304" s="699"/>
      <c r="Q304" s="699"/>
    </row>
    <row r="305" spans="1:17" s="726" customFormat="1" x14ac:dyDescent="0.3">
      <c r="A305" s="720"/>
      <c r="B305" s="721"/>
      <c r="C305" s="722"/>
      <c r="D305" s="723"/>
      <c r="E305" s="723"/>
      <c r="F305" s="724"/>
      <c r="G305" s="725"/>
      <c r="H305" s="725"/>
      <c r="I305" s="1108"/>
      <c r="J305" s="1109"/>
      <c r="K305" s="1109"/>
      <c r="L305" s="1110"/>
      <c r="M305" s="699"/>
      <c r="N305" s="699"/>
      <c r="O305" s="721"/>
      <c r="P305" s="699"/>
      <c r="Q305" s="699"/>
    </row>
    <row r="306" spans="1:17" s="726" customFormat="1" x14ac:dyDescent="0.3">
      <c r="A306" s="720"/>
      <c r="B306" s="721"/>
      <c r="C306" s="722"/>
      <c r="D306" s="723"/>
      <c r="E306" s="723"/>
      <c r="F306" s="724"/>
      <c r="G306" s="725"/>
      <c r="H306" s="725"/>
      <c r="I306" s="1108"/>
      <c r="J306" s="1109"/>
      <c r="K306" s="1109"/>
      <c r="L306" s="1110"/>
      <c r="M306" s="699"/>
      <c r="N306" s="699"/>
      <c r="O306" s="721"/>
      <c r="P306" s="699"/>
      <c r="Q306" s="699"/>
    </row>
    <row r="307" spans="1:17" s="726" customFormat="1" x14ac:dyDescent="0.3">
      <c r="A307" s="720"/>
      <c r="B307" s="721"/>
      <c r="C307" s="722"/>
      <c r="D307" s="723"/>
      <c r="E307" s="723"/>
      <c r="F307" s="724"/>
      <c r="G307" s="725"/>
      <c r="H307" s="725"/>
      <c r="I307" s="1108"/>
      <c r="J307" s="1109"/>
      <c r="K307" s="1109"/>
      <c r="L307" s="1110"/>
      <c r="M307" s="699"/>
      <c r="N307" s="699"/>
      <c r="O307" s="721"/>
      <c r="P307" s="699"/>
      <c r="Q307" s="699"/>
    </row>
    <row r="308" spans="1:17" s="726" customFormat="1" x14ac:dyDescent="0.3">
      <c r="A308" s="720"/>
      <c r="B308" s="721"/>
      <c r="C308" s="722"/>
      <c r="D308" s="723"/>
      <c r="E308" s="723"/>
      <c r="F308" s="724"/>
      <c r="G308" s="725"/>
      <c r="H308" s="725"/>
      <c r="I308" s="1108"/>
      <c r="J308" s="1109"/>
      <c r="K308" s="1109"/>
      <c r="L308" s="1110"/>
      <c r="M308" s="699"/>
      <c r="N308" s="699"/>
      <c r="O308" s="721"/>
      <c r="P308" s="699"/>
      <c r="Q308" s="699"/>
    </row>
    <row r="309" spans="1:17" s="726" customFormat="1" x14ac:dyDescent="0.3">
      <c r="A309" s="720"/>
      <c r="B309" s="721"/>
      <c r="C309" s="722"/>
      <c r="D309" s="723"/>
      <c r="E309" s="723"/>
      <c r="F309" s="724"/>
      <c r="G309" s="725"/>
      <c r="H309" s="725"/>
      <c r="I309" s="1108"/>
      <c r="J309" s="1109"/>
      <c r="K309" s="1109"/>
      <c r="L309" s="1110"/>
      <c r="M309" s="699"/>
      <c r="N309" s="699"/>
      <c r="O309" s="721"/>
      <c r="P309" s="699"/>
      <c r="Q309" s="699"/>
    </row>
    <row r="310" spans="1:17" s="726" customFormat="1" x14ac:dyDescent="0.3">
      <c r="A310" s="720"/>
      <c r="B310" s="721"/>
      <c r="C310" s="722"/>
      <c r="D310" s="723"/>
      <c r="E310" s="723"/>
      <c r="F310" s="724"/>
      <c r="G310" s="725"/>
      <c r="H310" s="725"/>
      <c r="I310" s="1108"/>
      <c r="J310" s="1109"/>
      <c r="K310" s="1109"/>
      <c r="L310" s="1110"/>
      <c r="M310" s="699"/>
      <c r="N310" s="699"/>
      <c r="O310" s="721"/>
      <c r="P310" s="699"/>
      <c r="Q310" s="699"/>
    </row>
    <row r="311" spans="1:17" s="726" customFormat="1" x14ac:dyDescent="0.3">
      <c r="A311" s="720"/>
      <c r="B311" s="721"/>
      <c r="C311" s="722"/>
      <c r="D311" s="723"/>
      <c r="E311" s="723"/>
      <c r="F311" s="724"/>
      <c r="G311" s="725" t="b">
        <f t="shared" ref="G311:G374" si="0">IF(C311="060102","VERIFICARE AVVENUTO SMALTIMENTO",IF(C311="070101","VERIFICARE AVVENUTO SMALTIMENTO",IF(C311="160303","VERIFICARE AVVENUTO SMALTIMENTO",IF(C311="161001","VERIFICARE AVVENUTO SMALTIMENTO",IF(C311="170603","VERIFICARE AVVENUTO SMALTIMENTO",IF(C311="170904","VERIFICARE AVVENUTO SMALTIMENTO"))))))</f>
        <v>0</v>
      </c>
      <c r="H311" s="725"/>
      <c r="I311" s="1108"/>
      <c r="J311" s="1109"/>
      <c r="K311" s="1109"/>
      <c r="L311" s="1110"/>
      <c r="M311" s="699"/>
      <c r="N311" s="699"/>
      <c r="O311" s="721"/>
      <c r="P311" s="699"/>
      <c r="Q311" s="699"/>
    </row>
    <row r="312" spans="1:17" s="726" customFormat="1" x14ac:dyDescent="0.3">
      <c r="A312" s="720"/>
      <c r="B312" s="721"/>
      <c r="C312" s="722"/>
      <c r="D312" s="723"/>
      <c r="E312" s="723"/>
      <c r="F312" s="724"/>
      <c r="G312" s="725" t="b">
        <f t="shared" si="0"/>
        <v>0</v>
      </c>
      <c r="H312" s="725"/>
      <c r="I312" s="1108"/>
      <c r="J312" s="1109"/>
      <c r="K312" s="1109"/>
      <c r="L312" s="1110"/>
      <c r="M312" s="699"/>
      <c r="N312" s="699"/>
      <c r="O312" s="721"/>
      <c r="P312" s="699"/>
      <c r="Q312" s="699"/>
    </row>
    <row r="313" spans="1:17" s="726" customFormat="1" x14ac:dyDescent="0.3">
      <c r="A313" s="720"/>
      <c r="B313" s="721"/>
      <c r="C313" s="722"/>
      <c r="D313" s="723"/>
      <c r="E313" s="723"/>
      <c r="F313" s="724"/>
      <c r="G313" s="725" t="b">
        <f t="shared" si="0"/>
        <v>0</v>
      </c>
      <c r="H313" s="725"/>
      <c r="I313" s="1108"/>
      <c r="J313" s="1109"/>
      <c r="K313" s="1109"/>
      <c r="L313" s="1110"/>
      <c r="M313" s="699"/>
      <c r="N313" s="699"/>
      <c r="O313" s="721"/>
      <c r="P313" s="699"/>
      <c r="Q313" s="699"/>
    </row>
    <row r="314" spans="1:17" s="726" customFormat="1" x14ac:dyDescent="0.3">
      <c r="A314" s="720"/>
      <c r="B314" s="721"/>
      <c r="C314" s="722"/>
      <c r="D314" s="723"/>
      <c r="E314" s="723"/>
      <c r="F314" s="724"/>
      <c r="G314" s="725" t="b">
        <f t="shared" si="0"/>
        <v>0</v>
      </c>
      <c r="H314" s="725"/>
      <c r="I314" s="1108"/>
      <c r="J314" s="1109"/>
      <c r="K314" s="1109"/>
      <c r="L314" s="1110"/>
      <c r="M314" s="699"/>
      <c r="N314" s="699"/>
      <c r="O314" s="721"/>
      <c r="P314" s="699"/>
      <c r="Q314" s="699"/>
    </row>
    <row r="315" spans="1:17" s="726" customFormat="1" x14ac:dyDescent="0.3">
      <c r="A315" s="720"/>
      <c r="B315" s="721"/>
      <c r="C315" s="722"/>
      <c r="D315" s="723"/>
      <c r="E315" s="723"/>
      <c r="F315" s="724"/>
      <c r="G315" s="725" t="b">
        <f t="shared" si="0"/>
        <v>0</v>
      </c>
      <c r="H315" s="725"/>
      <c r="I315" s="1108"/>
      <c r="J315" s="1109"/>
      <c r="K315" s="1109"/>
      <c r="L315" s="1110"/>
      <c r="M315" s="699"/>
      <c r="N315" s="699"/>
      <c r="O315" s="721"/>
      <c r="P315" s="699"/>
      <c r="Q315" s="699"/>
    </row>
    <row r="316" spans="1:17" s="726" customFormat="1" x14ac:dyDescent="0.3">
      <c r="A316" s="720"/>
      <c r="B316" s="721"/>
      <c r="C316" s="722"/>
      <c r="D316" s="723"/>
      <c r="E316" s="723"/>
      <c r="F316" s="724"/>
      <c r="G316" s="725" t="b">
        <f t="shared" si="0"/>
        <v>0</v>
      </c>
      <c r="H316" s="725"/>
      <c r="I316" s="1108"/>
      <c r="J316" s="1109"/>
      <c r="K316" s="1109"/>
      <c r="L316" s="1110"/>
      <c r="M316" s="699"/>
      <c r="N316" s="699"/>
      <c r="O316" s="721"/>
      <c r="P316" s="699"/>
      <c r="Q316" s="699"/>
    </row>
    <row r="317" spans="1:17" s="726" customFormat="1" x14ac:dyDescent="0.3">
      <c r="A317" s="720"/>
      <c r="B317" s="721"/>
      <c r="C317" s="722"/>
      <c r="D317" s="723"/>
      <c r="E317" s="723"/>
      <c r="F317" s="724"/>
      <c r="G317" s="725" t="b">
        <f t="shared" si="0"/>
        <v>0</v>
      </c>
      <c r="H317" s="725"/>
      <c r="I317" s="1108"/>
      <c r="J317" s="1109"/>
      <c r="K317" s="1109"/>
      <c r="L317" s="1110"/>
      <c r="M317" s="699"/>
      <c r="N317" s="699"/>
      <c r="O317" s="721"/>
      <c r="P317" s="699"/>
      <c r="Q317" s="699"/>
    </row>
    <row r="318" spans="1:17" s="726" customFormat="1" x14ac:dyDescent="0.3">
      <c r="A318" s="720"/>
      <c r="B318" s="721"/>
      <c r="C318" s="722"/>
      <c r="D318" s="723"/>
      <c r="E318" s="723"/>
      <c r="F318" s="724"/>
      <c r="G318" s="725" t="b">
        <f t="shared" si="0"/>
        <v>0</v>
      </c>
      <c r="H318" s="725"/>
      <c r="I318" s="1108"/>
      <c r="J318" s="1109"/>
      <c r="K318" s="1109"/>
      <c r="L318" s="1110"/>
      <c r="M318" s="699"/>
      <c r="N318" s="699"/>
      <c r="O318" s="721"/>
      <c r="P318" s="699"/>
      <c r="Q318" s="699"/>
    </row>
    <row r="319" spans="1:17" s="726" customFormat="1" x14ac:dyDescent="0.3">
      <c r="A319" s="720"/>
      <c r="B319" s="721"/>
      <c r="C319" s="722"/>
      <c r="D319" s="723"/>
      <c r="E319" s="723"/>
      <c r="F319" s="724"/>
      <c r="G319" s="725" t="b">
        <f t="shared" si="0"/>
        <v>0</v>
      </c>
      <c r="H319" s="725"/>
      <c r="I319" s="1108"/>
      <c r="J319" s="1109"/>
      <c r="K319" s="1109"/>
      <c r="L319" s="1110"/>
      <c r="M319" s="699"/>
      <c r="N319" s="699"/>
      <c r="O319" s="721"/>
      <c r="P319" s="699"/>
      <c r="Q319" s="699"/>
    </row>
    <row r="320" spans="1:17" s="726" customFormat="1" x14ac:dyDescent="0.3">
      <c r="A320" s="720"/>
      <c r="B320" s="721"/>
      <c r="C320" s="722"/>
      <c r="D320" s="723"/>
      <c r="E320" s="723"/>
      <c r="F320" s="724"/>
      <c r="G320" s="725" t="b">
        <f t="shared" si="0"/>
        <v>0</v>
      </c>
      <c r="H320" s="725"/>
      <c r="I320" s="1108"/>
      <c r="J320" s="1109"/>
      <c r="K320" s="1109"/>
      <c r="L320" s="1110"/>
      <c r="M320" s="699"/>
      <c r="N320" s="699"/>
      <c r="O320" s="721"/>
      <c r="P320" s="699"/>
      <c r="Q320" s="699"/>
    </row>
    <row r="321" spans="1:17" s="726" customFormat="1" x14ac:dyDescent="0.3">
      <c r="A321" s="720"/>
      <c r="B321" s="721"/>
      <c r="C321" s="722"/>
      <c r="D321" s="723"/>
      <c r="E321" s="723"/>
      <c r="F321" s="724"/>
      <c r="G321" s="725" t="b">
        <f t="shared" si="0"/>
        <v>0</v>
      </c>
      <c r="H321" s="725"/>
      <c r="I321" s="1108"/>
      <c r="J321" s="1109"/>
      <c r="K321" s="1109"/>
      <c r="L321" s="1110"/>
      <c r="M321" s="699"/>
      <c r="N321" s="699"/>
      <c r="O321" s="721"/>
      <c r="P321" s="699"/>
      <c r="Q321" s="699"/>
    </row>
    <row r="322" spans="1:17" s="726" customFormat="1" x14ac:dyDescent="0.3">
      <c r="A322" s="720"/>
      <c r="B322" s="721"/>
      <c r="C322" s="722"/>
      <c r="D322" s="723"/>
      <c r="E322" s="723"/>
      <c r="F322" s="724"/>
      <c r="G322" s="725" t="b">
        <f t="shared" si="0"/>
        <v>0</v>
      </c>
      <c r="H322" s="725"/>
      <c r="I322" s="1108"/>
      <c r="J322" s="1109"/>
      <c r="K322" s="1109"/>
      <c r="L322" s="1110"/>
      <c r="M322" s="699"/>
      <c r="N322" s="699"/>
      <c r="O322" s="721"/>
      <c r="P322" s="699"/>
      <c r="Q322" s="699"/>
    </row>
    <row r="323" spans="1:17" s="726" customFormat="1" x14ac:dyDescent="0.3">
      <c r="A323" s="720"/>
      <c r="B323" s="721"/>
      <c r="C323" s="722"/>
      <c r="D323" s="723"/>
      <c r="E323" s="723"/>
      <c r="F323" s="724"/>
      <c r="G323" s="725" t="b">
        <f t="shared" si="0"/>
        <v>0</v>
      </c>
      <c r="H323" s="725"/>
      <c r="I323" s="1108"/>
      <c r="J323" s="1109"/>
      <c r="K323" s="1109"/>
      <c r="L323" s="1110"/>
      <c r="M323" s="699"/>
      <c r="N323" s="699"/>
      <c r="O323" s="721"/>
      <c r="P323" s="699"/>
      <c r="Q323" s="699"/>
    </row>
    <row r="324" spans="1:17" s="726" customFormat="1" x14ac:dyDescent="0.3">
      <c r="A324" s="720"/>
      <c r="B324" s="721"/>
      <c r="C324" s="722"/>
      <c r="D324" s="723"/>
      <c r="E324" s="723"/>
      <c r="F324" s="724"/>
      <c r="G324" s="725" t="b">
        <f t="shared" si="0"/>
        <v>0</v>
      </c>
      <c r="H324" s="725"/>
      <c r="I324" s="1108"/>
      <c r="J324" s="1109"/>
      <c r="K324" s="1109"/>
      <c r="L324" s="1110"/>
      <c r="M324" s="699"/>
      <c r="N324" s="699"/>
      <c r="O324" s="721"/>
      <c r="P324" s="699"/>
      <c r="Q324" s="699"/>
    </row>
    <row r="325" spans="1:17" s="726" customFormat="1" x14ac:dyDescent="0.3">
      <c r="A325" s="720"/>
      <c r="B325" s="721"/>
      <c r="C325" s="722"/>
      <c r="D325" s="723"/>
      <c r="E325" s="723"/>
      <c r="F325" s="724"/>
      <c r="G325" s="725" t="b">
        <f t="shared" si="0"/>
        <v>0</v>
      </c>
      <c r="H325" s="725"/>
      <c r="I325" s="1108"/>
      <c r="J325" s="1109"/>
      <c r="K325" s="1109"/>
      <c r="L325" s="1110"/>
      <c r="M325" s="699"/>
      <c r="N325" s="699"/>
      <c r="O325" s="721"/>
      <c r="P325" s="699"/>
      <c r="Q325" s="699"/>
    </row>
    <row r="326" spans="1:17" s="726" customFormat="1" x14ac:dyDescent="0.3">
      <c r="A326" s="720"/>
      <c r="B326" s="721"/>
      <c r="C326" s="722"/>
      <c r="D326" s="723"/>
      <c r="E326" s="723"/>
      <c r="F326" s="724"/>
      <c r="G326" s="725" t="b">
        <f t="shared" si="0"/>
        <v>0</v>
      </c>
      <c r="H326" s="725"/>
      <c r="I326" s="1108"/>
      <c r="J326" s="1109"/>
      <c r="K326" s="1109"/>
      <c r="L326" s="1110"/>
      <c r="M326" s="699"/>
      <c r="N326" s="699"/>
      <c r="O326" s="721"/>
      <c r="P326" s="699"/>
      <c r="Q326" s="699"/>
    </row>
    <row r="327" spans="1:17" s="726" customFormat="1" x14ac:dyDescent="0.3">
      <c r="A327" s="720"/>
      <c r="B327" s="721"/>
      <c r="C327" s="722"/>
      <c r="D327" s="723"/>
      <c r="E327" s="723"/>
      <c r="F327" s="724"/>
      <c r="G327" s="725" t="b">
        <f t="shared" si="0"/>
        <v>0</v>
      </c>
      <c r="H327" s="725"/>
      <c r="I327" s="1108"/>
      <c r="J327" s="1109"/>
      <c r="K327" s="1109"/>
      <c r="L327" s="1110"/>
      <c r="M327" s="699"/>
      <c r="N327" s="699"/>
      <c r="O327" s="721"/>
      <c r="P327" s="699"/>
      <c r="Q327" s="699"/>
    </row>
    <row r="328" spans="1:17" s="726" customFormat="1" x14ac:dyDescent="0.3">
      <c r="A328" s="720"/>
      <c r="B328" s="721"/>
      <c r="C328" s="722"/>
      <c r="D328" s="723"/>
      <c r="E328" s="723"/>
      <c r="F328" s="724"/>
      <c r="G328" s="725" t="b">
        <f t="shared" si="0"/>
        <v>0</v>
      </c>
      <c r="H328" s="725"/>
      <c r="I328" s="1108"/>
      <c r="J328" s="1109"/>
      <c r="K328" s="1109"/>
      <c r="L328" s="1110"/>
      <c r="M328" s="699"/>
      <c r="N328" s="699"/>
      <c r="O328" s="721"/>
      <c r="P328" s="699"/>
      <c r="Q328" s="699"/>
    </row>
    <row r="329" spans="1:17" x14ac:dyDescent="0.3">
      <c r="A329" s="720"/>
      <c r="B329" s="721"/>
      <c r="C329" s="722"/>
      <c r="D329" s="723"/>
      <c r="E329" s="723"/>
      <c r="F329" s="724"/>
      <c r="G329" s="725" t="b">
        <f t="shared" si="0"/>
        <v>0</v>
      </c>
      <c r="H329" s="725"/>
      <c r="I329" s="1108"/>
      <c r="J329" s="1109"/>
      <c r="K329" s="1109"/>
      <c r="L329" s="1110"/>
      <c r="M329" s="699"/>
      <c r="N329" s="699"/>
      <c r="O329" s="721"/>
      <c r="P329" s="699"/>
      <c r="Q329" s="699"/>
    </row>
    <row r="330" spans="1:17" x14ac:dyDescent="0.3">
      <c r="A330" s="720"/>
      <c r="B330" s="721"/>
      <c r="C330" s="722"/>
      <c r="D330" s="723"/>
      <c r="E330" s="723"/>
      <c r="F330" s="724"/>
      <c r="G330" s="725" t="b">
        <f t="shared" si="0"/>
        <v>0</v>
      </c>
      <c r="H330" s="725"/>
      <c r="I330" s="1108"/>
      <c r="J330" s="1109"/>
      <c r="K330" s="1109"/>
      <c r="L330" s="1110"/>
      <c r="M330" s="699"/>
      <c r="N330" s="699"/>
      <c r="O330" s="721"/>
      <c r="P330" s="699"/>
      <c r="Q330" s="699"/>
    </row>
    <row r="331" spans="1:17" x14ac:dyDescent="0.3">
      <c r="A331" s="720"/>
      <c r="B331" s="721"/>
      <c r="C331" s="722"/>
      <c r="D331" s="723"/>
      <c r="E331" s="723"/>
      <c r="F331" s="724"/>
      <c r="G331" s="725" t="b">
        <f t="shared" si="0"/>
        <v>0</v>
      </c>
      <c r="H331" s="725"/>
      <c r="I331" s="1108"/>
      <c r="J331" s="1109"/>
      <c r="K331" s="1109"/>
      <c r="L331" s="1110"/>
      <c r="M331" s="699"/>
      <c r="N331" s="699"/>
      <c r="O331" s="721"/>
      <c r="P331" s="699"/>
      <c r="Q331" s="699"/>
    </row>
    <row r="332" spans="1:17" x14ac:dyDescent="0.3">
      <c r="A332" s="720"/>
      <c r="B332" s="721"/>
      <c r="C332" s="722"/>
      <c r="D332" s="723"/>
      <c r="E332" s="723"/>
      <c r="F332" s="724"/>
      <c r="G332" s="725" t="b">
        <f t="shared" si="0"/>
        <v>0</v>
      </c>
      <c r="H332" s="725"/>
      <c r="I332" s="1108"/>
      <c r="J332" s="1109"/>
      <c r="K332" s="1109"/>
      <c r="L332" s="1110"/>
      <c r="M332" s="699"/>
      <c r="N332" s="699"/>
      <c r="O332" s="721"/>
      <c r="P332" s="699"/>
      <c r="Q332" s="699"/>
    </row>
    <row r="333" spans="1:17" x14ac:dyDescent="0.3">
      <c r="A333" s="720"/>
      <c r="B333" s="721"/>
      <c r="C333" s="722"/>
      <c r="D333" s="723"/>
      <c r="E333" s="723"/>
      <c r="F333" s="724"/>
      <c r="G333" s="725" t="b">
        <f t="shared" si="0"/>
        <v>0</v>
      </c>
      <c r="H333" s="725"/>
      <c r="I333" s="1108"/>
      <c r="J333" s="1109"/>
      <c r="K333" s="1109"/>
      <c r="L333" s="1110"/>
      <c r="M333" s="699"/>
      <c r="N333" s="699"/>
      <c r="O333" s="721"/>
      <c r="P333" s="699"/>
      <c r="Q333" s="699"/>
    </row>
    <row r="334" spans="1:17" x14ac:dyDescent="0.3">
      <c r="A334" s="720"/>
      <c r="B334" s="721"/>
      <c r="C334" s="722"/>
      <c r="D334" s="723"/>
      <c r="E334" s="723"/>
      <c r="F334" s="724"/>
      <c r="G334" s="725" t="b">
        <f t="shared" si="0"/>
        <v>0</v>
      </c>
      <c r="H334" s="725"/>
      <c r="I334" s="1108"/>
      <c r="J334" s="1109"/>
      <c r="K334" s="1109"/>
      <c r="L334" s="1110"/>
      <c r="M334" s="699"/>
      <c r="N334" s="699"/>
      <c r="O334" s="721"/>
      <c r="P334" s="699"/>
      <c r="Q334" s="699"/>
    </row>
    <row r="335" spans="1:17" x14ac:dyDescent="0.3">
      <c r="A335" s="720"/>
      <c r="B335" s="721"/>
      <c r="C335" s="722"/>
      <c r="D335" s="723"/>
      <c r="E335" s="723"/>
      <c r="F335" s="724"/>
      <c r="G335" s="725" t="b">
        <f t="shared" si="0"/>
        <v>0</v>
      </c>
      <c r="H335" s="725"/>
      <c r="I335" s="1108"/>
      <c r="J335" s="1109"/>
      <c r="K335" s="1109"/>
      <c r="L335" s="1110"/>
      <c r="M335" s="699"/>
      <c r="N335" s="699"/>
      <c r="O335" s="721"/>
      <c r="P335" s="699"/>
      <c r="Q335" s="699"/>
    </row>
    <row r="336" spans="1:17" x14ac:dyDescent="0.3">
      <c r="A336" s="720"/>
      <c r="B336" s="721"/>
      <c r="C336" s="722"/>
      <c r="D336" s="723"/>
      <c r="E336" s="723"/>
      <c r="F336" s="724"/>
      <c r="G336" s="725" t="b">
        <f t="shared" si="0"/>
        <v>0</v>
      </c>
      <c r="H336" s="725"/>
      <c r="I336" s="1108"/>
      <c r="J336" s="1109"/>
      <c r="K336" s="1109"/>
      <c r="L336" s="1110"/>
      <c r="M336" s="699"/>
      <c r="N336" s="699"/>
      <c r="O336" s="721"/>
      <c r="P336" s="699"/>
      <c r="Q336" s="699"/>
    </row>
    <row r="337" spans="1:17" x14ac:dyDescent="0.3">
      <c r="A337" s="720"/>
      <c r="B337" s="721"/>
      <c r="C337" s="722"/>
      <c r="D337" s="723"/>
      <c r="E337" s="723"/>
      <c r="F337" s="724"/>
      <c r="G337" s="725" t="b">
        <f t="shared" si="0"/>
        <v>0</v>
      </c>
      <c r="H337" s="725"/>
      <c r="I337" s="1108"/>
      <c r="J337" s="1109"/>
      <c r="K337" s="1109"/>
      <c r="L337" s="1110"/>
      <c r="M337" s="699"/>
      <c r="N337" s="699"/>
      <c r="O337" s="721"/>
      <c r="P337" s="699"/>
      <c r="Q337" s="699"/>
    </row>
    <row r="338" spans="1:17" x14ac:dyDescent="0.3">
      <c r="A338" s="720"/>
      <c r="B338" s="721"/>
      <c r="C338" s="722"/>
      <c r="D338" s="723"/>
      <c r="E338" s="723"/>
      <c r="F338" s="724"/>
      <c r="G338" s="725" t="b">
        <f t="shared" si="0"/>
        <v>0</v>
      </c>
      <c r="H338" s="725"/>
      <c r="I338" s="1108"/>
      <c r="J338" s="1109"/>
      <c r="K338" s="1109"/>
      <c r="L338" s="1110"/>
      <c r="M338" s="699"/>
      <c r="N338" s="699"/>
      <c r="O338" s="721"/>
      <c r="P338" s="699"/>
      <c r="Q338" s="699"/>
    </row>
    <row r="339" spans="1:17" x14ac:dyDescent="0.3">
      <c r="A339" s="720"/>
      <c r="B339" s="721"/>
      <c r="C339" s="722"/>
      <c r="D339" s="723"/>
      <c r="E339" s="723"/>
      <c r="F339" s="724"/>
      <c r="G339" s="725" t="b">
        <f t="shared" si="0"/>
        <v>0</v>
      </c>
      <c r="H339" s="725"/>
      <c r="I339" s="1108"/>
      <c r="J339" s="1109"/>
      <c r="K339" s="1109"/>
      <c r="L339" s="1110"/>
      <c r="M339" s="699"/>
      <c r="N339" s="699"/>
      <c r="O339" s="721"/>
      <c r="P339" s="699"/>
      <c r="Q339" s="699"/>
    </row>
    <row r="340" spans="1:17" x14ac:dyDescent="0.3">
      <c r="A340" s="720"/>
      <c r="B340" s="721"/>
      <c r="C340" s="722"/>
      <c r="D340" s="723"/>
      <c r="E340" s="723"/>
      <c r="F340" s="724"/>
      <c r="G340" s="725" t="b">
        <f t="shared" si="0"/>
        <v>0</v>
      </c>
      <c r="H340" s="725"/>
      <c r="I340" s="1108"/>
      <c r="J340" s="1109"/>
      <c r="K340" s="1109"/>
      <c r="L340" s="1110"/>
      <c r="M340" s="699"/>
      <c r="N340" s="699"/>
      <c r="O340" s="721"/>
      <c r="P340" s="699"/>
      <c r="Q340" s="699"/>
    </row>
    <row r="341" spans="1:17" x14ac:dyDescent="0.3">
      <c r="A341" s="720"/>
      <c r="B341" s="721"/>
      <c r="C341" s="722"/>
      <c r="D341" s="723"/>
      <c r="E341" s="723"/>
      <c r="F341" s="724"/>
      <c r="G341" s="725" t="b">
        <f t="shared" si="0"/>
        <v>0</v>
      </c>
      <c r="H341" s="725"/>
      <c r="I341" s="1108"/>
      <c r="J341" s="1109"/>
      <c r="K341" s="1109"/>
      <c r="L341" s="1110"/>
      <c r="M341" s="699"/>
      <c r="N341" s="699"/>
      <c r="O341" s="721"/>
      <c r="P341" s="699"/>
      <c r="Q341" s="699"/>
    </row>
    <row r="342" spans="1:17" x14ac:dyDescent="0.3">
      <c r="A342" s="720"/>
      <c r="B342" s="721"/>
      <c r="C342" s="722"/>
      <c r="D342" s="723"/>
      <c r="E342" s="723"/>
      <c r="F342" s="724"/>
      <c r="G342" s="725" t="b">
        <f t="shared" si="0"/>
        <v>0</v>
      </c>
      <c r="H342" s="725"/>
      <c r="I342" s="1108"/>
      <c r="J342" s="1109"/>
      <c r="K342" s="1109"/>
      <c r="L342" s="1110"/>
      <c r="M342" s="699"/>
      <c r="N342" s="699"/>
      <c r="O342" s="721"/>
      <c r="P342" s="699"/>
      <c r="Q342" s="699"/>
    </row>
    <row r="343" spans="1:17" x14ac:dyDescent="0.3">
      <c r="A343" s="720"/>
      <c r="B343" s="721"/>
      <c r="C343" s="722"/>
      <c r="D343" s="723"/>
      <c r="E343" s="723"/>
      <c r="F343" s="724"/>
      <c r="G343" s="725" t="b">
        <f t="shared" si="0"/>
        <v>0</v>
      </c>
      <c r="H343" s="725"/>
      <c r="I343" s="1108"/>
      <c r="J343" s="1109"/>
      <c r="K343" s="1109"/>
      <c r="L343" s="1110"/>
      <c r="M343" s="699"/>
      <c r="N343" s="699"/>
      <c r="O343" s="721"/>
      <c r="P343" s="699"/>
      <c r="Q343" s="699"/>
    </row>
    <row r="344" spans="1:17" x14ac:dyDescent="0.3">
      <c r="A344" s="720"/>
      <c r="B344" s="721"/>
      <c r="C344" s="722"/>
      <c r="D344" s="723"/>
      <c r="E344" s="723"/>
      <c r="F344" s="724"/>
      <c r="G344" s="725" t="b">
        <f t="shared" si="0"/>
        <v>0</v>
      </c>
      <c r="H344" s="725"/>
      <c r="I344" s="1108"/>
      <c r="J344" s="1109"/>
      <c r="K344" s="1109"/>
      <c r="L344" s="1110"/>
      <c r="M344" s="699"/>
      <c r="N344" s="699"/>
      <c r="O344" s="721"/>
      <c r="P344" s="699"/>
      <c r="Q344" s="699"/>
    </row>
    <row r="345" spans="1:17" x14ac:dyDescent="0.3">
      <c r="A345" s="720"/>
      <c r="B345" s="721"/>
      <c r="C345" s="722"/>
      <c r="D345" s="723"/>
      <c r="E345" s="723"/>
      <c r="F345" s="724"/>
      <c r="G345" s="725" t="b">
        <f t="shared" si="0"/>
        <v>0</v>
      </c>
      <c r="H345" s="725"/>
      <c r="I345" s="1108"/>
      <c r="J345" s="1109"/>
      <c r="K345" s="1109"/>
      <c r="L345" s="1110"/>
      <c r="M345" s="699"/>
      <c r="N345" s="699"/>
      <c r="O345" s="721"/>
      <c r="P345" s="699"/>
      <c r="Q345" s="699"/>
    </row>
    <row r="346" spans="1:17" x14ac:dyDescent="0.3">
      <c r="A346" s="720"/>
      <c r="B346" s="721"/>
      <c r="C346" s="722"/>
      <c r="D346" s="723"/>
      <c r="E346" s="723"/>
      <c r="F346" s="724"/>
      <c r="G346" s="725" t="b">
        <f t="shared" si="0"/>
        <v>0</v>
      </c>
      <c r="H346" s="725"/>
      <c r="I346" s="1108"/>
      <c r="J346" s="1109"/>
      <c r="K346" s="1109"/>
      <c r="L346" s="1110"/>
      <c r="M346" s="699"/>
      <c r="N346" s="699"/>
      <c r="O346" s="721"/>
      <c r="P346" s="699"/>
      <c r="Q346" s="699"/>
    </row>
    <row r="347" spans="1:17" x14ac:dyDescent="0.3">
      <c r="A347" s="720"/>
      <c r="B347" s="721"/>
      <c r="C347" s="722"/>
      <c r="D347" s="723"/>
      <c r="E347" s="723"/>
      <c r="F347" s="724"/>
      <c r="G347" s="725" t="b">
        <f t="shared" si="0"/>
        <v>0</v>
      </c>
      <c r="H347" s="725"/>
      <c r="I347" s="1108"/>
      <c r="J347" s="1109"/>
      <c r="K347" s="1109"/>
      <c r="L347" s="1110"/>
      <c r="M347" s="699"/>
      <c r="N347" s="699"/>
      <c r="O347" s="721"/>
      <c r="P347" s="699"/>
      <c r="Q347" s="699"/>
    </row>
    <row r="348" spans="1:17" x14ac:dyDescent="0.3">
      <c r="A348" s="720"/>
      <c r="B348" s="721"/>
      <c r="C348" s="722"/>
      <c r="D348" s="723"/>
      <c r="E348" s="723"/>
      <c r="F348" s="724"/>
      <c r="G348" s="725" t="b">
        <f t="shared" si="0"/>
        <v>0</v>
      </c>
      <c r="H348" s="725"/>
      <c r="I348" s="1108"/>
      <c r="J348" s="1109"/>
      <c r="K348" s="1109"/>
      <c r="L348" s="1110"/>
      <c r="M348" s="699"/>
      <c r="N348" s="699"/>
      <c r="O348" s="721"/>
      <c r="P348" s="699"/>
      <c r="Q348" s="699"/>
    </row>
    <row r="349" spans="1:17" x14ac:dyDescent="0.3">
      <c r="A349" s="720"/>
      <c r="B349" s="721"/>
      <c r="C349" s="722"/>
      <c r="D349" s="723"/>
      <c r="E349" s="723"/>
      <c r="F349" s="724"/>
      <c r="G349" s="725" t="b">
        <f t="shared" si="0"/>
        <v>0</v>
      </c>
      <c r="H349" s="725"/>
      <c r="I349" s="1108"/>
      <c r="J349" s="1109"/>
      <c r="K349" s="1109"/>
      <c r="L349" s="1110"/>
      <c r="M349" s="699"/>
      <c r="N349" s="699"/>
      <c r="O349" s="721"/>
      <c r="P349" s="699"/>
      <c r="Q349" s="699"/>
    </row>
    <row r="350" spans="1:17" x14ac:dyDescent="0.3">
      <c r="A350" s="720"/>
      <c r="B350" s="721"/>
      <c r="C350" s="722"/>
      <c r="D350" s="723"/>
      <c r="E350" s="723"/>
      <c r="F350" s="724"/>
      <c r="G350" s="725" t="b">
        <f t="shared" si="0"/>
        <v>0</v>
      </c>
      <c r="H350" s="725"/>
      <c r="I350" s="1108"/>
      <c r="J350" s="1109"/>
      <c r="K350" s="1109"/>
      <c r="L350" s="1110"/>
      <c r="M350" s="699"/>
      <c r="N350" s="699"/>
      <c r="O350" s="721"/>
      <c r="P350" s="699"/>
      <c r="Q350" s="699"/>
    </row>
    <row r="351" spans="1:17" x14ac:dyDescent="0.3">
      <c r="A351" s="720"/>
      <c r="B351" s="721"/>
      <c r="C351" s="722"/>
      <c r="D351" s="723"/>
      <c r="E351" s="723"/>
      <c r="F351" s="724"/>
      <c r="G351" s="725" t="b">
        <f t="shared" si="0"/>
        <v>0</v>
      </c>
      <c r="H351" s="725"/>
      <c r="I351" s="1108"/>
      <c r="J351" s="1109"/>
      <c r="K351" s="1109"/>
      <c r="L351" s="1110"/>
      <c r="M351" s="699"/>
      <c r="N351" s="699"/>
      <c r="O351" s="721"/>
      <c r="P351" s="699"/>
      <c r="Q351" s="699"/>
    </row>
    <row r="352" spans="1:17" x14ac:dyDescent="0.3">
      <c r="A352" s="720"/>
      <c r="B352" s="721"/>
      <c r="C352" s="722"/>
      <c r="D352" s="723"/>
      <c r="E352" s="723"/>
      <c r="F352" s="724"/>
      <c r="G352" s="725" t="b">
        <f t="shared" si="0"/>
        <v>0</v>
      </c>
      <c r="H352" s="725"/>
      <c r="I352" s="1108"/>
      <c r="J352" s="1109"/>
      <c r="K352" s="1109"/>
      <c r="L352" s="1110"/>
      <c r="M352" s="699"/>
      <c r="N352" s="699"/>
      <c r="O352" s="721"/>
      <c r="P352" s="699"/>
      <c r="Q352" s="699"/>
    </row>
    <row r="353" spans="1:17" x14ac:dyDescent="0.3">
      <c r="A353" s="720"/>
      <c r="B353" s="721"/>
      <c r="C353" s="722"/>
      <c r="D353" s="723"/>
      <c r="E353" s="723"/>
      <c r="F353" s="724"/>
      <c r="G353" s="725" t="b">
        <f t="shared" si="0"/>
        <v>0</v>
      </c>
      <c r="H353" s="725"/>
      <c r="I353" s="1108"/>
      <c r="J353" s="1109"/>
      <c r="K353" s="1109"/>
      <c r="L353" s="1110"/>
      <c r="M353" s="699"/>
      <c r="N353" s="699"/>
      <c r="O353" s="721"/>
      <c r="P353" s="699"/>
      <c r="Q353" s="699"/>
    </row>
    <row r="354" spans="1:17" x14ac:dyDescent="0.3">
      <c r="A354" s="720"/>
      <c r="B354" s="721"/>
      <c r="C354" s="722"/>
      <c r="D354" s="723"/>
      <c r="E354" s="723"/>
      <c r="F354" s="724"/>
      <c r="G354" s="725" t="b">
        <f t="shared" si="0"/>
        <v>0</v>
      </c>
      <c r="H354" s="725"/>
      <c r="I354" s="1108"/>
      <c r="J354" s="1109"/>
      <c r="K354" s="1109"/>
      <c r="L354" s="1110"/>
      <c r="M354" s="699"/>
      <c r="N354" s="699"/>
      <c r="O354" s="721"/>
      <c r="P354" s="699"/>
      <c r="Q354" s="699"/>
    </row>
    <row r="355" spans="1:17" x14ac:dyDescent="0.3">
      <c r="A355" s="720"/>
      <c r="B355" s="721"/>
      <c r="C355" s="722"/>
      <c r="D355" s="723"/>
      <c r="E355" s="723"/>
      <c r="F355" s="724"/>
      <c r="G355" s="725" t="b">
        <f t="shared" si="0"/>
        <v>0</v>
      </c>
      <c r="H355" s="725"/>
      <c r="I355" s="1108"/>
      <c r="J355" s="1109"/>
      <c r="K355" s="1109"/>
      <c r="L355" s="1110"/>
      <c r="M355" s="699"/>
      <c r="N355" s="699"/>
      <c r="O355" s="721"/>
      <c r="P355" s="699"/>
      <c r="Q355" s="699"/>
    </row>
    <row r="356" spans="1:17" x14ac:dyDescent="0.3">
      <c r="A356" s="720"/>
      <c r="B356" s="721"/>
      <c r="C356" s="722"/>
      <c r="D356" s="723"/>
      <c r="E356" s="723"/>
      <c r="F356" s="724"/>
      <c r="G356" s="725" t="b">
        <f t="shared" si="0"/>
        <v>0</v>
      </c>
      <c r="H356" s="725"/>
      <c r="I356" s="1108"/>
      <c r="J356" s="1109"/>
      <c r="K356" s="1109"/>
      <c r="L356" s="1110"/>
      <c r="M356" s="699"/>
      <c r="N356" s="699"/>
      <c r="O356" s="721"/>
      <c r="P356" s="699"/>
      <c r="Q356" s="699"/>
    </row>
    <row r="357" spans="1:17" x14ac:dyDescent="0.3">
      <c r="A357" s="720"/>
      <c r="B357" s="721"/>
      <c r="C357" s="722"/>
      <c r="D357" s="723"/>
      <c r="E357" s="723"/>
      <c r="F357" s="724"/>
      <c r="G357" s="725" t="b">
        <f t="shared" si="0"/>
        <v>0</v>
      </c>
      <c r="H357" s="725"/>
      <c r="I357" s="1108"/>
      <c r="J357" s="1109"/>
      <c r="K357" s="1109"/>
      <c r="L357" s="1110"/>
      <c r="M357" s="699"/>
      <c r="N357" s="699"/>
      <c r="O357" s="721"/>
      <c r="P357" s="699"/>
      <c r="Q357" s="699"/>
    </row>
    <row r="358" spans="1:17" x14ac:dyDescent="0.3">
      <c r="A358" s="720"/>
      <c r="B358" s="721"/>
      <c r="C358" s="722"/>
      <c r="D358" s="723"/>
      <c r="E358" s="723"/>
      <c r="F358" s="724"/>
      <c r="G358" s="725" t="b">
        <f t="shared" si="0"/>
        <v>0</v>
      </c>
      <c r="H358" s="725"/>
      <c r="I358" s="1108"/>
      <c r="J358" s="1109"/>
      <c r="K358" s="1109"/>
      <c r="L358" s="1110"/>
      <c r="M358" s="699"/>
      <c r="N358" s="699"/>
      <c r="O358" s="721"/>
      <c r="P358" s="699"/>
      <c r="Q358" s="699"/>
    </row>
    <row r="359" spans="1:17" x14ac:dyDescent="0.3">
      <c r="A359" s="720"/>
      <c r="B359" s="721"/>
      <c r="C359" s="722"/>
      <c r="D359" s="723"/>
      <c r="E359" s="723"/>
      <c r="F359" s="724"/>
      <c r="G359" s="725" t="b">
        <f t="shared" si="0"/>
        <v>0</v>
      </c>
      <c r="H359" s="725"/>
      <c r="I359" s="1108"/>
      <c r="J359" s="1109"/>
      <c r="K359" s="1109"/>
      <c r="L359" s="1110"/>
      <c r="M359" s="699"/>
      <c r="N359" s="699"/>
      <c r="O359" s="721"/>
      <c r="P359" s="699"/>
      <c r="Q359" s="699"/>
    </row>
    <row r="360" spans="1:17" x14ac:dyDescent="0.3">
      <c r="A360" s="720"/>
      <c r="B360" s="721"/>
      <c r="C360" s="722"/>
      <c r="D360" s="723"/>
      <c r="E360" s="723"/>
      <c r="F360" s="724"/>
      <c r="G360" s="725" t="b">
        <f t="shared" si="0"/>
        <v>0</v>
      </c>
      <c r="H360" s="725"/>
      <c r="I360" s="1108"/>
      <c r="J360" s="1109"/>
      <c r="K360" s="1109"/>
      <c r="L360" s="1110"/>
      <c r="M360" s="699"/>
      <c r="N360" s="699"/>
      <c r="O360" s="721"/>
      <c r="P360" s="699"/>
      <c r="Q360" s="699"/>
    </row>
    <row r="361" spans="1:17" x14ac:dyDescent="0.3">
      <c r="A361" s="720"/>
      <c r="B361" s="721"/>
      <c r="C361" s="722"/>
      <c r="D361" s="723"/>
      <c r="E361" s="723"/>
      <c r="F361" s="724"/>
      <c r="G361" s="725" t="b">
        <f t="shared" si="0"/>
        <v>0</v>
      </c>
      <c r="H361" s="725"/>
      <c r="I361" s="1108"/>
      <c r="J361" s="1109"/>
      <c r="K361" s="1109"/>
      <c r="L361" s="1110"/>
      <c r="M361" s="699"/>
      <c r="N361" s="699"/>
      <c r="O361" s="721"/>
      <c r="P361" s="699"/>
      <c r="Q361" s="699"/>
    </row>
    <row r="362" spans="1:17" x14ac:dyDescent="0.3">
      <c r="A362" s="720"/>
      <c r="B362" s="721"/>
      <c r="C362" s="722"/>
      <c r="D362" s="723"/>
      <c r="E362" s="723"/>
      <c r="F362" s="724"/>
      <c r="G362" s="725" t="b">
        <f t="shared" si="0"/>
        <v>0</v>
      </c>
      <c r="H362" s="725"/>
      <c r="I362" s="1108"/>
      <c r="J362" s="1109"/>
      <c r="K362" s="1109"/>
      <c r="L362" s="1110"/>
      <c r="M362" s="699"/>
      <c r="N362" s="699"/>
      <c r="O362" s="721"/>
      <c r="P362" s="699"/>
      <c r="Q362" s="699"/>
    </row>
    <row r="363" spans="1:17" x14ac:dyDescent="0.3">
      <c r="A363" s="720"/>
      <c r="B363" s="721"/>
      <c r="C363" s="722"/>
      <c r="D363" s="723"/>
      <c r="E363" s="723"/>
      <c r="F363" s="724"/>
      <c r="G363" s="725" t="b">
        <f t="shared" si="0"/>
        <v>0</v>
      </c>
      <c r="H363" s="725"/>
      <c r="I363" s="1108"/>
      <c r="J363" s="1109"/>
      <c r="K363" s="1109"/>
      <c r="L363" s="1110"/>
      <c r="M363" s="699"/>
      <c r="N363" s="699"/>
      <c r="O363" s="721"/>
      <c r="P363" s="699"/>
      <c r="Q363" s="699"/>
    </row>
    <row r="364" spans="1:17" x14ac:dyDescent="0.3">
      <c r="A364" s="720"/>
      <c r="B364" s="721"/>
      <c r="C364" s="722"/>
      <c r="D364" s="723"/>
      <c r="E364" s="723"/>
      <c r="F364" s="724"/>
      <c r="G364" s="725" t="b">
        <f t="shared" si="0"/>
        <v>0</v>
      </c>
      <c r="H364" s="725"/>
      <c r="I364" s="1108"/>
      <c r="J364" s="1109"/>
      <c r="K364" s="1109"/>
      <c r="L364" s="1110"/>
      <c r="M364" s="699"/>
      <c r="N364" s="699"/>
      <c r="O364" s="721"/>
      <c r="P364" s="699"/>
      <c r="Q364" s="699"/>
    </row>
    <row r="365" spans="1:17" x14ac:dyDescent="0.3">
      <c r="A365" s="720"/>
      <c r="B365" s="721"/>
      <c r="C365" s="722"/>
      <c r="D365" s="723"/>
      <c r="E365" s="723"/>
      <c r="F365" s="724"/>
      <c r="G365" s="725" t="b">
        <f t="shared" si="0"/>
        <v>0</v>
      </c>
      <c r="H365" s="725"/>
      <c r="I365" s="1108"/>
      <c r="J365" s="1109"/>
      <c r="K365" s="1109"/>
      <c r="L365" s="1110"/>
      <c r="M365" s="699"/>
      <c r="N365" s="699"/>
      <c r="O365" s="721"/>
      <c r="P365" s="699"/>
      <c r="Q365" s="699"/>
    </row>
    <row r="366" spans="1:17" x14ac:dyDescent="0.3">
      <c r="A366" s="720"/>
      <c r="B366" s="721"/>
      <c r="C366" s="722"/>
      <c r="D366" s="723"/>
      <c r="E366" s="723"/>
      <c r="F366" s="724"/>
      <c r="G366" s="725" t="b">
        <f t="shared" si="0"/>
        <v>0</v>
      </c>
      <c r="H366" s="725"/>
      <c r="I366" s="1108"/>
      <c r="J366" s="1109"/>
      <c r="K366" s="1109"/>
      <c r="L366" s="1110"/>
      <c r="M366" s="699"/>
      <c r="N366" s="699"/>
      <c r="O366" s="721"/>
      <c r="P366" s="699"/>
      <c r="Q366" s="699"/>
    </row>
    <row r="367" spans="1:17" x14ac:dyDescent="0.3">
      <c r="A367" s="720"/>
      <c r="B367" s="721"/>
      <c r="C367" s="722"/>
      <c r="D367" s="723"/>
      <c r="E367" s="723"/>
      <c r="F367" s="724"/>
      <c r="G367" s="725" t="b">
        <f t="shared" si="0"/>
        <v>0</v>
      </c>
      <c r="H367" s="725"/>
      <c r="I367" s="1108"/>
      <c r="J367" s="1109"/>
      <c r="K367" s="1109"/>
      <c r="L367" s="1110"/>
      <c r="M367" s="699"/>
      <c r="N367" s="699"/>
      <c r="O367" s="721"/>
      <c r="P367" s="699"/>
      <c r="Q367" s="699"/>
    </row>
    <row r="368" spans="1:17" x14ac:dyDescent="0.3">
      <c r="A368" s="720"/>
      <c r="B368" s="721"/>
      <c r="C368" s="722"/>
      <c r="D368" s="723"/>
      <c r="E368" s="723"/>
      <c r="F368" s="724"/>
      <c r="G368" s="725" t="b">
        <f t="shared" si="0"/>
        <v>0</v>
      </c>
      <c r="H368" s="725"/>
      <c r="I368" s="1108"/>
      <c r="J368" s="1109"/>
      <c r="K368" s="1109"/>
      <c r="L368" s="1110"/>
      <c r="M368" s="699"/>
      <c r="N368" s="699"/>
      <c r="O368" s="721"/>
      <c r="P368" s="699"/>
      <c r="Q368" s="699"/>
    </row>
    <row r="369" spans="1:17" x14ac:dyDescent="0.3">
      <c r="A369" s="720"/>
      <c r="B369" s="721"/>
      <c r="C369" s="722"/>
      <c r="D369" s="723"/>
      <c r="E369" s="723"/>
      <c r="F369" s="724"/>
      <c r="G369" s="725" t="b">
        <f t="shared" si="0"/>
        <v>0</v>
      </c>
      <c r="H369" s="725"/>
      <c r="I369" s="1108"/>
      <c r="J369" s="1109"/>
      <c r="K369" s="1109"/>
      <c r="L369" s="1110"/>
      <c r="M369" s="699"/>
      <c r="N369" s="699"/>
      <c r="O369" s="721"/>
      <c r="P369" s="699"/>
      <c r="Q369" s="699"/>
    </row>
    <row r="370" spans="1:17" x14ac:dyDescent="0.3">
      <c r="A370" s="720"/>
      <c r="B370" s="721"/>
      <c r="C370" s="722"/>
      <c r="D370" s="723"/>
      <c r="E370" s="723"/>
      <c r="F370" s="724"/>
      <c r="G370" s="725" t="b">
        <f t="shared" si="0"/>
        <v>0</v>
      </c>
      <c r="H370" s="725"/>
      <c r="I370" s="1108"/>
      <c r="J370" s="1109"/>
      <c r="K370" s="1109"/>
      <c r="L370" s="1110"/>
      <c r="M370" s="699"/>
      <c r="N370" s="699"/>
      <c r="O370" s="721"/>
      <c r="P370" s="699"/>
      <c r="Q370" s="699"/>
    </row>
    <row r="371" spans="1:17" x14ac:dyDescent="0.3">
      <c r="A371" s="720"/>
      <c r="B371" s="721"/>
      <c r="C371" s="722"/>
      <c r="D371" s="723"/>
      <c r="E371" s="723"/>
      <c r="F371" s="724"/>
      <c r="G371" s="725" t="b">
        <f t="shared" si="0"/>
        <v>0</v>
      </c>
      <c r="H371" s="725"/>
      <c r="I371" s="1108"/>
      <c r="J371" s="1109"/>
      <c r="K371" s="1109"/>
      <c r="L371" s="1110"/>
      <c r="M371" s="699"/>
      <c r="N371" s="699"/>
      <c r="O371" s="721"/>
      <c r="P371" s="699"/>
      <c r="Q371" s="699"/>
    </row>
    <row r="372" spans="1:17" x14ac:dyDescent="0.3">
      <c r="A372" s="720"/>
      <c r="B372" s="721"/>
      <c r="C372" s="722"/>
      <c r="D372" s="723"/>
      <c r="E372" s="723"/>
      <c r="F372" s="724"/>
      <c r="G372" s="725" t="b">
        <f t="shared" si="0"/>
        <v>0</v>
      </c>
      <c r="H372" s="725"/>
      <c r="I372" s="1108"/>
      <c r="J372" s="1109"/>
      <c r="K372" s="1109"/>
      <c r="L372" s="1110"/>
      <c r="M372" s="699"/>
      <c r="N372" s="699"/>
      <c r="O372" s="721"/>
      <c r="P372" s="699"/>
      <c r="Q372" s="699"/>
    </row>
    <row r="373" spans="1:17" x14ac:dyDescent="0.3">
      <c r="A373" s="720"/>
      <c r="B373" s="721"/>
      <c r="C373" s="722"/>
      <c r="D373" s="723"/>
      <c r="E373" s="723"/>
      <c r="F373" s="724"/>
      <c r="G373" s="725" t="b">
        <f t="shared" si="0"/>
        <v>0</v>
      </c>
      <c r="H373" s="725"/>
      <c r="I373" s="1108"/>
      <c r="J373" s="1109"/>
      <c r="K373" s="1109"/>
      <c r="L373" s="1110"/>
      <c r="M373" s="699"/>
      <c r="N373" s="699"/>
      <c r="O373" s="721"/>
      <c r="P373" s="699"/>
      <c r="Q373" s="699"/>
    </row>
    <row r="374" spans="1:17" x14ac:dyDescent="0.3">
      <c r="A374" s="720"/>
      <c r="B374" s="721"/>
      <c r="C374" s="722"/>
      <c r="D374" s="723"/>
      <c r="E374" s="723"/>
      <c r="F374" s="724"/>
      <c r="G374" s="725" t="b">
        <f t="shared" si="0"/>
        <v>0</v>
      </c>
      <c r="H374" s="725"/>
      <c r="I374" s="1108"/>
      <c r="J374" s="1109"/>
      <c r="K374" s="1109"/>
      <c r="L374" s="1110"/>
      <c r="M374" s="699"/>
      <c r="N374" s="699"/>
      <c r="O374" s="721"/>
      <c r="P374" s="699"/>
      <c r="Q374" s="699"/>
    </row>
    <row r="375" spans="1:17" x14ac:dyDescent="0.3">
      <c r="A375" s="720"/>
      <c r="B375" s="721"/>
      <c r="C375" s="722"/>
      <c r="D375" s="723"/>
      <c r="E375" s="723"/>
      <c r="F375" s="724"/>
      <c r="G375" s="725" t="b">
        <f t="shared" ref="G375:G438" si="1">IF(C375="060102","VERIFICARE AVVENUTO SMALTIMENTO",IF(C375="070101","VERIFICARE AVVENUTO SMALTIMENTO",IF(C375="160303","VERIFICARE AVVENUTO SMALTIMENTO",IF(C375="161001","VERIFICARE AVVENUTO SMALTIMENTO",IF(C375="170603","VERIFICARE AVVENUTO SMALTIMENTO",IF(C375="170904","VERIFICARE AVVENUTO SMALTIMENTO"))))))</f>
        <v>0</v>
      </c>
      <c r="H375" s="725"/>
      <c r="I375" s="1108"/>
      <c r="J375" s="1109"/>
      <c r="K375" s="1109"/>
      <c r="L375" s="1110"/>
      <c r="M375" s="699"/>
      <c r="N375" s="699"/>
      <c r="O375" s="721"/>
      <c r="P375" s="699"/>
      <c r="Q375" s="699"/>
    </row>
    <row r="376" spans="1:17" x14ac:dyDescent="0.3">
      <c r="A376" s="720"/>
      <c r="B376" s="721"/>
      <c r="C376" s="722"/>
      <c r="D376" s="723"/>
      <c r="E376" s="723"/>
      <c r="F376" s="724"/>
      <c r="G376" s="725" t="b">
        <f t="shared" si="1"/>
        <v>0</v>
      </c>
      <c r="H376" s="725"/>
      <c r="I376" s="1108"/>
      <c r="J376" s="1109"/>
      <c r="K376" s="1109"/>
      <c r="L376" s="1110"/>
      <c r="M376" s="699"/>
      <c r="N376" s="699"/>
      <c r="O376" s="721"/>
      <c r="P376" s="699"/>
      <c r="Q376" s="699"/>
    </row>
    <row r="377" spans="1:17" x14ac:dyDescent="0.3">
      <c r="A377" s="720"/>
      <c r="B377" s="721"/>
      <c r="C377" s="722"/>
      <c r="D377" s="723"/>
      <c r="E377" s="723"/>
      <c r="F377" s="724"/>
      <c r="G377" s="725" t="b">
        <f t="shared" si="1"/>
        <v>0</v>
      </c>
      <c r="H377" s="725"/>
      <c r="I377" s="1108"/>
      <c r="J377" s="1109"/>
      <c r="K377" s="1109"/>
      <c r="L377" s="1110"/>
      <c r="M377" s="699"/>
      <c r="N377" s="699"/>
      <c r="O377" s="721"/>
      <c r="P377" s="699"/>
      <c r="Q377" s="699"/>
    </row>
    <row r="378" spans="1:17" x14ac:dyDescent="0.3">
      <c r="A378" s="720"/>
      <c r="B378" s="721"/>
      <c r="C378" s="722"/>
      <c r="D378" s="723"/>
      <c r="E378" s="723"/>
      <c r="F378" s="724"/>
      <c r="G378" s="725" t="b">
        <f t="shared" si="1"/>
        <v>0</v>
      </c>
      <c r="H378" s="725"/>
      <c r="I378" s="1108"/>
      <c r="J378" s="1109"/>
      <c r="K378" s="1109"/>
      <c r="L378" s="1110"/>
      <c r="M378" s="699"/>
      <c r="N378" s="699"/>
      <c r="O378" s="721"/>
      <c r="P378" s="699"/>
      <c r="Q378" s="699"/>
    </row>
    <row r="379" spans="1:17" x14ac:dyDescent="0.3">
      <c r="A379" s="720"/>
      <c r="B379" s="721"/>
      <c r="C379" s="722"/>
      <c r="D379" s="723"/>
      <c r="E379" s="723"/>
      <c r="F379" s="724"/>
      <c r="G379" s="725" t="b">
        <f t="shared" si="1"/>
        <v>0</v>
      </c>
      <c r="H379" s="725"/>
      <c r="I379" s="1108"/>
      <c r="J379" s="1109"/>
      <c r="K379" s="1109"/>
      <c r="L379" s="1110"/>
      <c r="M379" s="699"/>
      <c r="N379" s="699"/>
      <c r="O379" s="721"/>
      <c r="P379" s="699"/>
      <c r="Q379" s="699"/>
    </row>
    <row r="380" spans="1:17" x14ac:dyDescent="0.3">
      <c r="A380" s="720"/>
      <c r="B380" s="721"/>
      <c r="C380" s="722"/>
      <c r="D380" s="723"/>
      <c r="E380" s="723"/>
      <c r="F380" s="724"/>
      <c r="G380" s="725" t="b">
        <f t="shared" si="1"/>
        <v>0</v>
      </c>
      <c r="H380" s="725"/>
      <c r="I380" s="1108"/>
      <c r="J380" s="1109"/>
      <c r="K380" s="1109"/>
      <c r="L380" s="1110"/>
      <c r="M380" s="699"/>
      <c r="N380" s="699"/>
      <c r="O380" s="721"/>
      <c r="P380" s="699"/>
      <c r="Q380" s="699"/>
    </row>
    <row r="381" spans="1:17" x14ac:dyDescent="0.3">
      <c r="A381" s="720"/>
      <c r="B381" s="721"/>
      <c r="C381" s="722"/>
      <c r="D381" s="723"/>
      <c r="E381" s="723"/>
      <c r="F381" s="724"/>
      <c r="G381" s="725" t="b">
        <f t="shared" si="1"/>
        <v>0</v>
      </c>
      <c r="H381" s="725"/>
      <c r="I381" s="1108"/>
      <c r="J381" s="1109"/>
      <c r="K381" s="1109"/>
      <c r="L381" s="1110"/>
      <c r="M381" s="699"/>
      <c r="N381" s="699"/>
      <c r="O381" s="721"/>
      <c r="P381" s="699"/>
      <c r="Q381" s="699"/>
    </row>
    <row r="382" spans="1:17" x14ac:dyDescent="0.3">
      <c r="A382" s="720"/>
      <c r="B382" s="721"/>
      <c r="C382" s="722"/>
      <c r="D382" s="723"/>
      <c r="E382" s="723"/>
      <c r="F382" s="724"/>
      <c r="G382" s="725" t="b">
        <f t="shared" si="1"/>
        <v>0</v>
      </c>
      <c r="H382" s="725"/>
      <c r="I382" s="1108"/>
      <c r="J382" s="1109"/>
      <c r="K382" s="1109"/>
      <c r="L382" s="1110"/>
      <c r="M382" s="699"/>
      <c r="N382" s="699"/>
      <c r="O382" s="721"/>
      <c r="P382" s="699"/>
      <c r="Q382" s="699"/>
    </row>
    <row r="383" spans="1:17" x14ac:dyDescent="0.3">
      <c r="A383" s="720"/>
      <c r="B383" s="721"/>
      <c r="C383" s="722"/>
      <c r="D383" s="723"/>
      <c r="E383" s="723"/>
      <c r="F383" s="724"/>
      <c r="G383" s="725" t="b">
        <f t="shared" si="1"/>
        <v>0</v>
      </c>
      <c r="H383" s="725"/>
      <c r="I383" s="1108"/>
      <c r="J383" s="1109"/>
      <c r="K383" s="1109"/>
      <c r="L383" s="1110"/>
      <c r="M383" s="699"/>
      <c r="N383" s="699"/>
      <c r="O383" s="721"/>
      <c r="P383" s="699"/>
      <c r="Q383" s="699"/>
    </row>
    <row r="384" spans="1:17" x14ac:dyDescent="0.3">
      <c r="A384" s="720"/>
      <c r="B384" s="721"/>
      <c r="C384" s="722"/>
      <c r="D384" s="723"/>
      <c r="E384" s="723"/>
      <c r="F384" s="724"/>
      <c r="G384" s="725" t="b">
        <f t="shared" si="1"/>
        <v>0</v>
      </c>
      <c r="H384" s="725"/>
      <c r="I384" s="1108"/>
      <c r="J384" s="1109"/>
      <c r="K384" s="1109"/>
      <c r="L384" s="1110"/>
      <c r="M384" s="699"/>
      <c r="N384" s="699"/>
      <c r="O384" s="721"/>
      <c r="P384" s="699"/>
      <c r="Q384" s="699"/>
    </row>
    <row r="385" spans="1:17" x14ac:dyDescent="0.3">
      <c r="A385" s="720"/>
      <c r="B385" s="721"/>
      <c r="C385" s="722"/>
      <c r="D385" s="723"/>
      <c r="E385" s="723"/>
      <c r="F385" s="724"/>
      <c r="G385" s="725" t="b">
        <f t="shared" si="1"/>
        <v>0</v>
      </c>
      <c r="H385" s="725"/>
      <c r="I385" s="1108"/>
      <c r="J385" s="1109"/>
      <c r="K385" s="1109"/>
      <c r="L385" s="1110"/>
      <c r="M385" s="699"/>
      <c r="N385" s="699"/>
      <c r="O385" s="721"/>
      <c r="P385" s="699"/>
      <c r="Q385" s="699"/>
    </row>
    <row r="386" spans="1:17" x14ac:dyDescent="0.3">
      <c r="A386" s="720"/>
      <c r="B386" s="721"/>
      <c r="C386" s="722"/>
      <c r="D386" s="723"/>
      <c r="E386" s="723"/>
      <c r="F386" s="724"/>
      <c r="G386" s="725" t="b">
        <f t="shared" si="1"/>
        <v>0</v>
      </c>
      <c r="H386" s="725"/>
      <c r="I386" s="1108"/>
      <c r="J386" s="1109"/>
      <c r="K386" s="1109"/>
      <c r="L386" s="1110"/>
      <c r="M386" s="699"/>
      <c r="N386" s="699"/>
      <c r="O386" s="721"/>
      <c r="P386" s="699"/>
      <c r="Q386" s="699"/>
    </row>
    <row r="387" spans="1:17" x14ac:dyDescent="0.3">
      <c r="A387" s="720"/>
      <c r="B387" s="721"/>
      <c r="C387" s="722"/>
      <c r="D387" s="723"/>
      <c r="E387" s="723"/>
      <c r="F387" s="724"/>
      <c r="G387" s="725" t="b">
        <f t="shared" si="1"/>
        <v>0</v>
      </c>
      <c r="H387" s="725"/>
      <c r="I387" s="1108"/>
      <c r="J387" s="1109"/>
      <c r="K387" s="1109"/>
      <c r="L387" s="1110"/>
      <c r="M387" s="699"/>
      <c r="N387" s="699"/>
      <c r="O387" s="721"/>
      <c r="P387" s="699"/>
      <c r="Q387" s="699"/>
    </row>
    <row r="388" spans="1:17" x14ac:dyDescent="0.3">
      <c r="A388" s="720"/>
      <c r="B388" s="721"/>
      <c r="C388" s="722"/>
      <c r="D388" s="723"/>
      <c r="E388" s="723"/>
      <c r="F388" s="724"/>
      <c r="G388" s="725" t="b">
        <f t="shared" si="1"/>
        <v>0</v>
      </c>
      <c r="H388" s="725"/>
      <c r="I388" s="1108"/>
      <c r="J388" s="1109"/>
      <c r="K388" s="1109"/>
      <c r="L388" s="1110"/>
      <c r="M388" s="699"/>
      <c r="N388" s="699"/>
      <c r="O388" s="721"/>
      <c r="P388" s="699"/>
      <c r="Q388" s="699"/>
    </row>
    <row r="389" spans="1:17" x14ac:dyDescent="0.3">
      <c r="A389" s="720"/>
      <c r="B389" s="721"/>
      <c r="C389" s="722"/>
      <c r="D389" s="723"/>
      <c r="E389" s="723"/>
      <c r="F389" s="724"/>
      <c r="G389" s="725" t="b">
        <f t="shared" si="1"/>
        <v>0</v>
      </c>
      <c r="H389" s="725"/>
      <c r="I389" s="1108"/>
      <c r="J389" s="1109"/>
      <c r="K389" s="1109"/>
      <c r="L389" s="1110"/>
      <c r="M389" s="699"/>
      <c r="N389" s="699"/>
      <c r="O389" s="721"/>
      <c r="P389" s="699"/>
      <c r="Q389" s="699"/>
    </row>
    <row r="390" spans="1:17" x14ac:dyDescent="0.3">
      <c r="A390" s="720"/>
      <c r="B390" s="721"/>
      <c r="C390" s="722"/>
      <c r="D390" s="723"/>
      <c r="E390" s="723"/>
      <c r="F390" s="724"/>
      <c r="G390" s="725" t="b">
        <f t="shared" si="1"/>
        <v>0</v>
      </c>
      <c r="H390" s="725"/>
      <c r="I390" s="1108"/>
      <c r="J390" s="1109"/>
      <c r="K390" s="1109"/>
      <c r="L390" s="1110"/>
      <c r="M390" s="699"/>
      <c r="N390" s="699"/>
      <c r="O390" s="721"/>
      <c r="P390" s="699"/>
      <c r="Q390" s="699"/>
    </row>
    <row r="391" spans="1:17" x14ac:dyDescent="0.3">
      <c r="A391" s="720"/>
      <c r="B391" s="721"/>
      <c r="C391" s="722"/>
      <c r="D391" s="723"/>
      <c r="E391" s="723"/>
      <c r="F391" s="724"/>
      <c r="G391" s="725" t="b">
        <f t="shared" si="1"/>
        <v>0</v>
      </c>
      <c r="H391" s="725"/>
      <c r="I391" s="1108"/>
      <c r="J391" s="1109"/>
      <c r="K391" s="1109"/>
      <c r="L391" s="1110"/>
      <c r="M391" s="699"/>
      <c r="N391" s="699"/>
      <c r="O391" s="721"/>
      <c r="P391" s="699"/>
      <c r="Q391" s="699"/>
    </row>
    <row r="392" spans="1:17" x14ac:dyDescent="0.3">
      <c r="A392" s="720"/>
      <c r="B392" s="721"/>
      <c r="C392" s="722"/>
      <c r="D392" s="723"/>
      <c r="E392" s="723"/>
      <c r="F392" s="724"/>
      <c r="G392" s="725" t="b">
        <f t="shared" si="1"/>
        <v>0</v>
      </c>
      <c r="H392" s="725"/>
      <c r="I392" s="1108"/>
      <c r="J392" s="1109"/>
      <c r="K392" s="1109"/>
      <c r="L392" s="1110"/>
      <c r="M392" s="699"/>
      <c r="N392" s="699"/>
      <c r="O392" s="721"/>
      <c r="P392" s="699"/>
      <c r="Q392" s="699"/>
    </row>
    <row r="393" spans="1:17" x14ac:dyDescent="0.3">
      <c r="A393" s="720"/>
      <c r="B393" s="721"/>
      <c r="C393" s="722"/>
      <c r="D393" s="723"/>
      <c r="E393" s="723"/>
      <c r="F393" s="724"/>
      <c r="G393" s="725" t="b">
        <f t="shared" si="1"/>
        <v>0</v>
      </c>
      <c r="H393" s="725"/>
      <c r="I393" s="1108"/>
      <c r="J393" s="1109"/>
      <c r="K393" s="1109"/>
      <c r="L393" s="1110"/>
      <c r="M393" s="699"/>
      <c r="N393" s="699"/>
      <c r="O393" s="721"/>
      <c r="P393" s="699"/>
      <c r="Q393" s="699"/>
    </row>
    <row r="394" spans="1:17" x14ac:dyDescent="0.3">
      <c r="A394" s="720"/>
      <c r="B394" s="721"/>
      <c r="C394" s="722"/>
      <c r="D394" s="723"/>
      <c r="E394" s="723"/>
      <c r="F394" s="724"/>
      <c r="G394" s="725" t="b">
        <f t="shared" si="1"/>
        <v>0</v>
      </c>
      <c r="H394" s="725"/>
      <c r="I394" s="1108"/>
      <c r="J394" s="1109"/>
      <c r="K394" s="1109"/>
      <c r="L394" s="1110"/>
      <c r="M394" s="699"/>
      <c r="N394" s="699"/>
      <c r="O394" s="721"/>
      <c r="P394" s="699"/>
      <c r="Q394" s="699"/>
    </row>
    <row r="395" spans="1:17" x14ac:dyDescent="0.3">
      <c r="A395" s="720"/>
      <c r="B395" s="721"/>
      <c r="C395" s="722"/>
      <c r="D395" s="723"/>
      <c r="E395" s="723"/>
      <c r="F395" s="724"/>
      <c r="G395" s="725" t="b">
        <f t="shared" si="1"/>
        <v>0</v>
      </c>
      <c r="H395" s="725"/>
      <c r="I395" s="1108"/>
      <c r="J395" s="1109"/>
      <c r="K395" s="1109"/>
      <c r="L395" s="1110"/>
      <c r="M395" s="699"/>
      <c r="N395" s="699"/>
      <c r="O395" s="721"/>
      <c r="P395" s="699"/>
      <c r="Q395" s="699"/>
    </row>
    <row r="396" spans="1:17" x14ac:dyDescent="0.3">
      <c r="A396" s="720"/>
      <c r="B396" s="721"/>
      <c r="C396" s="722"/>
      <c r="D396" s="723"/>
      <c r="E396" s="723"/>
      <c r="F396" s="724"/>
      <c r="G396" s="725" t="b">
        <f t="shared" si="1"/>
        <v>0</v>
      </c>
      <c r="H396" s="725"/>
      <c r="I396" s="1108"/>
      <c r="J396" s="1109"/>
      <c r="K396" s="1109"/>
      <c r="L396" s="1110"/>
      <c r="M396" s="699"/>
      <c r="N396" s="699"/>
      <c r="O396" s="721"/>
      <c r="P396" s="699"/>
      <c r="Q396" s="699"/>
    </row>
    <row r="397" spans="1:17" x14ac:dyDescent="0.3">
      <c r="A397" s="720"/>
      <c r="B397" s="721"/>
      <c r="C397" s="722"/>
      <c r="D397" s="723"/>
      <c r="E397" s="723"/>
      <c r="F397" s="724"/>
      <c r="G397" s="725" t="b">
        <f t="shared" si="1"/>
        <v>0</v>
      </c>
      <c r="H397" s="725"/>
      <c r="I397" s="1108"/>
      <c r="J397" s="1109"/>
      <c r="K397" s="1109"/>
      <c r="L397" s="1110"/>
      <c r="M397" s="699"/>
      <c r="N397" s="699"/>
      <c r="O397" s="721"/>
      <c r="P397" s="699"/>
      <c r="Q397" s="699"/>
    </row>
    <row r="398" spans="1:17" x14ac:dyDescent="0.3">
      <c r="A398" s="720"/>
      <c r="B398" s="721"/>
      <c r="C398" s="722"/>
      <c r="D398" s="723"/>
      <c r="E398" s="723"/>
      <c r="F398" s="724"/>
      <c r="G398" s="725" t="b">
        <f t="shared" si="1"/>
        <v>0</v>
      </c>
      <c r="H398" s="725"/>
      <c r="I398" s="1108"/>
      <c r="J398" s="1109"/>
      <c r="K398" s="1109"/>
      <c r="L398" s="1110"/>
      <c r="M398" s="699"/>
      <c r="N398" s="699"/>
      <c r="O398" s="721"/>
      <c r="P398" s="699"/>
      <c r="Q398" s="699"/>
    </row>
    <row r="399" spans="1:17" x14ac:dyDescent="0.3">
      <c r="A399" s="720"/>
      <c r="B399" s="721"/>
      <c r="C399" s="722"/>
      <c r="D399" s="723"/>
      <c r="E399" s="723"/>
      <c r="F399" s="724"/>
      <c r="G399" s="725" t="b">
        <f t="shared" si="1"/>
        <v>0</v>
      </c>
      <c r="H399" s="725"/>
      <c r="I399" s="1108"/>
      <c r="J399" s="1109"/>
      <c r="K399" s="1109"/>
      <c r="L399" s="1110"/>
      <c r="M399" s="699"/>
      <c r="N399" s="699"/>
      <c r="O399" s="721"/>
      <c r="P399" s="699"/>
      <c r="Q399" s="699"/>
    </row>
    <row r="400" spans="1:17" x14ac:dyDescent="0.3">
      <c r="A400" s="720"/>
      <c r="B400" s="721"/>
      <c r="C400" s="722"/>
      <c r="D400" s="723"/>
      <c r="E400" s="723"/>
      <c r="F400" s="724"/>
      <c r="G400" s="725" t="b">
        <f t="shared" si="1"/>
        <v>0</v>
      </c>
      <c r="H400" s="725"/>
      <c r="I400" s="1108"/>
      <c r="J400" s="1109"/>
      <c r="K400" s="1109"/>
      <c r="L400" s="1110"/>
      <c r="M400" s="699"/>
      <c r="N400" s="699"/>
      <c r="O400" s="721"/>
      <c r="P400" s="699"/>
      <c r="Q400" s="699"/>
    </row>
    <row r="401" spans="1:17" x14ac:dyDescent="0.3">
      <c r="A401" s="720"/>
      <c r="B401" s="721"/>
      <c r="C401" s="722"/>
      <c r="D401" s="723"/>
      <c r="E401" s="723"/>
      <c r="F401" s="724"/>
      <c r="G401" s="725" t="b">
        <f t="shared" si="1"/>
        <v>0</v>
      </c>
      <c r="H401" s="725"/>
      <c r="I401" s="1108"/>
      <c r="J401" s="1109"/>
      <c r="K401" s="1109"/>
      <c r="L401" s="1110"/>
      <c r="M401" s="699"/>
      <c r="N401" s="699"/>
      <c r="O401" s="721"/>
      <c r="P401" s="699"/>
      <c r="Q401" s="699"/>
    </row>
    <row r="402" spans="1:17" x14ac:dyDescent="0.3">
      <c r="A402" s="720"/>
      <c r="B402" s="721"/>
      <c r="C402" s="722"/>
      <c r="D402" s="723"/>
      <c r="E402" s="723"/>
      <c r="F402" s="724"/>
      <c r="G402" s="725" t="b">
        <f t="shared" si="1"/>
        <v>0</v>
      </c>
      <c r="H402" s="725"/>
      <c r="I402" s="1108"/>
      <c r="J402" s="1109"/>
      <c r="K402" s="1109"/>
      <c r="L402" s="1110"/>
      <c r="M402" s="699"/>
      <c r="N402" s="699"/>
      <c r="O402" s="721"/>
      <c r="P402" s="699"/>
      <c r="Q402" s="699"/>
    </row>
    <row r="403" spans="1:17" x14ac:dyDescent="0.3">
      <c r="A403" s="720"/>
      <c r="B403" s="721"/>
      <c r="C403" s="722"/>
      <c r="D403" s="723"/>
      <c r="E403" s="723"/>
      <c r="F403" s="724"/>
      <c r="G403" s="725" t="b">
        <f t="shared" si="1"/>
        <v>0</v>
      </c>
      <c r="H403" s="725"/>
      <c r="I403" s="1108"/>
      <c r="J403" s="1109"/>
      <c r="K403" s="1109"/>
      <c r="L403" s="1110"/>
      <c r="M403" s="699"/>
      <c r="N403" s="699"/>
      <c r="O403" s="721"/>
      <c r="P403" s="699"/>
      <c r="Q403" s="699"/>
    </row>
    <row r="404" spans="1:17" x14ac:dyDescent="0.3">
      <c r="A404" s="720"/>
      <c r="B404" s="721"/>
      <c r="C404" s="722"/>
      <c r="D404" s="723"/>
      <c r="E404" s="723"/>
      <c r="F404" s="724"/>
      <c r="G404" s="725" t="b">
        <f t="shared" si="1"/>
        <v>0</v>
      </c>
      <c r="H404" s="725"/>
      <c r="I404" s="1108"/>
      <c r="J404" s="1109"/>
      <c r="K404" s="1109"/>
      <c r="L404" s="1110"/>
      <c r="M404" s="699"/>
      <c r="N404" s="699"/>
      <c r="O404" s="721"/>
      <c r="P404" s="699"/>
      <c r="Q404" s="699"/>
    </row>
    <row r="405" spans="1:17" x14ac:dyDescent="0.3">
      <c r="A405" s="720"/>
      <c r="B405" s="721"/>
      <c r="C405" s="722"/>
      <c r="D405" s="723"/>
      <c r="E405" s="723"/>
      <c r="F405" s="724"/>
      <c r="G405" s="725" t="b">
        <f t="shared" si="1"/>
        <v>0</v>
      </c>
      <c r="H405" s="725"/>
      <c r="I405" s="1108"/>
      <c r="J405" s="1109"/>
      <c r="K405" s="1109"/>
      <c r="L405" s="1110"/>
      <c r="M405" s="699"/>
      <c r="N405" s="699"/>
      <c r="O405" s="721"/>
      <c r="P405" s="699"/>
      <c r="Q405" s="699"/>
    </row>
    <row r="406" spans="1:17" x14ac:dyDescent="0.3">
      <c r="A406" s="720"/>
      <c r="B406" s="721"/>
      <c r="C406" s="722"/>
      <c r="D406" s="723"/>
      <c r="E406" s="723"/>
      <c r="F406" s="724"/>
      <c r="G406" s="725" t="b">
        <f t="shared" si="1"/>
        <v>0</v>
      </c>
      <c r="H406" s="725"/>
      <c r="I406" s="1108"/>
      <c r="J406" s="1109"/>
      <c r="K406" s="1109"/>
      <c r="L406" s="1110"/>
      <c r="M406" s="699"/>
      <c r="N406" s="699"/>
      <c r="O406" s="721"/>
      <c r="P406" s="699"/>
      <c r="Q406" s="699"/>
    </row>
    <row r="407" spans="1:17" x14ac:dyDescent="0.3">
      <c r="A407" s="720"/>
      <c r="B407" s="721"/>
      <c r="C407" s="722"/>
      <c r="D407" s="723"/>
      <c r="E407" s="723"/>
      <c r="F407" s="724"/>
      <c r="G407" s="725" t="b">
        <f t="shared" si="1"/>
        <v>0</v>
      </c>
      <c r="H407" s="725"/>
      <c r="I407" s="1108"/>
      <c r="J407" s="1109"/>
      <c r="K407" s="1109"/>
      <c r="L407" s="1110"/>
      <c r="M407" s="699"/>
      <c r="N407" s="699"/>
      <c r="O407" s="721"/>
      <c r="P407" s="699"/>
      <c r="Q407" s="699"/>
    </row>
    <row r="408" spans="1:17" x14ac:dyDescent="0.3">
      <c r="A408" s="720"/>
      <c r="B408" s="721"/>
      <c r="C408" s="722"/>
      <c r="D408" s="723"/>
      <c r="E408" s="723"/>
      <c r="F408" s="724"/>
      <c r="G408" s="725" t="b">
        <f t="shared" si="1"/>
        <v>0</v>
      </c>
      <c r="H408" s="725"/>
      <c r="I408" s="1108"/>
      <c r="J408" s="1109"/>
      <c r="K408" s="1109"/>
      <c r="L408" s="1110"/>
      <c r="M408" s="699"/>
      <c r="N408" s="699"/>
      <c r="O408" s="721"/>
      <c r="P408" s="699"/>
      <c r="Q408" s="699"/>
    </row>
    <row r="409" spans="1:17" x14ac:dyDescent="0.3">
      <c r="A409" s="720"/>
      <c r="B409" s="721"/>
      <c r="C409" s="722"/>
      <c r="D409" s="723"/>
      <c r="E409" s="723"/>
      <c r="F409" s="724"/>
      <c r="G409" s="725" t="b">
        <f t="shared" si="1"/>
        <v>0</v>
      </c>
      <c r="H409" s="725"/>
      <c r="I409" s="1108"/>
      <c r="J409" s="1109"/>
      <c r="K409" s="1109"/>
      <c r="L409" s="1110"/>
      <c r="M409" s="699"/>
      <c r="N409" s="699"/>
      <c r="O409" s="721"/>
      <c r="P409" s="699"/>
      <c r="Q409" s="699"/>
    </row>
    <row r="410" spans="1:17" x14ac:dyDescent="0.3">
      <c r="A410" s="720"/>
      <c r="B410" s="721"/>
      <c r="C410" s="722"/>
      <c r="D410" s="723"/>
      <c r="E410" s="723"/>
      <c r="F410" s="724"/>
      <c r="G410" s="725" t="b">
        <f t="shared" si="1"/>
        <v>0</v>
      </c>
      <c r="H410" s="725"/>
      <c r="I410" s="1108"/>
      <c r="J410" s="1109"/>
      <c r="K410" s="1109"/>
      <c r="L410" s="1110"/>
      <c r="M410" s="699"/>
      <c r="N410" s="699"/>
      <c r="O410" s="721"/>
      <c r="P410" s="699"/>
      <c r="Q410" s="699"/>
    </row>
    <row r="411" spans="1:17" x14ac:dyDescent="0.3">
      <c r="A411" s="720"/>
      <c r="B411" s="721"/>
      <c r="C411" s="722"/>
      <c r="D411" s="723"/>
      <c r="E411" s="723"/>
      <c r="F411" s="724"/>
      <c r="G411" s="725" t="b">
        <f t="shared" si="1"/>
        <v>0</v>
      </c>
      <c r="H411" s="725"/>
      <c r="I411" s="1108"/>
      <c r="J411" s="1109"/>
      <c r="K411" s="1109"/>
      <c r="L411" s="1110"/>
      <c r="M411" s="699"/>
      <c r="N411" s="699"/>
      <c r="O411" s="721"/>
      <c r="P411" s="699"/>
      <c r="Q411" s="699"/>
    </row>
    <row r="412" spans="1:17" x14ac:dyDescent="0.3">
      <c r="A412" s="720"/>
      <c r="B412" s="721"/>
      <c r="C412" s="722"/>
      <c r="D412" s="723"/>
      <c r="E412" s="723"/>
      <c r="F412" s="724"/>
      <c r="G412" s="725" t="b">
        <f t="shared" si="1"/>
        <v>0</v>
      </c>
      <c r="H412" s="725"/>
      <c r="I412" s="1108"/>
      <c r="J412" s="1109"/>
      <c r="K412" s="1109"/>
      <c r="L412" s="1110"/>
      <c r="M412" s="699"/>
      <c r="N412" s="699"/>
      <c r="O412" s="721"/>
      <c r="P412" s="699"/>
      <c r="Q412" s="699"/>
    </row>
    <row r="413" spans="1:17" x14ac:dyDescent="0.3">
      <c r="A413" s="720"/>
      <c r="B413" s="721"/>
      <c r="C413" s="722"/>
      <c r="D413" s="723"/>
      <c r="E413" s="723"/>
      <c r="F413" s="724"/>
      <c r="G413" s="725" t="b">
        <f t="shared" si="1"/>
        <v>0</v>
      </c>
      <c r="H413" s="725"/>
      <c r="I413" s="1108"/>
      <c r="J413" s="1109"/>
      <c r="K413" s="1109"/>
      <c r="L413" s="1110"/>
      <c r="M413" s="699"/>
      <c r="N413" s="699"/>
      <c r="O413" s="721"/>
      <c r="P413" s="699"/>
      <c r="Q413" s="699"/>
    </row>
    <row r="414" spans="1:17" x14ac:dyDescent="0.3">
      <c r="A414" s="720"/>
      <c r="B414" s="721"/>
      <c r="C414" s="722"/>
      <c r="D414" s="723"/>
      <c r="E414" s="723"/>
      <c r="F414" s="724"/>
      <c r="G414" s="725" t="b">
        <f t="shared" si="1"/>
        <v>0</v>
      </c>
      <c r="H414" s="725"/>
      <c r="I414" s="1108"/>
      <c r="J414" s="1109"/>
      <c r="K414" s="1109"/>
      <c r="L414" s="1110"/>
      <c r="M414" s="699"/>
      <c r="N414" s="699"/>
      <c r="O414" s="721"/>
      <c r="P414" s="699"/>
      <c r="Q414" s="699"/>
    </row>
    <row r="415" spans="1:17" x14ac:dyDescent="0.3">
      <c r="A415" s="720"/>
      <c r="B415" s="721"/>
      <c r="C415" s="722"/>
      <c r="D415" s="723"/>
      <c r="E415" s="723"/>
      <c r="F415" s="724"/>
      <c r="G415" s="725" t="b">
        <f t="shared" si="1"/>
        <v>0</v>
      </c>
      <c r="H415" s="725"/>
      <c r="I415" s="1108"/>
      <c r="J415" s="1109"/>
      <c r="K415" s="1109"/>
      <c r="L415" s="1110"/>
      <c r="M415" s="699"/>
      <c r="N415" s="699"/>
      <c r="O415" s="721"/>
      <c r="P415" s="699"/>
      <c r="Q415" s="699"/>
    </row>
    <row r="416" spans="1:17" x14ac:dyDescent="0.3">
      <c r="A416" s="720"/>
      <c r="B416" s="721"/>
      <c r="C416" s="722"/>
      <c r="D416" s="723"/>
      <c r="E416" s="723"/>
      <c r="F416" s="724"/>
      <c r="G416" s="725" t="b">
        <f t="shared" si="1"/>
        <v>0</v>
      </c>
      <c r="H416" s="725"/>
      <c r="I416" s="1108"/>
      <c r="J416" s="1109"/>
      <c r="K416" s="1109"/>
      <c r="L416" s="1110"/>
      <c r="M416" s="699"/>
      <c r="N416" s="699"/>
      <c r="O416" s="721"/>
      <c r="P416" s="699"/>
      <c r="Q416" s="699"/>
    </row>
    <row r="417" spans="1:17" x14ac:dyDescent="0.3">
      <c r="A417" s="720"/>
      <c r="B417" s="721"/>
      <c r="C417" s="722"/>
      <c r="D417" s="723"/>
      <c r="E417" s="723"/>
      <c r="F417" s="724"/>
      <c r="G417" s="725" t="b">
        <f t="shared" si="1"/>
        <v>0</v>
      </c>
      <c r="H417" s="725"/>
      <c r="I417" s="1108"/>
      <c r="J417" s="1109"/>
      <c r="K417" s="1109"/>
      <c r="L417" s="1110"/>
      <c r="M417" s="699"/>
      <c r="N417" s="699"/>
      <c r="O417" s="721"/>
      <c r="P417" s="699"/>
      <c r="Q417" s="699"/>
    </row>
    <row r="418" spans="1:17" x14ac:dyDescent="0.3">
      <c r="A418" s="720"/>
      <c r="B418" s="721"/>
      <c r="C418" s="722"/>
      <c r="D418" s="723"/>
      <c r="E418" s="723"/>
      <c r="F418" s="724"/>
      <c r="G418" s="725" t="b">
        <f t="shared" si="1"/>
        <v>0</v>
      </c>
      <c r="H418" s="725"/>
      <c r="I418" s="1108"/>
      <c r="J418" s="1109"/>
      <c r="K418" s="1109"/>
      <c r="L418" s="1110"/>
      <c r="M418" s="699"/>
      <c r="N418" s="699"/>
      <c r="O418" s="721"/>
      <c r="P418" s="699"/>
      <c r="Q418" s="699"/>
    </row>
    <row r="419" spans="1:17" x14ac:dyDescent="0.3">
      <c r="A419" s="720"/>
      <c r="B419" s="721"/>
      <c r="C419" s="722"/>
      <c r="D419" s="723"/>
      <c r="E419" s="723"/>
      <c r="F419" s="724"/>
      <c r="G419" s="725" t="b">
        <f t="shared" si="1"/>
        <v>0</v>
      </c>
      <c r="H419" s="725"/>
      <c r="I419" s="1108"/>
      <c r="J419" s="1109"/>
      <c r="K419" s="1109"/>
      <c r="L419" s="1110"/>
      <c r="M419" s="699"/>
      <c r="N419" s="699"/>
      <c r="O419" s="721"/>
      <c r="P419" s="699"/>
      <c r="Q419" s="699"/>
    </row>
    <row r="420" spans="1:17" x14ac:dyDescent="0.3">
      <c r="A420" s="720"/>
      <c r="B420" s="721"/>
      <c r="C420" s="722"/>
      <c r="D420" s="723"/>
      <c r="E420" s="723"/>
      <c r="F420" s="724"/>
      <c r="G420" s="725" t="b">
        <f t="shared" si="1"/>
        <v>0</v>
      </c>
      <c r="H420" s="725"/>
      <c r="I420" s="1108"/>
      <c r="J420" s="1109"/>
      <c r="K420" s="1109"/>
      <c r="L420" s="1110"/>
      <c r="M420" s="699"/>
      <c r="N420" s="699"/>
      <c r="O420" s="721"/>
      <c r="P420" s="699"/>
      <c r="Q420" s="699"/>
    </row>
    <row r="421" spans="1:17" x14ac:dyDescent="0.3">
      <c r="A421" s="720"/>
      <c r="B421" s="721"/>
      <c r="C421" s="722"/>
      <c r="D421" s="723"/>
      <c r="E421" s="723"/>
      <c r="F421" s="724"/>
      <c r="G421" s="725" t="b">
        <f t="shared" si="1"/>
        <v>0</v>
      </c>
      <c r="H421" s="725"/>
      <c r="I421" s="1108"/>
      <c r="J421" s="1109"/>
      <c r="K421" s="1109"/>
      <c r="L421" s="1110"/>
      <c r="M421" s="699"/>
      <c r="N421" s="699"/>
      <c r="O421" s="721"/>
      <c r="P421" s="699"/>
      <c r="Q421" s="699"/>
    </row>
    <row r="422" spans="1:17" x14ac:dyDescent="0.3">
      <c r="A422" s="720"/>
      <c r="B422" s="721"/>
      <c r="C422" s="722"/>
      <c r="D422" s="723"/>
      <c r="E422" s="723"/>
      <c r="F422" s="724"/>
      <c r="G422" s="725" t="b">
        <f t="shared" si="1"/>
        <v>0</v>
      </c>
      <c r="H422" s="725"/>
      <c r="I422" s="1108"/>
      <c r="J422" s="1109"/>
      <c r="K422" s="1109"/>
      <c r="L422" s="1110"/>
      <c r="M422" s="699"/>
      <c r="N422" s="699"/>
      <c r="O422" s="721"/>
      <c r="P422" s="699"/>
      <c r="Q422" s="699"/>
    </row>
    <row r="423" spans="1:17" x14ac:dyDescent="0.3">
      <c r="A423" s="720"/>
      <c r="B423" s="721"/>
      <c r="C423" s="722"/>
      <c r="D423" s="723"/>
      <c r="E423" s="723"/>
      <c r="F423" s="724"/>
      <c r="G423" s="725" t="b">
        <f t="shared" si="1"/>
        <v>0</v>
      </c>
      <c r="H423" s="725"/>
      <c r="I423" s="1108"/>
      <c r="J423" s="1109"/>
      <c r="K423" s="1109"/>
      <c r="L423" s="1110"/>
      <c r="M423" s="699"/>
      <c r="N423" s="699"/>
      <c r="O423" s="721"/>
      <c r="P423" s="699"/>
      <c r="Q423" s="699"/>
    </row>
    <row r="424" spans="1:17" x14ac:dyDescent="0.3">
      <c r="A424" s="720"/>
      <c r="B424" s="721"/>
      <c r="C424" s="722"/>
      <c r="D424" s="723"/>
      <c r="E424" s="723"/>
      <c r="F424" s="724"/>
      <c r="G424" s="725" t="b">
        <f t="shared" si="1"/>
        <v>0</v>
      </c>
      <c r="H424" s="725"/>
      <c r="I424" s="1108"/>
      <c r="J424" s="1109"/>
      <c r="K424" s="1109"/>
      <c r="L424" s="1110"/>
      <c r="M424" s="699"/>
      <c r="N424" s="699"/>
      <c r="O424" s="721"/>
      <c r="P424" s="699"/>
      <c r="Q424" s="699"/>
    </row>
    <row r="425" spans="1:17" x14ac:dyDescent="0.3">
      <c r="A425" s="720"/>
      <c r="B425" s="721"/>
      <c r="C425" s="722"/>
      <c r="D425" s="723"/>
      <c r="E425" s="723"/>
      <c r="F425" s="724"/>
      <c r="G425" s="725" t="b">
        <f t="shared" si="1"/>
        <v>0</v>
      </c>
      <c r="H425" s="725"/>
      <c r="I425" s="1108"/>
      <c r="J425" s="1109"/>
      <c r="K425" s="1109"/>
      <c r="L425" s="1110"/>
      <c r="M425" s="699"/>
      <c r="N425" s="699"/>
      <c r="O425" s="721"/>
      <c r="P425" s="699"/>
      <c r="Q425" s="699"/>
    </row>
    <row r="426" spans="1:17" x14ac:dyDescent="0.3">
      <c r="A426" s="720"/>
      <c r="B426" s="721"/>
      <c r="C426" s="722"/>
      <c r="D426" s="723"/>
      <c r="E426" s="723"/>
      <c r="F426" s="724"/>
      <c r="G426" s="725" t="b">
        <f t="shared" si="1"/>
        <v>0</v>
      </c>
      <c r="H426" s="725"/>
      <c r="I426" s="1108"/>
      <c r="J426" s="1109"/>
      <c r="K426" s="1109"/>
      <c r="L426" s="1110"/>
      <c r="M426" s="699"/>
      <c r="N426" s="699"/>
      <c r="O426" s="721"/>
      <c r="P426" s="699"/>
      <c r="Q426" s="699"/>
    </row>
    <row r="427" spans="1:17" x14ac:dyDescent="0.3">
      <c r="A427" s="720"/>
      <c r="B427" s="721"/>
      <c r="C427" s="722"/>
      <c r="D427" s="723"/>
      <c r="E427" s="723"/>
      <c r="F427" s="724"/>
      <c r="G427" s="725" t="b">
        <f t="shared" si="1"/>
        <v>0</v>
      </c>
      <c r="H427" s="725"/>
      <c r="I427" s="1108"/>
      <c r="J427" s="1109"/>
      <c r="K427" s="1109"/>
      <c r="L427" s="1110"/>
      <c r="M427" s="699"/>
      <c r="N427" s="699"/>
      <c r="O427" s="721"/>
      <c r="P427" s="699"/>
      <c r="Q427" s="699"/>
    </row>
    <row r="428" spans="1:17" x14ac:dyDescent="0.3">
      <c r="A428" s="720"/>
      <c r="B428" s="721"/>
      <c r="C428" s="722"/>
      <c r="D428" s="723"/>
      <c r="E428" s="723"/>
      <c r="F428" s="724"/>
      <c r="G428" s="725" t="b">
        <f t="shared" si="1"/>
        <v>0</v>
      </c>
      <c r="H428" s="725"/>
      <c r="I428" s="1108"/>
      <c r="J428" s="1109"/>
      <c r="K428" s="1109"/>
      <c r="L428" s="1110"/>
      <c r="M428" s="699"/>
      <c r="N428" s="699"/>
      <c r="O428" s="721"/>
      <c r="P428" s="699"/>
      <c r="Q428" s="699"/>
    </row>
    <row r="429" spans="1:17" x14ac:dyDescent="0.3">
      <c r="A429" s="720"/>
      <c r="B429" s="721"/>
      <c r="C429" s="722"/>
      <c r="D429" s="723"/>
      <c r="E429" s="723"/>
      <c r="F429" s="724"/>
      <c r="G429" s="725" t="b">
        <f t="shared" si="1"/>
        <v>0</v>
      </c>
      <c r="H429" s="725"/>
      <c r="I429" s="1108"/>
      <c r="J429" s="1109"/>
      <c r="K429" s="1109"/>
      <c r="L429" s="1110"/>
      <c r="M429" s="699"/>
      <c r="N429" s="699"/>
      <c r="O429" s="721"/>
      <c r="P429" s="699"/>
      <c r="Q429" s="699"/>
    </row>
    <row r="430" spans="1:17" x14ac:dyDescent="0.3">
      <c r="A430" s="720"/>
      <c r="B430" s="721"/>
      <c r="C430" s="722"/>
      <c r="D430" s="723"/>
      <c r="E430" s="723"/>
      <c r="F430" s="724"/>
      <c r="G430" s="725" t="b">
        <f t="shared" si="1"/>
        <v>0</v>
      </c>
      <c r="H430" s="725"/>
      <c r="I430" s="1108"/>
      <c r="J430" s="1109"/>
      <c r="K430" s="1109"/>
      <c r="L430" s="1110"/>
      <c r="M430" s="699"/>
      <c r="N430" s="699"/>
      <c r="O430" s="721"/>
      <c r="P430" s="699"/>
      <c r="Q430" s="699"/>
    </row>
    <row r="431" spans="1:17" x14ac:dyDescent="0.3">
      <c r="A431" s="720"/>
      <c r="B431" s="721"/>
      <c r="C431" s="722"/>
      <c r="D431" s="723"/>
      <c r="E431" s="723"/>
      <c r="F431" s="724"/>
      <c r="G431" s="725" t="b">
        <f t="shared" si="1"/>
        <v>0</v>
      </c>
      <c r="H431" s="725"/>
      <c r="I431" s="1108"/>
      <c r="J431" s="1109"/>
      <c r="K431" s="1109"/>
      <c r="L431" s="1110"/>
      <c r="M431" s="699"/>
      <c r="N431" s="699"/>
      <c r="O431" s="721"/>
      <c r="P431" s="699"/>
      <c r="Q431" s="699"/>
    </row>
    <row r="432" spans="1:17" x14ac:dyDescent="0.3">
      <c r="A432" s="720"/>
      <c r="B432" s="721"/>
      <c r="C432" s="722"/>
      <c r="D432" s="723"/>
      <c r="E432" s="723"/>
      <c r="F432" s="724"/>
      <c r="G432" s="725" t="b">
        <f t="shared" si="1"/>
        <v>0</v>
      </c>
      <c r="H432" s="725"/>
      <c r="I432" s="1108"/>
      <c r="J432" s="1109"/>
      <c r="K432" s="1109"/>
      <c r="L432" s="1110"/>
      <c r="M432" s="699"/>
      <c r="N432" s="699"/>
      <c r="O432" s="721"/>
      <c r="P432" s="699"/>
      <c r="Q432" s="699"/>
    </row>
    <row r="433" spans="1:17" x14ac:dyDescent="0.3">
      <c r="A433" s="720"/>
      <c r="B433" s="721"/>
      <c r="C433" s="722"/>
      <c r="D433" s="723"/>
      <c r="E433" s="723"/>
      <c r="F433" s="724"/>
      <c r="G433" s="725" t="b">
        <f t="shared" si="1"/>
        <v>0</v>
      </c>
      <c r="H433" s="725"/>
      <c r="I433" s="1108"/>
      <c r="J433" s="1109"/>
      <c r="K433" s="1109"/>
      <c r="L433" s="1110"/>
      <c r="M433" s="699"/>
      <c r="N433" s="699"/>
      <c r="O433" s="721"/>
      <c r="P433" s="699"/>
      <c r="Q433" s="699"/>
    </row>
    <row r="434" spans="1:17" x14ac:dyDescent="0.3">
      <c r="A434" s="720"/>
      <c r="B434" s="721"/>
      <c r="C434" s="722"/>
      <c r="D434" s="723"/>
      <c r="E434" s="723"/>
      <c r="F434" s="724"/>
      <c r="G434" s="725" t="b">
        <f t="shared" si="1"/>
        <v>0</v>
      </c>
      <c r="H434" s="725"/>
      <c r="I434" s="1108"/>
      <c r="J434" s="1109"/>
      <c r="K434" s="1109"/>
      <c r="L434" s="1110"/>
      <c r="M434" s="699"/>
      <c r="N434" s="699"/>
      <c r="O434" s="721"/>
      <c r="P434" s="699"/>
      <c r="Q434" s="699"/>
    </row>
    <row r="435" spans="1:17" x14ac:dyDescent="0.3">
      <c r="A435" s="720"/>
      <c r="B435" s="721"/>
      <c r="C435" s="722"/>
      <c r="D435" s="723"/>
      <c r="E435" s="723"/>
      <c r="F435" s="724"/>
      <c r="G435" s="725" t="b">
        <f t="shared" si="1"/>
        <v>0</v>
      </c>
      <c r="H435" s="725"/>
      <c r="I435" s="1108"/>
      <c r="J435" s="1109"/>
      <c r="K435" s="1109"/>
      <c r="L435" s="1110"/>
      <c r="M435" s="699"/>
      <c r="N435" s="699"/>
      <c r="O435" s="721"/>
      <c r="P435" s="699"/>
      <c r="Q435" s="699"/>
    </row>
    <row r="436" spans="1:17" x14ac:dyDescent="0.3">
      <c r="A436" s="720"/>
      <c r="B436" s="721"/>
      <c r="C436" s="722"/>
      <c r="D436" s="723"/>
      <c r="E436" s="723"/>
      <c r="F436" s="724"/>
      <c r="G436" s="725" t="b">
        <f t="shared" si="1"/>
        <v>0</v>
      </c>
      <c r="H436" s="725"/>
      <c r="I436" s="1108"/>
      <c r="J436" s="1109"/>
      <c r="K436" s="1109"/>
      <c r="L436" s="1110"/>
      <c r="M436" s="699"/>
      <c r="N436" s="699"/>
      <c r="O436" s="721"/>
      <c r="P436" s="699"/>
      <c r="Q436" s="699"/>
    </row>
    <row r="437" spans="1:17" x14ac:dyDescent="0.3">
      <c r="A437" s="720"/>
      <c r="B437" s="721"/>
      <c r="C437" s="722"/>
      <c r="D437" s="723"/>
      <c r="E437" s="723"/>
      <c r="F437" s="724"/>
      <c r="G437" s="725" t="b">
        <f t="shared" si="1"/>
        <v>0</v>
      </c>
      <c r="H437" s="725"/>
      <c r="I437" s="1108"/>
      <c r="J437" s="1109"/>
      <c r="K437" s="1109"/>
      <c r="L437" s="1110"/>
      <c r="M437" s="699"/>
      <c r="N437" s="699"/>
      <c r="O437" s="721"/>
      <c r="P437" s="699"/>
      <c r="Q437" s="699"/>
    </row>
    <row r="438" spans="1:17" x14ac:dyDescent="0.3">
      <c r="A438" s="720"/>
      <c r="B438" s="721"/>
      <c r="C438" s="722"/>
      <c r="D438" s="723"/>
      <c r="E438" s="723"/>
      <c r="F438" s="724"/>
      <c r="G438" s="725" t="b">
        <f t="shared" si="1"/>
        <v>0</v>
      </c>
      <c r="H438" s="725"/>
      <c r="I438" s="1108"/>
      <c r="J438" s="1109"/>
      <c r="K438" s="1109"/>
      <c r="L438" s="1110"/>
      <c r="M438" s="699"/>
      <c r="N438" s="699"/>
      <c r="O438" s="721"/>
      <c r="P438" s="699"/>
      <c r="Q438" s="699"/>
    </row>
    <row r="439" spans="1:17" x14ac:dyDescent="0.3">
      <c r="A439" s="720"/>
      <c r="B439" s="721"/>
      <c r="C439" s="722"/>
      <c r="D439" s="723"/>
      <c r="E439" s="723"/>
      <c r="F439" s="724"/>
      <c r="G439" s="725" t="b">
        <f t="shared" ref="G439:G450" si="2">IF(C439="060102","VERIFICARE AVVENUTO SMALTIMENTO",IF(C439="070101","VERIFICARE AVVENUTO SMALTIMENTO",IF(C439="160303","VERIFICARE AVVENUTO SMALTIMENTO",IF(C439="161001","VERIFICARE AVVENUTO SMALTIMENTO",IF(C439="170603","VERIFICARE AVVENUTO SMALTIMENTO",IF(C439="170904","VERIFICARE AVVENUTO SMALTIMENTO"))))))</f>
        <v>0</v>
      </c>
      <c r="H439" s="725"/>
      <c r="I439" s="1108"/>
      <c r="J439" s="1109"/>
      <c r="K439" s="1109"/>
      <c r="L439" s="1110"/>
      <c r="M439" s="699"/>
      <c r="N439" s="699"/>
      <c r="O439" s="721"/>
      <c r="P439" s="699"/>
      <c r="Q439" s="699"/>
    </row>
    <row r="440" spans="1:17" x14ac:dyDescent="0.3">
      <c r="A440" s="720"/>
      <c r="B440" s="721"/>
      <c r="C440" s="722"/>
      <c r="D440" s="723"/>
      <c r="E440" s="723"/>
      <c r="F440" s="724"/>
      <c r="G440" s="725" t="b">
        <f t="shared" si="2"/>
        <v>0</v>
      </c>
      <c r="H440" s="725"/>
      <c r="I440" s="1108"/>
      <c r="J440" s="1109"/>
      <c r="K440" s="1109"/>
      <c r="L440" s="1110"/>
      <c r="M440" s="699"/>
      <c r="N440" s="699"/>
      <c r="O440" s="721"/>
      <c r="P440" s="699"/>
      <c r="Q440" s="699"/>
    </row>
    <row r="441" spans="1:17" x14ac:dyDescent="0.3">
      <c r="A441" s="720"/>
      <c r="B441" s="721"/>
      <c r="C441" s="722"/>
      <c r="D441" s="723"/>
      <c r="E441" s="723"/>
      <c r="F441" s="724"/>
      <c r="G441" s="725" t="b">
        <f t="shared" si="2"/>
        <v>0</v>
      </c>
      <c r="H441" s="725"/>
      <c r="I441" s="1108"/>
      <c r="J441" s="1109"/>
      <c r="K441" s="1109"/>
      <c r="L441" s="1110"/>
      <c r="M441" s="699"/>
      <c r="N441" s="699"/>
      <c r="O441" s="721"/>
      <c r="P441" s="699"/>
      <c r="Q441" s="699"/>
    </row>
    <row r="442" spans="1:17" x14ac:dyDescent="0.3">
      <c r="A442" s="720"/>
      <c r="B442" s="721"/>
      <c r="C442" s="722"/>
      <c r="D442" s="723"/>
      <c r="E442" s="723"/>
      <c r="F442" s="724"/>
      <c r="G442" s="725" t="b">
        <f t="shared" si="2"/>
        <v>0</v>
      </c>
      <c r="H442" s="725"/>
      <c r="I442" s="1108"/>
      <c r="J442" s="1109"/>
      <c r="K442" s="1109"/>
      <c r="L442" s="1110"/>
      <c r="M442" s="699"/>
      <c r="N442" s="699"/>
      <c r="O442" s="721"/>
      <c r="P442" s="699"/>
      <c r="Q442" s="699"/>
    </row>
    <row r="443" spans="1:17" x14ac:dyDescent="0.3">
      <c r="A443" s="720"/>
      <c r="B443" s="721"/>
      <c r="C443" s="722"/>
      <c r="D443" s="723"/>
      <c r="E443" s="723"/>
      <c r="F443" s="724"/>
      <c r="G443" s="725" t="b">
        <f t="shared" si="2"/>
        <v>0</v>
      </c>
      <c r="H443" s="725"/>
      <c r="I443" s="1108"/>
      <c r="J443" s="1109"/>
      <c r="K443" s="1109"/>
      <c r="L443" s="1110"/>
      <c r="M443" s="699"/>
      <c r="N443" s="699"/>
      <c r="O443" s="721"/>
      <c r="P443" s="699"/>
      <c r="Q443" s="699"/>
    </row>
    <row r="444" spans="1:17" x14ac:dyDescent="0.3">
      <c r="A444" s="720"/>
      <c r="B444" s="721"/>
      <c r="C444" s="722"/>
      <c r="D444" s="723"/>
      <c r="E444" s="723"/>
      <c r="F444" s="724"/>
      <c r="G444" s="725" t="b">
        <f t="shared" si="2"/>
        <v>0</v>
      </c>
      <c r="H444" s="725"/>
      <c r="I444" s="1108"/>
      <c r="J444" s="1109"/>
      <c r="K444" s="1109"/>
      <c r="L444" s="1110"/>
      <c r="M444" s="699"/>
      <c r="N444" s="699"/>
      <c r="O444" s="721"/>
      <c r="P444" s="699"/>
      <c r="Q444" s="699"/>
    </row>
    <row r="445" spans="1:17" x14ac:dyDescent="0.3">
      <c r="A445" s="720"/>
      <c r="B445" s="721"/>
      <c r="C445" s="722"/>
      <c r="D445" s="723"/>
      <c r="E445" s="723"/>
      <c r="F445" s="724"/>
      <c r="G445" s="725" t="b">
        <f t="shared" si="2"/>
        <v>0</v>
      </c>
      <c r="H445" s="725"/>
      <c r="I445" s="1108"/>
      <c r="J445" s="1109"/>
      <c r="K445" s="1109"/>
      <c r="L445" s="1110"/>
      <c r="M445" s="699"/>
      <c r="N445" s="699"/>
      <c r="O445" s="721"/>
      <c r="P445" s="699"/>
      <c r="Q445" s="699"/>
    </row>
    <row r="446" spans="1:17" x14ac:dyDescent="0.3">
      <c r="A446" s="720"/>
      <c r="B446" s="721"/>
      <c r="C446" s="722"/>
      <c r="D446" s="723"/>
      <c r="E446" s="723"/>
      <c r="F446" s="724"/>
      <c r="G446" s="725" t="b">
        <f t="shared" si="2"/>
        <v>0</v>
      </c>
      <c r="H446" s="725"/>
      <c r="I446" s="1108"/>
      <c r="J446" s="1109"/>
      <c r="K446" s="1109"/>
      <c r="L446" s="1110"/>
      <c r="M446" s="699"/>
      <c r="N446" s="699"/>
      <c r="O446" s="721"/>
      <c r="P446" s="699"/>
      <c r="Q446" s="699"/>
    </row>
    <row r="447" spans="1:17" x14ac:dyDescent="0.3">
      <c r="A447" s="720"/>
      <c r="B447" s="721"/>
      <c r="C447" s="722"/>
      <c r="D447" s="723"/>
      <c r="E447" s="723"/>
      <c r="F447" s="724"/>
      <c r="G447" s="725" t="b">
        <f t="shared" si="2"/>
        <v>0</v>
      </c>
      <c r="H447" s="725"/>
      <c r="I447" s="1108"/>
      <c r="J447" s="1109"/>
      <c r="K447" s="1109"/>
      <c r="L447" s="1110"/>
      <c r="M447" s="699"/>
      <c r="N447" s="699"/>
      <c r="O447" s="721"/>
      <c r="P447" s="699"/>
      <c r="Q447" s="699"/>
    </row>
    <row r="448" spans="1:17" x14ac:dyDescent="0.3">
      <c r="A448" s="720"/>
      <c r="B448" s="721"/>
      <c r="C448" s="722"/>
      <c r="D448" s="723"/>
      <c r="E448" s="723"/>
      <c r="F448" s="724"/>
      <c r="G448" s="725" t="b">
        <f t="shared" si="2"/>
        <v>0</v>
      </c>
      <c r="H448" s="725"/>
      <c r="I448" s="1108"/>
      <c r="J448" s="1109"/>
      <c r="K448" s="1109"/>
      <c r="L448" s="1110"/>
      <c r="M448" s="699"/>
      <c r="N448" s="699"/>
      <c r="O448" s="721"/>
      <c r="P448" s="699"/>
      <c r="Q448" s="699"/>
    </row>
    <row r="449" spans="1:17" x14ac:dyDescent="0.3">
      <c r="A449" s="720"/>
      <c r="B449" s="721"/>
      <c r="C449" s="722"/>
      <c r="D449" s="723"/>
      <c r="E449" s="723"/>
      <c r="F449" s="724"/>
      <c r="G449" s="725" t="b">
        <f t="shared" si="2"/>
        <v>0</v>
      </c>
      <c r="H449" s="725"/>
      <c r="I449" s="1108"/>
      <c r="J449" s="1109"/>
      <c r="K449" s="1109"/>
      <c r="L449" s="1110"/>
      <c r="M449" s="699"/>
      <c r="N449" s="699"/>
      <c r="O449" s="721"/>
      <c r="P449" s="699"/>
      <c r="Q449" s="699"/>
    </row>
    <row r="450" spans="1:17" x14ac:dyDescent="0.3">
      <c r="A450" s="720"/>
      <c r="B450" s="721"/>
      <c r="C450" s="722"/>
      <c r="D450" s="723"/>
      <c r="E450" s="723"/>
      <c r="F450" s="724"/>
      <c r="G450" s="725" t="b">
        <f t="shared" si="2"/>
        <v>0</v>
      </c>
      <c r="H450" s="725"/>
      <c r="I450" s="1108"/>
      <c r="J450" s="1109"/>
      <c r="K450" s="1109"/>
      <c r="L450" s="1110"/>
      <c r="M450" s="699"/>
      <c r="N450" s="699"/>
      <c r="O450" s="721"/>
      <c r="P450" s="699"/>
      <c r="Q450" s="699"/>
    </row>
  </sheetData>
  <autoFilter ref="A5:AE450" xr:uid="{00000000-0009-0000-0000-000012000000}">
    <filterColumn colId="8" showButton="0"/>
    <filterColumn colId="9" showButton="0"/>
    <filterColumn colId="10" showButton="0"/>
  </autoFilter>
  <mergeCells count="446">
    <mergeCell ref="I11:L11"/>
    <mergeCell ref="I12:L12"/>
    <mergeCell ref="I13:L13"/>
    <mergeCell ref="I14:L14"/>
    <mergeCell ref="I15:L15"/>
    <mergeCell ref="I16:L16"/>
    <mergeCell ref="I5:L5"/>
    <mergeCell ref="I6:L6"/>
    <mergeCell ref="I7:L7"/>
    <mergeCell ref="I8:L8"/>
    <mergeCell ref="I9:L9"/>
    <mergeCell ref="I10:L10"/>
    <mergeCell ref="I23:L23"/>
    <mergeCell ref="I24:L24"/>
    <mergeCell ref="I25:L25"/>
    <mergeCell ref="I26:L26"/>
    <mergeCell ref="I27:L27"/>
    <mergeCell ref="I28:L28"/>
    <mergeCell ref="I17:L17"/>
    <mergeCell ref="I18:L18"/>
    <mergeCell ref="I19:L19"/>
    <mergeCell ref="I20:L20"/>
    <mergeCell ref="I21:L21"/>
    <mergeCell ref="I22:L22"/>
    <mergeCell ref="I35:L35"/>
    <mergeCell ref="I36:L36"/>
    <mergeCell ref="I37:L37"/>
    <mergeCell ref="I38:L38"/>
    <mergeCell ref="I39:L39"/>
    <mergeCell ref="I40:L40"/>
    <mergeCell ref="I29:L29"/>
    <mergeCell ref="I30:L30"/>
    <mergeCell ref="I31:L31"/>
    <mergeCell ref="I32:L32"/>
    <mergeCell ref="I33:L33"/>
    <mergeCell ref="I34:L34"/>
    <mergeCell ref="I47:L47"/>
    <mergeCell ref="I48:L48"/>
    <mergeCell ref="I49:L49"/>
    <mergeCell ref="I50:L50"/>
    <mergeCell ref="I51:L51"/>
    <mergeCell ref="I52:L52"/>
    <mergeCell ref="I41:L41"/>
    <mergeCell ref="I42:L42"/>
    <mergeCell ref="I43:L43"/>
    <mergeCell ref="I44:L44"/>
    <mergeCell ref="I45:L45"/>
    <mergeCell ref="I46:L46"/>
    <mergeCell ref="I59:L59"/>
    <mergeCell ref="I60:L60"/>
    <mergeCell ref="I61:L61"/>
    <mergeCell ref="I62:L62"/>
    <mergeCell ref="I63:L63"/>
    <mergeCell ref="I64:L64"/>
    <mergeCell ref="I53:L53"/>
    <mergeCell ref="I54:L54"/>
    <mergeCell ref="I55:L55"/>
    <mergeCell ref="I56:L56"/>
    <mergeCell ref="I57:L57"/>
    <mergeCell ref="I58:L58"/>
    <mergeCell ref="I71:L71"/>
    <mergeCell ref="I72:L72"/>
    <mergeCell ref="I73:L73"/>
    <mergeCell ref="I74:L74"/>
    <mergeCell ref="I75:L75"/>
    <mergeCell ref="I76:L76"/>
    <mergeCell ref="I65:L65"/>
    <mergeCell ref="I66:L66"/>
    <mergeCell ref="I67:L67"/>
    <mergeCell ref="I68:L68"/>
    <mergeCell ref="I69:L69"/>
    <mergeCell ref="I70:L70"/>
    <mergeCell ref="I83:L83"/>
    <mergeCell ref="I84:L84"/>
    <mergeCell ref="I85:L85"/>
    <mergeCell ref="I86:L86"/>
    <mergeCell ref="I87:L87"/>
    <mergeCell ref="I88:L88"/>
    <mergeCell ref="I77:L77"/>
    <mergeCell ref="I78:L78"/>
    <mergeCell ref="I79:L79"/>
    <mergeCell ref="I80:L80"/>
    <mergeCell ref="I81:L81"/>
    <mergeCell ref="I82:L82"/>
    <mergeCell ref="I95:L95"/>
    <mergeCell ref="I96:L96"/>
    <mergeCell ref="I97:L97"/>
    <mergeCell ref="I98:L98"/>
    <mergeCell ref="I99:L99"/>
    <mergeCell ref="I100:L100"/>
    <mergeCell ref="I89:L89"/>
    <mergeCell ref="I90:L90"/>
    <mergeCell ref="I91:L91"/>
    <mergeCell ref="I92:L92"/>
    <mergeCell ref="I93:L93"/>
    <mergeCell ref="I94:L94"/>
    <mergeCell ref="I107:L107"/>
    <mergeCell ref="I108:L108"/>
    <mergeCell ref="I109:L109"/>
    <mergeCell ref="I110:L110"/>
    <mergeCell ref="I111:L111"/>
    <mergeCell ref="I112:L112"/>
    <mergeCell ref="I101:L101"/>
    <mergeCell ref="I102:L102"/>
    <mergeCell ref="I103:L103"/>
    <mergeCell ref="I104:L104"/>
    <mergeCell ref="I105:L105"/>
    <mergeCell ref="I106:L106"/>
    <mergeCell ref="I119:L119"/>
    <mergeCell ref="I120:L120"/>
    <mergeCell ref="I121:L121"/>
    <mergeCell ref="I122:L122"/>
    <mergeCell ref="I123:L123"/>
    <mergeCell ref="I124:L124"/>
    <mergeCell ref="I113:L113"/>
    <mergeCell ref="I114:L114"/>
    <mergeCell ref="I115:L115"/>
    <mergeCell ref="I116:L116"/>
    <mergeCell ref="I117:L117"/>
    <mergeCell ref="I118:L118"/>
    <mergeCell ref="I131:L131"/>
    <mergeCell ref="I132:L132"/>
    <mergeCell ref="I133:L133"/>
    <mergeCell ref="I134:L134"/>
    <mergeCell ref="I135:L135"/>
    <mergeCell ref="I136:L136"/>
    <mergeCell ref="I125:L125"/>
    <mergeCell ref="I126:L126"/>
    <mergeCell ref="I127:L127"/>
    <mergeCell ref="I128:L128"/>
    <mergeCell ref="I129:L129"/>
    <mergeCell ref="I130:L130"/>
    <mergeCell ref="I143:L143"/>
    <mergeCell ref="I144:L144"/>
    <mergeCell ref="I145:L145"/>
    <mergeCell ref="I146:L146"/>
    <mergeCell ref="I147:L147"/>
    <mergeCell ref="I148:L148"/>
    <mergeCell ref="I137:L137"/>
    <mergeCell ref="I138:L138"/>
    <mergeCell ref="I139:L139"/>
    <mergeCell ref="I140:L140"/>
    <mergeCell ref="I141:L141"/>
    <mergeCell ref="I142:L142"/>
    <mergeCell ref="I155:L155"/>
    <mergeCell ref="I156:L156"/>
    <mergeCell ref="I157:L157"/>
    <mergeCell ref="I158:L158"/>
    <mergeCell ref="I159:L159"/>
    <mergeCell ref="I160:L160"/>
    <mergeCell ref="I149:L149"/>
    <mergeCell ref="I150:L150"/>
    <mergeCell ref="I151:L151"/>
    <mergeCell ref="I152:L152"/>
    <mergeCell ref="I153:L153"/>
    <mergeCell ref="I154:L154"/>
    <mergeCell ref="I167:L167"/>
    <mergeCell ref="I168:L168"/>
    <mergeCell ref="I169:L169"/>
    <mergeCell ref="I170:L170"/>
    <mergeCell ref="I171:L171"/>
    <mergeCell ref="I172:L172"/>
    <mergeCell ref="I161:L161"/>
    <mergeCell ref="I162:L162"/>
    <mergeCell ref="I163:L163"/>
    <mergeCell ref="I164:L164"/>
    <mergeCell ref="I165:L165"/>
    <mergeCell ref="I166:L166"/>
    <mergeCell ref="I179:L179"/>
    <mergeCell ref="I180:L180"/>
    <mergeCell ref="I181:L181"/>
    <mergeCell ref="I182:L182"/>
    <mergeCell ref="I183:L183"/>
    <mergeCell ref="I184:L184"/>
    <mergeCell ref="I173:L173"/>
    <mergeCell ref="I174:L174"/>
    <mergeCell ref="I175:L175"/>
    <mergeCell ref="I176:L176"/>
    <mergeCell ref="I177:L177"/>
    <mergeCell ref="I178:L178"/>
    <mergeCell ref="I191:L191"/>
    <mergeCell ref="I192:L192"/>
    <mergeCell ref="I193:L193"/>
    <mergeCell ref="I194:L194"/>
    <mergeCell ref="I195:L195"/>
    <mergeCell ref="I196:L196"/>
    <mergeCell ref="I185:L185"/>
    <mergeCell ref="I186:L186"/>
    <mergeCell ref="I187:L187"/>
    <mergeCell ref="I188:L188"/>
    <mergeCell ref="I189:L189"/>
    <mergeCell ref="I190:L190"/>
    <mergeCell ref="I203:L203"/>
    <mergeCell ref="I204:L204"/>
    <mergeCell ref="I205:L205"/>
    <mergeCell ref="I206:L206"/>
    <mergeCell ref="I207:L207"/>
    <mergeCell ref="I208:L208"/>
    <mergeCell ref="I197:L197"/>
    <mergeCell ref="I198:L198"/>
    <mergeCell ref="I199:L199"/>
    <mergeCell ref="I200:L200"/>
    <mergeCell ref="I201:L201"/>
    <mergeCell ref="I202:L202"/>
    <mergeCell ref="I215:L215"/>
    <mergeCell ref="I216:L216"/>
    <mergeCell ref="I217:L217"/>
    <mergeCell ref="I218:L218"/>
    <mergeCell ref="I219:L219"/>
    <mergeCell ref="I220:L220"/>
    <mergeCell ref="I209:L209"/>
    <mergeCell ref="I210:L210"/>
    <mergeCell ref="I211:L211"/>
    <mergeCell ref="I212:L212"/>
    <mergeCell ref="I213:L213"/>
    <mergeCell ref="I214:L214"/>
    <mergeCell ref="I227:L227"/>
    <mergeCell ref="I228:L228"/>
    <mergeCell ref="I229:L229"/>
    <mergeCell ref="I230:L230"/>
    <mergeCell ref="I231:L231"/>
    <mergeCell ref="I232:L232"/>
    <mergeCell ref="I221:L221"/>
    <mergeCell ref="I222:L222"/>
    <mergeCell ref="I223:L223"/>
    <mergeCell ref="I224:L224"/>
    <mergeCell ref="I225:L225"/>
    <mergeCell ref="I226:L226"/>
    <mergeCell ref="I239:L239"/>
    <mergeCell ref="I240:L240"/>
    <mergeCell ref="I241:L241"/>
    <mergeCell ref="I242:L242"/>
    <mergeCell ref="I243:L243"/>
    <mergeCell ref="I244:L244"/>
    <mergeCell ref="I233:L233"/>
    <mergeCell ref="I234:L234"/>
    <mergeCell ref="I235:L235"/>
    <mergeCell ref="I236:L236"/>
    <mergeCell ref="I237:L237"/>
    <mergeCell ref="I238:L238"/>
    <mergeCell ref="I251:L251"/>
    <mergeCell ref="I252:L252"/>
    <mergeCell ref="I253:L253"/>
    <mergeCell ref="I254:L254"/>
    <mergeCell ref="I255:L255"/>
    <mergeCell ref="I256:L256"/>
    <mergeCell ref="I245:L245"/>
    <mergeCell ref="I246:L246"/>
    <mergeCell ref="I247:L247"/>
    <mergeCell ref="I248:L248"/>
    <mergeCell ref="I249:L249"/>
    <mergeCell ref="I250:L250"/>
    <mergeCell ref="I263:L263"/>
    <mergeCell ref="I264:L264"/>
    <mergeCell ref="I265:L265"/>
    <mergeCell ref="I266:L266"/>
    <mergeCell ref="I267:L267"/>
    <mergeCell ref="I268:L268"/>
    <mergeCell ref="I257:L257"/>
    <mergeCell ref="I258:L258"/>
    <mergeCell ref="I259:L259"/>
    <mergeCell ref="I260:L260"/>
    <mergeCell ref="I261:L261"/>
    <mergeCell ref="I262:L262"/>
    <mergeCell ref="I275:L275"/>
    <mergeCell ref="I276:L276"/>
    <mergeCell ref="I277:L277"/>
    <mergeCell ref="I278:L278"/>
    <mergeCell ref="I279:L279"/>
    <mergeCell ref="I280:L280"/>
    <mergeCell ref="I269:L269"/>
    <mergeCell ref="I270:L270"/>
    <mergeCell ref="I271:L271"/>
    <mergeCell ref="I272:L272"/>
    <mergeCell ref="I273:L273"/>
    <mergeCell ref="I274:L274"/>
    <mergeCell ref="I287:L287"/>
    <mergeCell ref="I288:L288"/>
    <mergeCell ref="I289:L289"/>
    <mergeCell ref="I290:L290"/>
    <mergeCell ref="I291:L291"/>
    <mergeCell ref="I292:L292"/>
    <mergeCell ref="I281:L281"/>
    <mergeCell ref="I282:L282"/>
    <mergeCell ref="I283:L283"/>
    <mergeCell ref="I284:L284"/>
    <mergeCell ref="I285:L285"/>
    <mergeCell ref="I286:L286"/>
    <mergeCell ref="I299:L299"/>
    <mergeCell ref="I300:L300"/>
    <mergeCell ref="I301:L301"/>
    <mergeCell ref="I302:L302"/>
    <mergeCell ref="I303:L303"/>
    <mergeCell ref="I304:L304"/>
    <mergeCell ref="I293:L293"/>
    <mergeCell ref="I294:L294"/>
    <mergeCell ref="I295:L295"/>
    <mergeCell ref="I296:L296"/>
    <mergeCell ref="I297:L297"/>
    <mergeCell ref="I298:L298"/>
    <mergeCell ref="I311:L311"/>
    <mergeCell ref="I312:L312"/>
    <mergeCell ref="I313:L313"/>
    <mergeCell ref="I314:L314"/>
    <mergeCell ref="I315:L315"/>
    <mergeCell ref="I316:L316"/>
    <mergeCell ref="I305:L305"/>
    <mergeCell ref="I306:L306"/>
    <mergeCell ref="I307:L307"/>
    <mergeCell ref="I308:L308"/>
    <mergeCell ref="I309:L309"/>
    <mergeCell ref="I310:L310"/>
    <mergeCell ref="I323:L323"/>
    <mergeCell ref="I324:L324"/>
    <mergeCell ref="I325:L325"/>
    <mergeCell ref="I326:L326"/>
    <mergeCell ref="I327:L327"/>
    <mergeCell ref="I328:L328"/>
    <mergeCell ref="I317:L317"/>
    <mergeCell ref="I318:L318"/>
    <mergeCell ref="I319:L319"/>
    <mergeCell ref="I320:L320"/>
    <mergeCell ref="I321:L321"/>
    <mergeCell ref="I322:L322"/>
    <mergeCell ref="I335:L335"/>
    <mergeCell ref="I336:L336"/>
    <mergeCell ref="I337:L337"/>
    <mergeCell ref="I338:L338"/>
    <mergeCell ref="I339:L339"/>
    <mergeCell ref="I340:L340"/>
    <mergeCell ref="I329:L329"/>
    <mergeCell ref="I330:L330"/>
    <mergeCell ref="I331:L331"/>
    <mergeCell ref="I332:L332"/>
    <mergeCell ref="I333:L333"/>
    <mergeCell ref="I334:L334"/>
    <mergeCell ref="I347:L347"/>
    <mergeCell ref="I348:L348"/>
    <mergeCell ref="I349:L349"/>
    <mergeCell ref="I350:L350"/>
    <mergeCell ref="I351:L351"/>
    <mergeCell ref="I352:L352"/>
    <mergeCell ref="I341:L341"/>
    <mergeCell ref="I342:L342"/>
    <mergeCell ref="I343:L343"/>
    <mergeCell ref="I344:L344"/>
    <mergeCell ref="I345:L345"/>
    <mergeCell ref="I346:L346"/>
    <mergeCell ref="I359:L359"/>
    <mergeCell ref="I360:L360"/>
    <mergeCell ref="I361:L361"/>
    <mergeCell ref="I362:L362"/>
    <mergeCell ref="I363:L363"/>
    <mergeCell ref="I364:L364"/>
    <mergeCell ref="I353:L353"/>
    <mergeCell ref="I354:L354"/>
    <mergeCell ref="I355:L355"/>
    <mergeCell ref="I356:L356"/>
    <mergeCell ref="I357:L357"/>
    <mergeCell ref="I358:L358"/>
    <mergeCell ref="I371:L371"/>
    <mergeCell ref="I372:L372"/>
    <mergeCell ref="I373:L373"/>
    <mergeCell ref="I374:L374"/>
    <mergeCell ref="I375:L375"/>
    <mergeCell ref="I376:L376"/>
    <mergeCell ref="I365:L365"/>
    <mergeCell ref="I366:L366"/>
    <mergeCell ref="I367:L367"/>
    <mergeCell ref="I368:L368"/>
    <mergeCell ref="I369:L369"/>
    <mergeCell ref="I370:L370"/>
    <mergeCell ref="I383:L383"/>
    <mergeCell ref="I384:L384"/>
    <mergeCell ref="I385:L385"/>
    <mergeCell ref="I386:L386"/>
    <mergeCell ref="I387:L387"/>
    <mergeCell ref="I388:L388"/>
    <mergeCell ref="I377:L377"/>
    <mergeCell ref="I378:L378"/>
    <mergeCell ref="I379:L379"/>
    <mergeCell ref="I380:L380"/>
    <mergeCell ref="I381:L381"/>
    <mergeCell ref="I382:L382"/>
    <mergeCell ref="I395:L395"/>
    <mergeCell ref="I396:L396"/>
    <mergeCell ref="I397:L397"/>
    <mergeCell ref="I398:L398"/>
    <mergeCell ref="I399:L399"/>
    <mergeCell ref="I400:L400"/>
    <mergeCell ref="I389:L389"/>
    <mergeCell ref="I390:L390"/>
    <mergeCell ref="I391:L391"/>
    <mergeCell ref="I392:L392"/>
    <mergeCell ref="I393:L393"/>
    <mergeCell ref="I394:L394"/>
    <mergeCell ref="I407:L407"/>
    <mergeCell ref="I408:L408"/>
    <mergeCell ref="I409:L409"/>
    <mergeCell ref="I410:L410"/>
    <mergeCell ref="I411:L411"/>
    <mergeCell ref="I412:L412"/>
    <mergeCell ref="I401:L401"/>
    <mergeCell ref="I402:L402"/>
    <mergeCell ref="I403:L403"/>
    <mergeCell ref="I404:L404"/>
    <mergeCell ref="I405:L405"/>
    <mergeCell ref="I406:L406"/>
    <mergeCell ref="I419:L419"/>
    <mergeCell ref="I420:L420"/>
    <mergeCell ref="I421:L421"/>
    <mergeCell ref="I422:L422"/>
    <mergeCell ref="I423:L423"/>
    <mergeCell ref="I424:L424"/>
    <mergeCell ref="I413:L413"/>
    <mergeCell ref="I414:L414"/>
    <mergeCell ref="I415:L415"/>
    <mergeCell ref="I416:L416"/>
    <mergeCell ref="I417:L417"/>
    <mergeCell ref="I418:L418"/>
    <mergeCell ref="I431:L431"/>
    <mergeCell ref="I432:L432"/>
    <mergeCell ref="I433:L433"/>
    <mergeCell ref="I434:L434"/>
    <mergeCell ref="I435:L435"/>
    <mergeCell ref="I436:L436"/>
    <mergeCell ref="I425:L425"/>
    <mergeCell ref="I426:L426"/>
    <mergeCell ref="I427:L427"/>
    <mergeCell ref="I428:L428"/>
    <mergeCell ref="I429:L429"/>
    <mergeCell ref="I430:L430"/>
    <mergeCell ref="I449:L449"/>
    <mergeCell ref="I450:L450"/>
    <mergeCell ref="I443:L443"/>
    <mergeCell ref="I444:L444"/>
    <mergeCell ref="I445:L445"/>
    <mergeCell ref="I446:L446"/>
    <mergeCell ref="I447:L447"/>
    <mergeCell ref="I448:L448"/>
    <mergeCell ref="I437:L437"/>
    <mergeCell ref="I438:L438"/>
    <mergeCell ref="I439:L439"/>
    <mergeCell ref="I440:L440"/>
    <mergeCell ref="I441:L441"/>
    <mergeCell ref="I442:L442"/>
  </mergeCells>
  <conditionalFormatting sqref="E3 G3">
    <cfRule type="cellIs" dxfId="5" priority="3" stopIfTrue="1" operator="between">
      <formula>25</formula>
      <formula>30</formula>
    </cfRule>
    <cfRule type="cellIs" dxfId="4" priority="4" stopIfTrue="1" operator="greaterThan">
      <formula>30</formula>
    </cfRule>
  </conditionalFormatting>
  <conditionalFormatting sqref="F3">
    <cfRule type="cellIs" dxfId="3" priority="1" stopIfTrue="1" operator="between">
      <formula>8</formula>
      <formula>10</formula>
    </cfRule>
    <cfRule type="cellIs" dxfId="2" priority="2" stopIfTrue="1" operator="greaterThan">
      <formula>10</formula>
    </cfRule>
  </conditionalFormatting>
  <conditionalFormatting sqref="G6:H450">
    <cfRule type="containsText" dxfId="1" priority="5" operator="containsText" text="VERIFICARE AVVENUTO SMALTIMENTO">
      <formula>NOT(ISERROR(SEARCH("VERIFICARE AVVENUTO SMALTIMENTO",G6)))</formula>
    </cfRule>
    <cfRule type="containsText" dxfId="0" priority="6" operator="containsText" text="FALSO">
      <formula>NOT(ISERROR(SEARCH("FALSO",G6)))</formula>
    </cfRule>
  </conditionalFormatting>
  <hyperlinks>
    <hyperlink ref="A2" r:id="rId1" xr:uid="{00000000-0004-0000-1200-000000000000}"/>
    <hyperlink ref="G5" r:id="rId2" display="NECESSITA' DI VERIFICA ENTRO       90 gg DALLO SCARICO DELL'AVVENUTO                 SMALTIMENTO IN CASO DI                                    DESTINO D13, D14 E D15                  (NON PIU' NECESSARIA DAL 31/07/2021)" xr:uid="{00000000-0004-0000-1200-000001000000}"/>
  </hyperlinks>
  <pageMargins left="0.2" right="0.17" top="0.63" bottom="0.45" header="0.5" footer="0.5"/>
  <pageSetup paperSize="8" scale="41" fitToHeight="0" orientation="landscape" r:id="rId3"/>
  <headerFooter alignWithMargins="0"/>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J271"/>
  <sheetViews>
    <sheetView zoomScaleNormal="100" zoomScaleSheetLayoutView="40" workbookViewId="0">
      <pane xSplit="6" ySplit="3" topLeftCell="G58" activePane="bottomRight" state="frozen"/>
      <selection pane="topRight" activeCell="G1" sqref="G1"/>
      <selection pane="bottomLeft" activeCell="A4" sqref="A4"/>
      <selection pane="bottomRight" activeCell="H50" sqref="H50"/>
    </sheetView>
  </sheetViews>
  <sheetFormatPr defaultRowHeight="13.2" x14ac:dyDescent="0.25"/>
  <cols>
    <col min="1" max="1" width="40.5546875" customWidth="1"/>
    <col min="3" max="3" width="11" customWidth="1"/>
    <col min="4" max="4" width="7.33203125" customWidth="1"/>
    <col min="5" max="5" width="12.6640625" customWidth="1"/>
    <col min="6" max="6" width="12.44140625" customWidth="1"/>
    <col min="8" max="8" width="14.44140625" customWidth="1"/>
  </cols>
  <sheetData>
    <row r="1" spans="1:9" ht="13.5" customHeight="1" x14ac:dyDescent="0.25">
      <c r="A1" s="1132" t="s">
        <v>0</v>
      </c>
      <c r="B1" s="1132" t="s">
        <v>1</v>
      </c>
      <c r="C1" s="1132" t="s">
        <v>303</v>
      </c>
      <c r="D1" s="1132" t="s">
        <v>309</v>
      </c>
      <c r="E1" s="1132" t="s">
        <v>478</v>
      </c>
      <c r="F1" s="1132" t="s">
        <v>644</v>
      </c>
      <c r="G1" s="1159" t="s">
        <v>934</v>
      </c>
      <c r="H1" s="1141" t="s">
        <v>306</v>
      </c>
    </row>
    <row r="2" spans="1:9" x14ac:dyDescent="0.25">
      <c r="A2" s="1133"/>
      <c r="B2" s="1133"/>
      <c r="C2" s="1133"/>
      <c r="D2" s="1144"/>
      <c r="E2" s="1144"/>
      <c r="F2" s="1144"/>
      <c r="G2" s="1160"/>
      <c r="H2" s="1142"/>
    </row>
    <row r="3" spans="1:9" ht="29.4" thickBot="1" x14ac:dyDescent="0.3">
      <c r="A3" s="1134"/>
      <c r="B3" s="1134"/>
      <c r="C3" s="1134"/>
      <c r="D3" s="1145"/>
      <c r="E3" s="1145"/>
      <c r="F3" s="1145"/>
      <c r="G3" s="199" t="s">
        <v>675</v>
      </c>
      <c r="H3" s="1143"/>
    </row>
    <row r="4" spans="1:9" ht="19.95" customHeight="1" thickTop="1" thickBot="1" x14ac:dyDescent="0.3">
      <c r="A4" s="1129" t="s">
        <v>326</v>
      </c>
      <c r="B4" s="1168" t="s">
        <v>327</v>
      </c>
      <c r="C4" s="1129" t="s">
        <v>229</v>
      </c>
      <c r="D4" s="218"/>
      <c r="E4" s="50" t="s">
        <v>3</v>
      </c>
      <c r="F4" s="50"/>
      <c r="G4" s="90"/>
      <c r="H4" s="210"/>
    </row>
    <row r="5" spans="1:9" ht="20.25" customHeight="1" thickBot="1" x14ac:dyDescent="0.3">
      <c r="A5" s="1169"/>
      <c r="B5" s="1169"/>
      <c r="C5" s="1145"/>
      <c r="D5" s="94">
        <v>900</v>
      </c>
      <c r="E5" s="389" t="s">
        <v>4</v>
      </c>
      <c r="F5" s="389" t="s">
        <v>120</v>
      </c>
      <c r="G5" s="71">
        <f>SUMIF('movim_carico e scarico_2025'!C:C,20304,'movim_carico e scarico_2025'!D:D)</f>
        <v>23200</v>
      </c>
      <c r="H5" s="385">
        <f>SUMIF('movim_carico e scarico_2025'!C:C,20304,'movim_carico e scarico_2025'!D:D)-(SUMIF('movim_carico e scarico_2025'!C:C,20304,'movim_carico e scarico_2025'!E:E))</f>
        <v>0</v>
      </c>
      <c r="I5" s="410"/>
    </row>
    <row r="6" spans="1:9" ht="19.95" customHeight="1" thickTop="1" thickBot="1" x14ac:dyDescent="0.3">
      <c r="A6" s="1146" t="s">
        <v>236</v>
      </c>
      <c r="B6" s="1146" t="s">
        <v>253</v>
      </c>
      <c r="C6" s="1146" t="s">
        <v>229</v>
      </c>
      <c r="D6" s="203">
        <v>1187</v>
      </c>
      <c r="E6" s="402" t="s">
        <v>3</v>
      </c>
      <c r="F6" s="402" t="s">
        <v>118</v>
      </c>
      <c r="G6" s="70">
        <f>SUMIF('movim_carico e scarico_2025'!C:C,60102,'movim_carico e scarico_2025'!D:D)</f>
        <v>0</v>
      </c>
      <c r="H6" s="252">
        <f>SUMIF('movim_carico e scarico_2025'!C:C,60102,'movim_carico e scarico_2025'!D:D)-(SUMIF('movim_carico e scarico_2025'!C:C,60102,'movim_carico e scarico_2025'!E:E))</f>
        <v>0</v>
      </c>
      <c r="I6" s="410"/>
    </row>
    <row r="7" spans="1:9" ht="20.25" customHeight="1" thickBot="1" x14ac:dyDescent="0.3">
      <c r="A7" s="1170"/>
      <c r="B7" s="1170"/>
      <c r="C7" s="1145"/>
      <c r="D7" s="219"/>
      <c r="E7" s="54" t="s">
        <v>4</v>
      </c>
      <c r="F7" s="54"/>
      <c r="G7" s="91"/>
      <c r="H7" s="251"/>
    </row>
    <row r="8" spans="1:9" ht="20.25" customHeight="1" thickTop="1" thickBot="1" x14ac:dyDescent="0.3">
      <c r="A8" s="1129" t="s">
        <v>199</v>
      </c>
      <c r="B8" s="1166" t="s">
        <v>198</v>
      </c>
      <c r="C8" s="1129" t="s">
        <v>229</v>
      </c>
      <c r="D8" s="218">
        <v>1000</v>
      </c>
      <c r="E8" s="391" t="s">
        <v>3</v>
      </c>
      <c r="F8" s="391" t="s">
        <v>121</v>
      </c>
      <c r="G8" s="96">
        <f>SUMIF('movim_carico e scarico_2025'!C:C,70101,'movim_carico e scarico_2025'!D:D)</f>
        <v>0</v>
      </c>
      <c r="H8" s="252">
        <f>SUMIF('movim_carico e scarico_2025'!C:C,70101,'movim_carico e scarico_2025'!D:D)-(SUMIF('movim_carico e scarico_2025'!C:C,70101,'movim_carico e scarico_2025'!E:E))</f>
        <v>0</v>
      </c>
      <c r="I8" s="410"/>
    </row>
    <row r="9" spans="1:9" ht="20.25" customHeight="1" thickBot="1" x14ac:dyDescent="0.3">
      <c r="A9" s="1130"/>
      <c r="B9" s="1167"/>
      <c r="C9" s="1131"/>
      <c r="D9" s="220"/>
      <c r="E9" s="51" t="s">
        <v>4</v>
      </c>
      <c r="F9" s="51"/>
      <c r="G9" s="94"/>
      <c r="H9" s="251"/>
    </row>
    <row r="10" spans="1:9" ht="19.95" customHeight="1" thickTop="1" thickBot="1" x14ac:dyDescent="0.3">
      <c r="A10" s="1146" t="s">
        <v>43</v>
      </c>
      <c r="B10" s="1171" t="s">
        <v>44</v>
      </c>
      <c r="C10" s="1146" t="s">
        <v>229</v>
      </c>
      <c r="D10" s="203"/>
      <c r="E10" s="52" t="s">
        <v>3</v>
      </c>
      <c r="F10" s="52" t="s">
        <v>121</v>
      </c>
      <c r="G10" s="93"/>
      <c r="H10" s="252"/>
    </row>
    <row r="11" spans="1:9" ht="20.25" customHeight="1" thickBot="1" x14ac:dyDescent="0.3">
      <c r="A11" s="1161"/>
      <c r="B11" s="1172"/>
      <c r="C11" s="1165"/>
      <c r="D11" s="138">
        <v>1300</v>
      </c>
      <c r="E11" s="387" t="s">
        <v>4</v>
      </c>
      <c r="F11" s="387" t="s">
        <v>120</v>
      </c>
      <c r="G11" s="70">
        <f>SUMIF('movim_carico e scarico_2025'!C:C,80318,'movim_carico e scarico_2025'!D:D)</f>
        <v>0</v>
      </c>
      <c r="H11" s="212">
        <f>SUMIF('movim_carico e scarico_2025'!C:C,80318,'movim_carico e scarico_2025'!D:D)-(SUMIF('movim_carico e scarico_2025'!C:C,80318,'movim_carico e scarico_2025'!E:E))</f>
        <v>0</v>
      </c>
      <c r="I11" s="410"/>
    </row>
    <row r="12" spans="1:9" ht="20.25" customHeight="1" thickTop="1" thickBot="1" x14ac:dyDescent="0.3">
      <c r="A12" s="1129" t="s">
        <v>85</v>
      </c>
      <c r="B12" s="1166" t="s">
        <v>296</v>
      </c>
      <c r="C12" s="1129" t="s">
        <v>229</v>
      </c>
      <c r="D12" s="218">
        <v>1000</v>
      </c>
      <c r="E12" s="390" t="s">
        <v>3</v>
      </c>
      <c r="F12" s="391" t="s">
        <v>119</v>
      </c>
      <c r="G12" s="96">
        <f>SUMIF('movim_carico e scarico_2025'!C:C,80416,'movim_carico e scarico_2025'!D:D)</f>
        <v>0</v>
      </c>
      <c r="H12" s="252">
        <f>SUMIF('movim_carico e scarico_2025'!C:C,80416,'movim_carico e scarico_2025'!D:D)-(SUMIF('movim_carico e scarico_2025'!C:C,80416,'movim_carico e scarico_2025'!E:E))</f>
        <v>0</v>
      </c>
      <c r="I12" s="410"/>
    </row>
    <row r="13" spans="1:9" ht="20.25" customHeight="1" thickBot="1" x14ac:dyDescent="0.3">
      <c r="A13" s="1130"/>
      <c r="B13" s="1167"/>
      <c r="C13" s="1131"/>
      <c r="D13" s="221"/>
      <c r="E13" s="204" t="s">
        <v>4</v>
      </c>
      <c r="F13" s="204"/>
      <c r="G13" s="205"/>
      <c r="H13" s="251"/>
    </row>
    <row r="14" spans="1:9" ht="19.95" customHeight="1" thickTop="1" thickBot="1" x14ac:dyDescent="0.3">
      <c r="A14" s="1146" t="s">
        <v>240</v>
      </c>
      <c r="B14" s="1146" t="s">
        <v>239</v>
      </c>
      <c r="C14" s="1149" t="s">
        <v>228</v>
      </c>
      <c r="D14" s="203"/>
      <c r="E14" s="52" t="s">
        <v>3</v>
      </c>
      <c r="F14" s="52"/>
      <c r="G14" s="53"/>
      <c r="H14" s="213"/>
    </row>
    <row r="15" spans="1:9" ht="20.25" customHeight="1" thickBot="1" x14ac:dyDescent="0.3">
      <c r="A15" s="1161"/>
      <c r="B15" s="1161"/>
      <c r="C15" s="1150"/>
      <c r="D15" s="138">
        <v>900</v>
      </c>
      <c r="E15" s="387" t="s">
        <v>4</v>
      </c>
      <c r="F15" s="387" t="s">
        <v>120</v>
      </c>
      <c r="G15" s="72">
        <f>SUMIF('movim_carico e scarico_2025'!C:C,130205,'movim_carico e scarico_2025'!D:D)</f>
        <v>0</v>
      </c>
      <c r="H15" s="211">
        <f>SUMIF('movim_carico e scarico_2025'!C:C,130205,'movim_carico e scarico_2025'!D:D)-(SUMIF('movim_carico e scarico_2025'!C:C,130205,'movim_carico e scarico_2025'!E:E))</f>
        <v>0</v>
      </c>
      <c r="I15" s="410"/>
    </row>
    <row r="16" spans="1:9" ht="20.25" customHeight="1" thickTop="1" thickBot="1" x14ac:dyDescent="0.3">
      <c r="A16" s="1129" t="s">
        <v>66</v>
      </c>
      <c r="B16" s="1166" t="s">
        <v>279</v>
      </c>
      <c r="C16" s="1163" t="s">
        <v>228</v>
      </c>
      <c r="D16" s="218"/>
      <c r="E16" s="50" t="s">
        <v>3</v>
      </c>
      <c r="F16" s="50"/>
      <c r="G16" s="205"/>
      <c r="H16" s="216"/>
    </row>
    <row r="17" spans="1:9" ht="20.25" customHeight="1" thickBot="1" x14ac:dyDescent="0.3">
      <c r="A17" s="1130"/>
      <c r="B17" s="1167"/>
      <c r="C17" s="1164"/>
      <c r="D17" s="94">
        <v>900</v>
      </c>
      <c r="E17" s="388" t="s">
        <v>4</v>
      </c>
      <c r="F17" s="388" t="s">
        <v>120</v>
      </c>
      <c r="G17" s="71">
        <f>SUMIF('movim_carico e scarico_2025'!C:C,130307,'movim_carico e scarico_2025'!D:D)</f>
        <v>0</v>
      </c>
      <c r="H17" s="211">
        <f>SUMIF('movim_carico e scarico_2025'!C:C,130307,'movim_carico e scarico_2025'!D:D)-(SUMIF('movim_carico e scarico_2025'!C:C,130307,'movim_carico e scarico_2025'!E:E))</f>
        <v>0</v>
      </c>
      <c r="I17" s="410"/>
    </row>
    <row r="18" spans="1:9" ht="20.25" customHeight="1" thickTop="1" thickBot="1" x14ac:dyDescent="0.3">
      <c r="A18" s="1146" t="s">
        <v>234</v>
      </c>
      <c r="B18" s="1146" t="s">
        <v>235</v>
      </c>
      <c r="C18" s="1146" t="s">
        <v>229</v>
      </c>
      <c r="D18" s="203"/>
      <c r="E18" s="52" t="s">
        <v>3</v>
      </c>
      <c r="F18" s="52" t="s">
        <v>121</v>
      </c>
      <c r="G18" s="203"/>
      <c r="H18" s="214"/>
    </row>
    <row r="19" spans="1:9" ht="20.25" customHeight="1" thickBot="1" x14ac:dyDescent="0.3">
      <c r="A19" s="1161"/>
      <c r="B19" s="1161"/>
      <c r="C19" s="1165"/>
      <c r="D19" s="138">
        <v>950</v>
      </c>
      <c r="E19" s="387" t="s">
        <v>4</v>
      </c>
      <c r="F19" s="387" t="s">
        <v>120</v>
      </c>
      <c r="G19" s="72">
        <f>SUMIF('movim_carico e scarico_2025'!C:C,130507,'movim_carico e scarico_2025'!D:D)</f>
        <v>0</v>
      </c>
      <c r="H19" s="211">
        <f>SUMIF('movim_carico e scarico_2025'!C:C,130507,'movim_carico e scarico_2025'!D:D)-(SUMIF('movim_carico e scarico_2025'!C:C,130507,'movim_carico e scarico_2025'!E:E))</f>
        <v>0</v>
      </c>
      <c r="I19" s="410"/>
    </row>
    <row r="20" spans="1:9" ht="20.25" customHeight="1" thickTop="1" thickBot="1" x14ac:dyDescent="0.3">
      <c r="A20" s="1129" t="s">
        <v>167</v>
      </c>
      <c r="B20" s="1129" t="s">
        <v>168</v>
      </c>
      <c r="C20" s="1147" t="s">
        <v>228</v>
      </c>
      <c r="D20" s="218"/>
      <c r="E20" s="50" t="s">
        <v>3</v>
      </c>
      <c r="F20" s="50" t="s">
        <v>169</v>
      </c>
      <c r="G20" s="218"/>
      <c r="H20" s="214"/>
    </row>
    <row r="21" spans="1:9" ht="20.25" customHeight="1" thickBot="1" x14ac:dyDescent="0.3">
      <c r="A21" s="1130"/>
      <c r="B21" s="1130"/>
      <c r="C21" s="1148"/>
      <c r="D21" s="94">
        <v>1000</v>
      </c>
      <c r="E21" s="388" t="s">
        <v>4</v>
      </c>
      <c r="F21" s="388" t="s">
        <v>120</v>
      </c>
      <c r="G21" s="71">
        <f>SUMIF('movim_carico e scarico_2025'!C:C,140603,'movim_carico e scarico_2025'!D:D)</f>
        <v>0</v>
      </c>
      <c r="H21" s="211">
        <f>SUMIF('movim_carico e scarico_2025'!C:C,140603,'movim_carico e scarico_2025'!D:D)-(SUMIF('movim_carico e scarico_2025'!C:C,140603,'movim_carico e scarico_2025'!E:E))</f>
        <v>0</v>
      </c>
      <c r="I21" s="410"/>
    </row>
    <row r="22" spans="1:9" ht="20.25" customHeight="1" thickTop="1" thickBot="1" x14ac:dyDescent="0.3">
      <c r="A22" s="1162" t="s">
        <v>86</v>
      </c>
      <c r="B22" s="1162">
        <v>150101</v>
      </c>
      <c r="C22" s="1146" t="s">
        <v>229</v>
      </c>
      <c r="D22" s="203"/>
      <c r="E22" s="265" t="s">
        <v>3</v>
      </c>
      <c r="F22" s="265"/>
      <c r="G22" s="254"/>
      <c r="H22" s="215"/>
    </row>
    <row r="23" spans="1:9" ht="20.25" customHeight="1" thickBot="1" x14ac:dyDescent="0.3">
      <c r="A23" s="1162"/>
      <c r="B23" s="1162"/>
      <c r="C23" s="1165"/>
      <c r="D23" s="138">
        <v>237</v>
      </c>
      <c r="E23" s="392" t="s">
        <v>4</v>
      </c>
      <c r="F23" s="393" t="s">
        <v>120</v>
      </c>
      <c r="G23" s="95">
        <f>SUMIF('movim_carico e scarico_2025'!C:C,150101,'movim_carico e scarico_2025'!D:D)</f>
        <v>2920</v>
      </c>
      <c r="H23" s="211">
        <f>SUMIF('movim_carico e scarico_2025'!C:C,150101,'movim_carico e scarico_2025'!D:D)-(SUMIF('movim_carico e scarico_2025'!C:C,150101,'movim_carico e scarico_2025'!E:E))</f>
        <v>0</v>
      </c>
      <c r="I23" s="410"/>
    </row>
    <row r="24" spans="1:9" ht="20.25" customHeight="1" thickTop="1" thickBot="1" x14ac:dyDescent="0.3">
      <c r="A24" s="1129" t="s">
        <v>458</v>
      </c>
      <c r="B24" s="1129">
        <v>150102</v>
      </c>
      <c r="C24" s="1129" t="s">
        <v>229</v>
      </c>
      <c r="D24" s="349"/>
      <c r="E24" s="50" t="s">
        <v>3</v>
      </c>
      <c r="F24" s="50"/>
      <c r="G24" s="218"/>
      <c r="H24" s="214"/>
    </row>
    <row r="25" spans="1:9" ht="20.25" customHeight="1" thickBot="1" x14ac:dyDescent="0.3">
      <c r="A25" s="1130"/>
      <c r="B25" s="1130"/>
      <c r="C25" s="1131"/>
      <c r="D25" s="349">
        <v>400</v>
      </c>
      <c r="E25" s="388" t="s">
        <v>4</v>
      </c>
      <c r="F25" s="394" t="s">
        <v>120</v>
      </c>
      <c r="G25" s="71">
        <f>SUMIF('movim_carico e scarico_2025'!C:C,150102,'movim_carico e scarico_2025'!D:D)</f>
        <v>1000</v>
      </c>
      <c r="H25" s="211">
        <f>SUMIF('movim_carico e scarico_2025'!C:C,150102,'movim_carico e scarico_2025'!D:D)-(SUMIF('movim_carico e scarico_2025'!C:C,150102,'movim_carico e scarico_2025'!E:E))</f>
        <v>0</v>
      </c>
      <c r="I25" s="410"/>
    </row>
    <row r="26" spans="1:9" ht="20.25" customHeight="1" thickTop="1" thickBot="1" x14ac:dyDescent="0.3">
      <c r="A26" s="1137" t="s">
        <v>82</v>
      </c>
      <c r="B26" s="1137">
        <v>150103</v>
      </c>
      <c r="C26" s="1137" t="s">
        <v>229</v>
      </c>
      <c r="D26" s="360"/>
      <c r="E26" s="361" t="s">
        <v>3</v>
      </c>
      <c r="F26" s="361"/>
      <c r="G26" s="362"/>
      <c r="H26" s="213"/>
    </row>
    <row r="27" spans="1:9" ht="20.25" customHeight="1" thickBot="1" x14ac:dyDescent="0.3">
      <c r="A27" s="1156"/>
      <c r="B27" s="1156"/>
      <c r="C27" s="1138"/>
      <c r="D27" s="363">
        <v>250</v>
      </c>
      <c r="E27" s="395" t="s">
        <v>4</v>
      </c>
      <c r="F27" s="395" t="s">
        <v>120</v>
      </c>
      <c r="G27" s="365">
        <f>SUMIF('movim_carico e scarico_2025'!C:C,150103,'movim_carico e scarico_2025'!D:D)</f>
        <v>0</v>
      </c>
      <c r="H27" s="211">
        <f>SUMIF('movim_carico e scarico_2025'!C:C,150103,'movim_carico e scarico_2025'!D:D)-(SUMIF('movim_carico e scarico_2025'!C:C,150103,'movim_carico e scarico_2025'!E:E))</f>
        <v>0</v>
      </c>
      <c r="I27" s="410"/>
    </row>
    <row r="28" spans="1:9" ht="19.95" customHeight="1" thickTop="1" thickBot="1" x14ac:dyDescent="0.3">
      <c r="A28" s="1139" t="s">
        <v>40</v>
      </c>
      <c r="B28" s="1139">
        <v>150106</v>
      </c>
      <c r="C28" s="1139" t="s">
        <v>229</v>
      </c>
      <c r="D28" s="350"/>
      <c r="E28" s="351" t="s">
        <v>3</v>
      </c>
      <c r="F28" s="351" t="s">
        <v>118</v>
      </c>
      <c r="G28" s="353"/>
      <c r="H28" s="212"/>
    </row>
    <row r="29" spans="1:9" ht="20.25" customHeight="1" thickBot="1" x14ac:dyDescent="0.3">
      <c r="A29" s="1157"/>
      <c r="B29" s="1157"/>
      <c r="C29" s="1140"/>
      <c r="D29" s="354">
        <v>90</v>
      </c>
      <c r="E29" s="394" t="s">
        <v>4</v>
      </c>
      <c r="F29" s="394" t="s">
        <v>120</v>
      </c>
      <c r="G29" s="349">
        <f>SUMIF('movim_carico e scarico_2025'!C:C,150106,'movim_carico e scarico_2025'!D:D)</f>
        <v>0</v>
      </c>
      <c r="H29" s="385">
        <f>SUMIF('movim_carico e scarico_2025'!C:C,150106,'movim_carico e scarico_2025'!D:D)-(SUMIF('movim_carico e scarico_2025'!C:C,150106,'movim_carico e scarico_2025'!E:E))</f>
        <v>0</v>
      </c>
      <c r="I29" s="410"/>
    </row>
    <row r="30" spans="1:9" ht="20.25" customHeight="1" thickTop="1" thickBot="1" x14ac:dyDescent="0.3">
      <c r="A30" s="1137" t="s">
        <v>47</v>
      </c>
      <c r="B30" s="1137" t="s">
        <v>46</v>
      </c>
      <c r="C30" s="1137" t="s">
        <v>229</v>
      </c>
      <c r="D30" s="360"/>
      <c r="E30" s="361" t="s">
        <v>3</v>
      </c>
      <c r="F30" s="361" t="s">
        <v>118</v>
      </c>
      <c r="G30" s="360"/>
      <c r="H30" s="214"/>
    </row>
    <row r="31" spans="1:9" ht="20.25" customHeight="1" thickBot="1" x14ac:dyDescent="0.3">
      <c r="A31" s="1156"/>
      <c r="B31" s="1156"/>
      <c r="C31" s="1138"/>
      <c r="D31" s="363">
        <v>50</v>
      </c>
      <c r="E31" s="395" t="s">
        <v>4</v>
      </c>
      <c r="F31" s="395" t="s">
        <v>120</v>
      </c>
      <c r="G31" s="365">
        <f>SUMIF('movim_carico e scarico_2025'!C:C,150110,'movim_carico e scarico_2025'!D:D)</f>
        <v>0</v>
      </c>
      <c r="H31" s="385">
        <f>SUMIF('movim_carico e scarico_2025'!C:C,150110,'movim_carico e scarico_2025'!D:D)-(SUMIF('movim_carico e scarico_2025'!C:C,150110,'movim_carico e scarico_2025'!E:E))</f>
        <v>0</v>
      </c>
      <c r="I31" s="410"/>
    </row>
    <row r="32" spans="1:9" ht="20.25" customHeight="1" thickTop="1" thickBot="1" x14ac:dyDescent="0.3">
      <c r="A32" s="1139" t="s">
        <v>254</v>
      </c>
      <c r="B32" s="1139" t="s">
        <v>255</v>
      </c>
      <c r="C32" s="1139" t="s">
        <v>229</v>
      </c>
      <c r="D32" s="350"/>
      <c r="E32" s="351" t="s">
        <v>3</v>
      </c>
      <c r="F32" s="351" t="s">
        <v>118</v>
      </c>
      <c r="G32" s="353"/>
      <c r="H32" s="212"/>
    </row>
    <row r="33" spans="1:9" ht="20.25" customHeight="1" thickBot="1" x14ac:dyDescent="0.3">
      <c r="A33" s="1152"/>
      <c r="B33" s="1152"/>
      <c r="C33" s="1140"/>
      <c r="D33" s="354">
        <v>150</v>
      </c>
      <c r="E33" s="396" t="s">
        <v>4</v>
      </c>
      <c r="F33" s="396" t="s">
        <v>120</v>
      </c>
      <c r="G33" s="357">
        <f>SUMIF('movim_carico e scarico_2025'!C:C,150111,'movim_carico e scarico_2025'!D:D)</f>
        <v>0</v>
      </c>
      <c r="H33" s="211">
        <f>SUMIF('movim_carico e scarico_2025'!C:C,150111,'movim_carico e scarico_2025'!D:D)-(SUMIF('movim_carico e scarico_2025'!C:C,150111,'movim_carico e scarico_2025'!E:E))</f>
        <v>0</v>
      </c>
      <c r="I33" s="410"/>
    </row>
    <row r="34" spans="1:9" ht="20.25" customHeight="1" thickTop="1" thickBot="1" x14ac:dyDescent="0.3">
      <c r="A34" s="1137" t="s">
        <v>45</v>
      </c>
      <c r="B34" s="1137" t="s">
        <v>241</v>
      </c>
      <c r="C34" s="1137" t="s">
        <v>229</v>
      </c>
      <c r="D34" s="360"/>
      <c r="E34" s="361" t="s">
        <v>3</v>
      </c>
      <c r="F34" s="361" t="s">
        <v>121</v>
      </c>
      <c r="G34" s="366"/>
      <c r="H34" s="384"/>
    </row>
    <row r="35" spans="1:9" ht="20.25" customHeight="1" thickBot="1" x14ac:dyDescent="0.3">
      <c r="A35" s="1156"/>
      <c r="B35" s="1156"/>
      <c r="C35" s="1138"/>
      <c r="D35" s="363">
        <v>400</v>
      </c>
      <c r="E35" s="395" t="s">
        <v>4</v>
      </c>
      <c r="F35" s="395" t="s">
        <v>120</v>
      </c>
      <c r="G35" s="366">
        <f>SUMIF('movim_carico e scarico_2025'!C:C,150202,'movim_carico e scarico_2025'!D:D)</f>
        <v>0</v>
      </c>
      <c r="H35" s="386">
        <f>SUMIF('movim_carico e scarico_2025'!C:C,150202,'movim_carico e scarico_2025'!D:D)-(SUMIF('movim_carico e scarico_2025'!C:C,150202,'movim_carico e scarico_2025'!E:E))</f>
        <v>0</v>
      </c>
      <c r="I35" s="410"/>
    </row>
    <row r="36" spans="1:9" ht="20.25" customHeight="1" thickTop="1" thickBot="1" x14ac:dyDescent="0.3">
      <c r="A36" s="1139" t="s">
        <v>328</v>
      </c>
      <c r="B36" s="1139">
        <v>150203</v>
      </c>
      <c r="C36" s="1139" t="s">
        <v>229</v>
      </c>
      <c r="D36" s="350"/>
      <c r="E36" s="351" t="s">
        <v>3</v>
      </c>
      <c r="F36" s="351"/>
      <c r="G36" s="352"/>
      <c r="H36" s="213"/>
    </row>
    <row r="37" spans="1:9" ht="19.5" customHeight="1" thickBot="1" x14ac:dyDescent="0.3">
      <c r="A37" s="1152"/>
      <c r="B37" s="1152"/>
      <c r="C37" s="1140"/>
      <c r="D37" s="354">
        <v>85</v>
      </c>
      <c r="E37" s="396" t="s">
        <v>4</v>
      </c>
      <c r="F37" s="396" t="s">
        <v>120</v>
      </c>
      <c r="G37" s="357">
        <f>SUMIF('movim_carico e scarico_2025'!C:C,150203,'movim_carico e scarico_2025'!D:D)</f>
        <v>0</v>
      </c>
      <c r="H37" s="211">
        <f>SUMIF('movim_carico e scarico_2025'!C:C,150203,'movim_carico e scarico_2025'!D:D)-(SUMIF('movim_carico e scarico_2025'!C:C,150203,'movim_carico e scarico_2025'!E:E))</f>
        <v>0</v>
      </c>
      <c r="I37" s="410"/>
    </row>
    <row r="38" spans="1:9" ht="20.25" customHeight="1" thickTop="1" thickBot="1" x14ac:dyDescent="0.3">
      <c r="A38" s="1137" t="s">
        <v>331</v>
      </c>
      <c r="B38" s="1137" t="s">
        <v>238</v>
      </c>
      <c r="C38" s="1137" t="s">
        <v>229</v>
      </c>
      <c r="D38" s="360"/>
      <c r="E38" s="361" t="s">
        <v>3</v>
      </c>
      <c r="F38" s="361" t="s">
        <v>122</v>
      </c>
      <c r="G38" s="372"/>
      <c r="H38" s="214"/>
    </row>
    <row r="39" spans="1:9" ht="20.25" customHeight="1" thickBot="1" x14ac:dyDescent="0.3">
      <c r="A39" s="1156"/>
      <c r="B39" s="1156"/>
      <c r="C39" s="1138"/>
      <c r="D39" s="372">
        <v>500</v>
      </c>
      <c r="E39" s="395" t="s">
        <v>4</v>
      </c>
      <c r="F39" s="395" t="s">
        <v>120</v>
      </c>
      <c r="G39" s="365">
        <f>SUMIF('movim_carico e scarico_2025'!C:C,160213,'movim_carico e scarico_2025'!D:D)</f>
        <v>0</v>
      </c>
      <c r="H39" s="211">
        <f>SUMIF('movim_carico e scarico_2025'!C:C,160213,'movim_carico e scarico_2025'!D:D)-(SUMIF('movim_carico e scarico_2025'!C:C,160213,'movim_carico e scarico_2025'!E:E))</f>
        <v>0</v>
      </c>
      <c r="I39" s="410"/>
    </row>
    <row r="40" spans="1:9" ht="18.75" customHeight="1" thickTop="1" thickBot="1" x14ac:dyDescent="0.3">
      <c r="A40" s="1139" t="s">
        <v>332</v>
      </c>
      <c r="B40" s="1139">
        <v>160214</v>
      </c>
      <c r="C40" s="1139" t="s">
        <v>229</v>
      </c>
      <c r="D40" s="350"/>
      <c r="E40" s="351" t="s">
        <v>3</v>
      </c>
      <c r="F40" s="351" t="s">
        <v>122</v>
      </c>
      <c r="G40" s="349"/>
      <c r="H40" s="214"/>
    </row>
    <row r="41" spans="1:9" ht="20.25" customHeight="1" thickBot="1" x14ac:dyDescent="0.3">
      <c r="A41" s="1152"/>
      <c r="B41" s="1152"/>
      <c r="C41" s="1140"/>
      <c r="D41" s="349">
        <v>300</v>
      </c>
      <c r="E41" s="396" t="s">
        <v>4</v>
      </c>
      <c r="F41" s="396" t="s">
        <v>120</v>
      </c>
      <c r="G41" s="357">
        <f>SUMIF('movim_carico e scarico_2025'!C:C,160214,'movim_carico e scarico_2025'!D:D)</f>
        <v>0</v>
      </c>
      <c r="H41" s="211">
        <f>SUMIF('movim_carico e scarico_2025'!C:C,160214,'movim_carico e scarico_2025'!D:D)-(SUMIF('movim_carico e scarico_2025'!C:C,160214,'movim_carico e scarico_2025'!E:E))</f>
        <v>0</v>
      </c>
      <c r="I41" s="410"/>
    </row>
    <row r="42" spans="1:9" ht="20.25" customHeight="1" thickTop="1" thickBot="1" x14ac:dyDescent="0.3">
      <c r="A42" s="1137" t="s">
        <v>345</v>
      </c>
      <c r="B42" s="1137" t="s">
        <v>344</v>
      </c>
      <c r="C42" s="1137" t="s">
        <v>229</v>
      </c>
      <c r="D42" s="360"/>
      <c r="E42" s="361" t="s">
        <v>3</v>
      </c>
      <c r="F42" s="361" t="s">
        <v>118</v>
      </c>
      <c r="G42" s="367"/>
      <c r="H42" s="214"/>
    </row>
    <row r="43" spans="1:9" ht="20.25" customHeight="1" thickBot="1" x14ac:dyDescent="0.3">
      <c r="A43" s="1156"/>
      <c r="B43" s="1156"/>
      <c r="C43" s="1138"/>
      <c r="D43" s="372">
        <v>800</v>
      </c>
      <c r="E43" s="395" t="s">
        <v>4</v>
      </c>
      <c r="F43" s="395" t="s">
        <v>120</v>
      </c>
      <c r="G43" s="366">
        <f>SUMIF('movim_carico e scarico_2025'!C:C,160215,'movim_carico e scarico_2025'!D:D)</f>
        <v>0</v>
      </c>
      <c r="H43" s="211">
        <f>SUMIF('movim_carico e scarico_2025'!C:C,160215,'movim_carico e scarico_2025'!D:D)-(SUMIF('movim_carico e scarico_2025'!C:C,160215,'movim_carico e scarico_2025'!E:E))</f>
        <v>0</v>
      </c>
      <c r="I43" s="410"/>
    </row>
    <row r="44" spans="1:9" ht="20.25" customHeight="1" thickTop="1" thickBot="1" x14ac:dyDescent="0.3">
      <c r="A44" s="1139" t="s">
        <v>412</v>
      </c>
      <c r="B44" s="1139">
        <v>160216</v>
      </c>
      <c r="C44" s="1139" t="s">
        <v>229</v>
      </c>
      <c r="D44" s="350"/>
      <c r="E44" s="351" t="s">
        <v>3</v>
      </c>
      <c r="F44" s="351"/>
      <c r="G44" s="359"/>
      <c r="H44" s="252"/>
    </row>
    <row r="45" spans="1:9" ht="20.25" customHeight="1" thickBot="1" x14ac:dyDescent="0.3">
      <c r="A45" s="1157"/>
      <c r="B45" s="1157"/>
      <c r="C45" s="1140"/>
      <c r="D45" s="354">
        <v>500</v>
      </c>
      <c r="E45" s="394" t="s">
        <v>4</v>
      </c>
      <c r="F45" s="394" t="s">
        <v>120</v>
      </c>
      <c r="G45" s="357">
        <f>SUMIF('movim_carico e scarico_2025'!C:C,160216,'movim_carico e scarico_2025'!D:D)</f>
        <v>0</v>
      </c>
      <c r="H45" s="211">
        <f>SUMIF('movim_carico e scarico_2025'!C:C,150216,'movim_carico e scarico_2025'!D:D)-(SUMIF('movim_carico e scarico_2025'!C:C,160216,'movim_carico e scarico_2025'!E:E))</f>
        <v>0</v>
      </c>
      <c r="I45" s="410"/>
    </row>
    <row r="46" spans="1:9" ht="20.25" customHeight="1" thickTop="1" thickBot="1" x14ac:dyDescent="0.3">
      <c r="A46" s="1137" t="s">
        <v>528</v>
      </c>
      <c r="B46" s="1137" t="s">
        <v>527</v>
      </c>
      <c r="C46" s="1137" t="s">
        <v>229</v>
      </c>
      <c r="D46" s="360">
        <v>900</v>
      </c>
      <c r="E46" s="398" t="s">
        <v>3</v>
      </c>
      <c r="F46" s="398" t="s">
        <v>121</v>
      </c>
      <c r="G46" s="367">
        <f>SUMIF('movim_carico e scarico_2025'!C:C,160303,'movim_carico e scarico_2025'!D:D)</f>
        <v>0</v>
      </c>
      <c r="H46" s="384">
        <f>SUMIF('movim_carico e scarico_2025'!C:C,160303,'movim_carico e scarico_2025'!D:D)-(SUMIF('movim_carico e scarico_2025'!C:C,160303,'movim_carico e scarico_2025'!E:E))</f>
        <v>0</v>
      </c>
      <c r="I46" s="410"/>
    </row>
    <row r="47" spans="1:9" ht="20.25" customHeight="1" thickBot="1" x14ac:dyDescent="0.3">
      <c r="A47" s="1151"/>
      <c r="B47" s="1151"/>
      <c r="C47" s="1138"/>
      <c r="D47" s="363"/>
      <c r="E47" s="369" t="s">
        <v>4</v>
      </c>
      <c r="F47" s="473"/>
      <c r="G47" s="363"/>
      <c r="H47" s="472"/>
    </row>
    <row r="48" spans="1:9" ht="20.25" customHeight="1" thickTop="1" thickBot="1" x14ac:dyDescent="0.3">
      <c r="A48" s="1158" t="s">
        <v>402</v>
      </c>
      <c r="B48" s="1158">
        <v>160505</v>
      </c>
      <c r="C48" s="1139" t="s">
        <v>229</v>
      </c>
      <c r="D48" s="349"/>
      <c r="E48" s="467" t="s">
        <v>3</v>
      </c>
      <c r="F48" s="351"/>
      <c r="G48" s="359"/>
      <c r="H48" s="252"/>
    </row>
    <row r="49" spans="1:9" ht="20.25" customHeight="1" thickBot="1" x14ac:dyDescent="0.3">
      <c r="A49" s="1157"/>
      <c r="B49" s="1157"/>
      <c r="C49" s="1140"/>
      <c r="D49" s="354">
        <v>1500</v>
      </c>
      <c r="E49" s="396" t="s">
        <v>4</v>
      </c>
      <c r="F49" s="465" t="s">
        <v>120</v>
      </c>
      <c r="G49" s="357">
        <f>SUMIF('movim_carico e scarico_2025'!C:C,160505,'movim_carico e scarico_2025'!D:D)</f>
        <v>0</v>
      </c>
      <c r="H49" s="211">
        <f>SUMIF('movim_carico e scarico_2025'!C:C,160505,'movim_carico e scarico_2025'!D:D)-(SUMIF('movim_carico e scarico_2025'!C:C,160505,'movim_carico e scarico_2025'!E:E))</f>
        <v>0</v>
      </c>
      <c r="I49" s="410"/>
    </row>
    <row r="50" spans="1:9" ht="20.25" customHeight="1" thickTop="1" thickBot="1" x14ac:dyDescent="0.3">
      <c r="A50" s="1137" t="s">
        <v>127</v>
      </c>
      <c r="B50" s="1137" t="s">
        <v>245</v>
      </c>
      <c r="C50" s="1137" t="s">
        <v>229</v>
      </c>
      <c r="D50" s="360"/>
      <c r="E50" s="398" t="s">
        <v>3</v>
      </c>
      <c r="F50" s="398" t="s">
        <v>121</v>
      </c>
      <c r="G50" s="367"/>
      <c r="H50" s="252"/>
      <c r="I50" s="410"/>
    </row>
    <row r="51" spans="1:9" ht="20.25" customHeight="1" thickBot="1" x14ac:dyDescent="0.3">
      <c r="A51" s="1151"/>
      <c r="B51" s="1151"/>
      <c r="C51" s="1138"/>
      <c r="D51" s="372">
        <v>1000</v>
      </c>
      <c r="E51" s="543" t="s">
        <v>4</v>
      </c>
      <c r="F51" s="544" t="s">
        <v>120</v>
      </c>
      <c r="G51" s="363">
        <f>SUMIF('movim_carico e scarico_2025'!C:C,160506,'movim_carico e scarico_2025'!D:D)</f>
        <v>0</v>
      </c>
      <c r="H51" s="251">
        <f>SUMIF('movim_carico e scarico_2025'!C:C,160506,'movim_carico e scarico_2025'!D:D)-(SUMIF('movim_carico e scarico_2025'!C:C,160506,'movim_carico e scarico_2025'!E:E))</f>
        <v>0</v>
      </c>
      <c r="I51" s="410"/>
    </row>
    <row r="52" spans="1:9" ht="20.25" customHeight="1" thickTop="1" thickBot="1" x14ac:dyDescent="0.3">
      <c r="A52" s="1139" t="s">
        <v>409</v>
      </c>
      <c r="B52" s="1139" t="s">
        <v>408</v>
      </c>
      <c r="C52" s="1139" t="s">
        <v>229</v>
      </c>
      <c r="D52" s="350">
        <v>900</v>
      </c>
      <c r="E52" s="397" t="s">
        <v>3</v>
      </c>
      <c r="F52" s="468" t="s">
        <v>121</v>
      </c>
      <c r="G52" s="353">
        <f>SUMIF('movim_carico e scarico_2025'!C:C,161001,'movim_carico e scarico_2025'!D:D)</f>
        <v>0</v>
      </c>
      <c r="H52" s="252">
        <f>SUMIF('movim_carico e scarico_2025'!C:C,161001,'movim_carico e scarico_2025'!D:D)-(SUMIF('movim_carico e scarico_2025'!C:C,161001,'movim_carico e scarico_2025'!E:E))</f>
        <v>0</v>
      </c>
      <c r="I52" s="410"/>
    </row>
    <row r="53" spans="1:9" ht="20.25" customHeight="1" thickBot="1" x14ac:dyDescent="0.3">
      <c r="A53" s="1157"/>
      <c r="B53" s="1152"/>
      <c r="C53" s="1140"/>
      <c r="D53" s="382"/>
      <c r="E53" s="356" t="s">
        <v>4</v>
      </c>
      <c r="F53" s="469"/>
      <c r="G53" s="355"/>
      <c r="H53" s="251"/>
    </row>
    <row r="54" spans="1:9" ht="20.25" customHeight="1" thickTop="1" thickBot="1" x14ac:dyDescent="0.3">
      <c r="A54" s="1155" t="s">
        <v>416</v>
      </c>
      <c r="B54" s="1137">
        <v>170203</v>
      </c>
      <c r="C54" s="1137" t="s">
        <v>229</v>
      </c>
      <c r="D54" s="360"/>
      <c r="E54" s="361" t="s">
        <v>3</v>
      </c>
      <c r="F54" s="361"/>
      <c r="G54" s="366"/>
      <c r="H54" s="212"/>
    </row>
    <row r="55" spans="1:9" ht="20.25" customHeight="1" thickBot="1" x14ac:dyDescent="0.3">
      <c r="A55" s="1151"/>
      <c r="B55" s="1156"/>
      <c r="C55" s="1138"/>
      <c r="D55" s="372">
        <v>500</v>
      </c>
      <c r="E55" s="395" t="s">
        <v>4</v>
      </c>
      <c r="F55" s="395" t="s">
        <v>120</v>
      </c>
      <c r="G55" s="366">
        <f>SUMIF('movim_carico e scarico_2025'!C:C,170203,'movim_carico e scarico_2025'!D:D)</f>
        <v>220</v>
      </c>
      <c r="H55" s="385">
        <f>SUMIF('movim_carico e scarico_2025'!C:C,170203,'movim_carico e scarico_2025'!D:D)-(SUMIF('movim_carico e scarico_2025'!C:C,170203,'movim_carico e scarico_2025'!E:E))</f>
        <v>-260</v>
      </c>
      <c r="I55" s="410"/>
    </row>
    <row r="56" spans="1:9" ht="20.25" customHeight="1" thickTop="1" thickBot="1" x14ac:dyDescent="0.3">
      <c r="A56" s="1139" t="s">
        <v>126</v>
      </c>
      <c r="B56" s="1139">
        <v>170405</v>
      </c>
      <c r="C56" s="1139" t="s">
        <v>229</v>
      </c>
      <c r="D56" s="350"/>
      <c r="E56" s="351" t="s">
        <v>3</v>
      </c>
      <c r="F56" s="351"/>
      <c r="G56" s="352"/>
      <c r="H56" s="213"/>
    </row>
    <row r="57" spans="1:9" ht="20.25" customHeight="1" thickBot="1" x14ac:dyDescent="0.3">
      <c r="A57" s="1157"/>
      <c r="B57" s="1157"/>
      <c r="C57" s="1140"/>
      <c r="D57" s="349">
        <v>460</v>
      </c>
      <c r="E57" s="399" t="s">
        <v>4</v>
      </c>
      <c r="F57" s="400" t="s">
        <v>123</v>
      </c>
      <c r="G57" s="357">
        <f>SUMIF('movim_carico e scarico_2025'!C:C,170405,'movim_carico e scarico_2025'!D:D)</f>
        <v>3728</v>
      </c>
      <c r="H57" s="385">
        <f>SUMIF('movim_carico e scarico_2025'!C:C,170405,'movim_carico e scarico_2025'!D:D)-(SUMIF('movim_carico e scarico_2025'!C:C,170405,'movim_carico e scarico_2025'!E:E))</f>
        <v>-1152</v>
      </c>
      <c r="I57" s="410"/>
    </row>
    <row r="58" spans="1:9" ht="20.25" customHeight="1" thickTop="1" thickBot="1" x14ac:dyDescent="0.3">
      <c r="A58" s="1153" t="s">
        <v>125</v>
      </c>
      <c r="B58" s="1137" t="s">
        <v>124</v>
      </c>
      <c r="C58" s="1137" t="s">
        <v>229</v>
      </c>
      <c r="D58" s="360">
        <v>2000</v>
      </c>
      <c r="E58" s="470" t="s">
        <v>3</v>
      </c>
      <c r="F58" s="398" t="s">
        <v>121</v>
      </c>
      <c r="G58" s="366">
        <f>SUMIF('movim_carico e scarico_2025'!C:C,170603,'movim_carico e scarico_2025'!D:D)</f>
        <v>0</v>
      </c>
      <c r="H58" s="252">
        <f>SUMIF('movim_carico e scarico_2025'!C:C,170603,'movim_carico e scarico_2025'!D:D)-(SUMIF('movim_carico e scarico_2025'!C:C,170603,'movim_carico e scarico_2025'!E:E))</f>
        <v>0</v>
      </c>
      <c r="I58" s="410"/>
    </row>
    <row r="59" spans="1:9" ht="20.25" customHeight="1" thickBot="1" x14ac:dyDescent="0.3">
      <c r="A59" s="1154"/>
      <c r="B59" s="1151"/>
      <c r="C59" s="1138"/>
      <c r="D59" s="368"/>
      <c r="E59" s="369" t="s">
        <v>4</v>
      </c>
      <c r="F59" s="369"/>
      <c r="G59" s="370"/>
      <c r="H59" s="251"/>
    </row>
    <row r="60" spans="1:9" ht="20.25" customHeight="1" thickTop="1" thickBot="1" x14ac:dyDescent="0.3">
      <c r="A60" s="1139" t="s">
        <v>474</v>
      </c>
      <c r="B60" s="1139">
        <v>170604</v>
      </c>
      <c r="C60" s="1139" t="s">
        <v>229</v>
      </c>
      <c r="D60" s="350"/>
      <c r="E60" s="351" t="s">
        <v>3</v>
      </c>
      <c r="F60" s="351"/>
      <c r="G60" s="466"/>
      <c r="H60" s="213"/>
    </row>
    <row r="61" spans="1:9" ht="20.25" customHeight="1" thickBot="1" x14ac:dyDescent="0.3">
      <c r="A61" s="1157"/>
      <c r="B61" s="1157"/>
      <c r="C61" s="1140"/>
      <c r="D61" s="349">
        <v>1200</v>
      </c>
      <c r="E61" s="399" t="s">
        <v>4</v>
      </c>
      <c r="F61" s="396" t="s">
        <v>120</v>
      </c>
      <c r="G61" s="357">
        <f>SUMIF('movim_carico e scarico_2025'!C:C,170604,'movim_carico e scarico_2025'!D:D)</f>
        <v>0</v>
      </c>
      <c r="H61" s="211">
        <f>SUMIF('movim_carico e scarico_2025'!C:C,170604,'movim_carico e scarico_2025'!D:D)-(SUMIF('movim_carico e scarico_2025'!C:C,170604,'movim_carico e scarico_2025'!E:E))</f>
        <v>0</v>
      </c>
      <c r="I61" s="410"/>
    </row>
    <row r="62" spans="1:9" ht="20.25" customHeight="1" thickTop="1" thickBot="1" x14ac:dyDescent="0.3">
      <c r="A62" s="1137" t="s">
        <v>413</v>
      </c>
      <c r="B62" s="1137">
        <v>170904</v>
      </c>
      <c r="C62" s="1137" t="s">
        <v>229</v>
      </c>
      <c r="D62" s="360">
        <v>700</v>
      </c>
      <c r="E62" s="398" t="s">
        <v>3</v>
      </c>
      <c r="F62" s="398" t="s">
        <v>118</v>
      </c>
      <c r="G62" s="366">
        <f>SUMIF('movim_carico e scarico_2025'!C:C,170904,'movim_carico e scarico_2025'!D:D)</f>
        <v>0</v>
      </c>
      <c r="H62" s="384">
        <f>SUMIF('movim_carico e scarico_2025'!C:C,170904,'movim_carico e scarico_2025'!D:D)-(SUMIF('movim_carico e scarico_2025'!C:C,170904,'movim_carico e scarico_2025'!E:E))</f>
        <v>0</v>
      </c>
      <c r="I62" s="410"/>
    </row>
    <row r="63" spans="1:9" ht="20.25" customHeight="1" thickBot="1" x14ac:dyDescent="0.3">
      <c r="A63" s="1156"/>
      <c r="B63" s="1156"/>
      <c r="C63" s="1138"/>
      <c r="D63" s="368"/>
      <c r="E63" s="364" t="s">
        <v>4</v>
      </c>
      <c r="F63" s="364"/>
      <c r="G63" s="365"/>
      <c r="H63" s="385"/>
    </row>
    <row r="64" spans="1:9" ht="20.25" customHeight="1" thickTop="1" thickBot="1" x14ac:dyDescent="0.3">
      <c r="A64" s="1139" t="s">
        <v>41</v>
      </c>
      <c r="B64" s="1139">
        <v>190906</v>
      </c>
      <c r="C64" s="1139" t="s">
        <v>229</v>
      </c>
      <c r="D64" s="350">
        <v>1000</v>
      </c>
      <c r="E64" s="397" t="s">
        <v>3</v>
      </c>
      <c r="F64" s="397" t="s">
        <v>119</v>
      </c>
      <c r="G64" s="353">
        <f>SUMIF('movim_carico e scarico_2025'!C:C,190906,'movim_carico e scarico_2025'!D:D)</f>
        <v>0</v>
      </c>
      <c r="H64" s="384">
        <f>SUMIF('movim_carico e scarico_2025'!C:C,190906,'movim_carico e scarico_2025'!D:D)-(SUMIF('movim_carico e scarico_2025'!C:C,190906,'movim_carico e scarico_2025'!E:E))</f>
        <v>0</v>
      </c>
      <c r="I64" s="410"/>
    </row>
    <row r="65" spans="1:10" ht="20.25" customHeight="1" thickBot="1" x14ac:dyDescent="0.3">
      <c r="A65" s="1157"/>
      <c r="B65" s="1157"/>
      <c r="C65" s="1140"/>
      <c r="D65" s="358"/>
      <c r="E65" s="464" t="s">
        <v>4</v>
      </c>
      <c r="F65" s="464"/>
      <c r="G65" s="355"/>
      <c r="H65" s="385"/>
    </row>
    <row r="66" spans="1:10" ht="20.25" customHeight="1" thickTop="1" thickBot="1" x14ac:dyDescent="0.3">
      <c r="A66" s="1137" t="s">
        <v>322</v>
      </c>
      <c r="B66" s="1137">
        <v>200101</v>
      </c>
      <c r="C66" s="1137" t="s">
        <v>229</v>
      </c>
      <c r="D66" s="371"/>
      <c r="E66" s="361" t="s">
        <v>3</v>
      </c>
      <c r="F66" s="361"/>
      <c r="G66" s="362"/>
      <c r="H66" s="384"/>
    </row>
    <row r="67" spans="1:10" ht="20.25" customHeight="1" thickBot="1" x14ac:dyDescent="0.3">
      <c r="A67" s="1156"/>
      <c r="B67" s="1156"/>
      <c r="C67" s="1138"/>
      <c r="D67" s="371">
        <v>925</v>
      </c>
      <c r="E67" s="401" t="s">
        <v>4</v>
      </c>
      <c r="F67" s="403" t="s">
        <v>323</v>
      </c>
      <c r="G67" s="365">
        <f>SUMIF('movim_carico e scarico_2025'!C:C,200101,'movim_carico e scarico_2025'!D:D)</f>
        <v>0</v>
      </c>
      <c r="H67" s="383">
        <f>SUMIF('movim_carico e scarico_2025'!C:C,200101,'movim_carico e scarico_2025'!D:D)-(SUMIF('movim_carico e scarico_2025'!C:C,200101,'movim_carico e scarico_2025'!E:E))</f>
        <v>0</v>
      </c>
      <c r="I67" s="410"/>
    </row>
    <row r="68" spans="1:10" ht="14.4" thickTop="1" thickBot="1" x14ac:dyDescent="0.3">
      <c r="A68" s="1139" t="s">
        <v>84</v>
      </c>
      <c r="B68" s="1139" t="s">
        <v>83</v>
      </c>
      <c r="C68" s="1139" t="s">
        <v>229</v>
      </c>
      <c r="D68" s="350"/>
      <c r="E68" s="351" t="s">
        <v>3</v>
      </c>
      <c r="F68" s="351" t="s">
        <v>118</v>
      </c>
      <c r="G68" s="353"/>
      <c r="H68" s="384"/>
    </row>
    <row r="69" spans="1:10" ht="20.25" customHeight="1" thickBot="1" x14ac:dyDescent="0.3">
      <c r="A69" s="1152"/>
      <c r="B69" s="1152"/>
      <c r="C69" s="1140"/>
      <c r="D69" s="354">
        <v>400</v>
      </c>
      <c r="E69" s="396" t="s">
        <v>4</v>
      </c>
      <c r="F69" s="396" t="s">
        <v>120</v>
      </c>
      <c r="G69" s="357">
        <f>SUMIF('movim_carico e scarico_2025'!C:C,200121,'movim_carico e scarico_2025'!D:D)</f>
        <v>40</v>
      </c>
      <c r="H69" s="385">
        <f>SUMIF('movim_carico e scarico_2025'!C:C,200121,'movim_carico e scarico_2025'!D:D)-(SUMIF('movim_carico e scarico_2025'!C:C,200121,'movim_carico e scarico_2025'!E:E))</f>
        <v>-100</v>
      </c>
      <c r="I69" s="410"/>
    </row>
    <row r="70" spans="1:10" ht="20.25" customHeight="1" thickTop="1" thickBot="1" x14ac:dyDescent="0.3">
      <c r="A70" s="1137" t="s">
        <v>237</v>
      </c>
      <c r="B70" s="1137">
        <v>200304</v>
      </c>
      <c r="C70" s="1137" t="s">
        <v>229</v>
      </c>
      <c r="D70" s="360">
        <v>900</v>
      </c>
      <c r="E70" s="398" t="s">
        <v>3</v>
      </c>
      <c r="F70" s="398" t="s">
        <v>119</v>
      </c>
      <c r="G70" s="366">
        <f>SUMIF('movim_carico e scarico_2025'!C:C,200304,'movim_carico e scarico_2025'!D:D)</f>
        <v>0</v>
      </c>
      <c r="H70" s="386">
        <f>SUMIF('movim_carico e scarico_2025'!C:C,200304,'movim_carico e scarico_2025'!D:D)-(SUMIF('movim_carico e scarico_2025'!C:C,200304,'movim_carico e scarico_2025'!E:E))</f>
        <v>0</v>
      </c>
      <c r="I70" s="410"/>
    </row>
    <row r="71" spans="1:10" ht="20.25" customHeight="1" thickBot="1" x14ac:dyDescent="0.3">
      <c r="A71" s="1151"/>
      <c r="B71" s="1151"/>
      <c r="C71" s="1138"/>
      <c r="D71" s="368"/>
      <c r="E71" s="369" t="s">
        <v>4</v>
      </c>
      <c r="F71" s="369"/>
      <c r="G71" s="471"/>
      <c r="H71" s="433"/>
    </row>
    <row r="72" spans="1:10" ht="39" customHeight="1" thickTop="1" thickBot="1" x14ac:dyDescent="0.3">
      <c r="A72" s="208"/>
      <c r="B72" s="208"/>
      <c r="C72" s="173"/>
      <c r="D72" s="173"/>
      <c r="E72" s="208"/>
      <c r="F72" s="208"/>
      <c r="G72" s="209"/>
      <c r="H72" s="432">
        <f>SUM(H4:H71)</f>
        <v>-1512</v>
      </c>
      <c r="I72" s="1135" t="s">
        <v>307</v>
      </c>
      <c r="J72" s="1136"/>
    </row>
    <row r="73" spans="1:10" ht="12" customHeight="1" x14ac:dyDescent="0.25"/>
    <row r="74" spans="1:10" s="12" customFormat="1" ht="30.75" customHeight="1" thickBot="1" x14ac:dyDescent="0.3">
      <c r="A74" s="82"/>
      <c r="B74" s="82"/>
      <c r="C74" s="82"/>
      <c r="D74" s="82"/>
      <c r="E74" s="83"/>
      <c r="F74" s="83"/>
      <c r="G74" s="428"/>
    </row>
    <row r="75" spans="1:10" s="12" customFormat="1" ht="15.75" customHeight="1" thickTop="1" thickBot="1" x14ac:dyDescent="0.3">
      <c r="A75" s="79" t="s">
        <v>91</v>
      </c>
      <c r="B75" s="80"/>
      <c r="C75" s="80"/>
      <c r="D75" s="80"/>
      <c r="E75" s="81"/>
      <c r="F75" s="81"/>
      <c r="G75" s="429"/>
    </row>
    <row r="76" spans="1:10" ht="16.8" thickTop="1" x14ac:dyDescent="0.4">
      <c r="A76" s="74" t="s">
        <v>87</v>
      </c>
      <c r="B76" s="73"/>
      <c r="C76" s="73"/>
      <c r="D76" s="73"/>
      <c r="E76" s="75"/>
      <c r="F76" s="75"/>
      <c r="G76" s="430"/>
    </row>
    <row r="77" spans="1:10" ht="16.2" x14ac:dyDescent="0.4">
      <c r="A77" s="160" t="s">
        <v>89</v>
      </c>
      <c r="B77" s="161"/>
      <c r="C77" s="161"/>
      <c r="D77" s="161"/>
      <c r="E77" s="162"/>
      <c r="F77" s="162"/>
      <c r="G77" s="431"/>
    </row>
    <row r="78" spans="1:10" ht="16.2" x14ac:dyDescent="0.4">
      <c r="A78" s="163" t="s">
        <v>202</v>
      </c>
      <c r="B78" s="164"/>
      <c r="C78" s="164"/>
      <c r="D78" s="164"/>
      <c r="E78" s="165"/>
      <c r="F78" s="165"/>
      <c r="G78" s="431"/>
    </row>
    <row r="79" spans="1:10" ht="16.2" x14ac:dyDescent="0.4">
      <c r="A79" s="163" t="s">
        <v>200</v>
      </c>
      <c r="B79" s="164"/>
      <c r="C79" s="164"/>
      <c r="D79" s="164"/>
      <c r="E79" s="165"/>
      <c r="F79" s="165"/>
      <c r="G79" s="431"/>
    </row>
    <row r="80" spans="1:10" ht="16.2" x14ac:dyDescent="0.4">
      <c r="A80" s="163" t="s">
        <v>201</v>
      </c>
      <c r="B80" s="164"/>
      <c r="C80" s="164"/>
      <c r="D80" s="164"/>
      <c r="E80" s="165"/>
      <c r="F80" s="165"/>
      <c r="G80" s="431"/>
    </row>
    <row r="81" spans="1:7" ht="16.8" thickBot="1" x14ac:dyDescent="0.45">
      <c r="A81" s="166" t="s">
        <v>203</v>
      </c>
      <c r="B81" s="167"/>
      <c r="C81" s="167"/>
      <c r="D81" s="167"/>
      <c r="E81" s="168"/>
      <c r="F81" s="168"/>
      <c r="G81" s="431"/>
    </row>
    <row r="82" spans="1:7" ht="16.8" thickTop="1" x14ac:dyDescent="0.4">
      <c r="A82" s="74" t="s">
        <v>88</v>
      </c>
      <c r="B82" s="73"/>
      <c r="C82" s="73"/>
      <c r="D82" s="73"/>
      <c r="E82" s="75"/>
      <c r="F82" s="75"/>
      <c r="G82" s="430"/>
    </row>
    <row r="83" spans="1:7" ht="16.8" thickBot="1" x14ac:dyDescent="0.45">
      <c r="A83" s="76" t="s">
        <v>90</v>
      </c>
      <c r="B83" s="77"/>
      <c r="C83" s="77"/>
      <c r="D83" s="77"/>
      <c r="E83" s="78"/>
      <c r="F83" s="78"/>
      <c r="G83" s="431"/>
    </row>
    <row r="84" spans="1:7" ht="16.8" thickTop="1" x14ac:dyDescent="0.4">
      <c r="A84" s="1"/>
      <c r="B84" s="1"/>
      <c r="C84" s="1"/>
      <c r="D84" s="1"/>
      <c r="E84" s="1"/>
      <c r="F84" s="1"/>
    </row>
    <row r="85" spans="1:7" ht="16.2" x14ac:dyDescent="0.4">
      <c r="A85" s="1"/>
      <c r="B85" s="1"/>
      <c r="C85" s="1"/>
      <c r="D85" s="1"/>
      <c r="E85" s="1"/>
      <c r="F85" s="1"/>
    </row>
    <row r="86" spans="1:7" ht="16.2" x14ac:dyDescent="0.4">
      <c r="A86" s="1"/>
      <c r="B86" s="1"/>
      <c r="C86" s="1"/>
      <c r="D86" s="1"/>
      <c r="E86" s="1"/>
      <c r="F86" s="1"/>
    </row>
    <row r="87" spans="1:7" ht="16.2" x14ac:dyDescent="0.4">
      <c r="A87" s="1"/>
      <c r="B87" s="1"/>
      <c r="C87" s="1"/>
      <c r="D87" s="1"/>
      <c r="E87" s="1"/>
      <c r="F87" s="1"/>
    </row>
    <row r="88" spans="1:7" ht="16.2" x14ac:dyDescent="0.4">
      <c r="A88" s="1"/>
      <c r="B88" s="1"/>
      <c r="C88" s="1"/>
      <c r="D88" s="1"/>
      <c r="E88" s="1"/>
      <c r="F88" s="1"/>
    </row>
    <row r="89" spans="1:7" ht="16.2" x14ac:dyDescent="0.4">
      <c r="A89" s="1"/>
      <c r="B89" s="1"/>
      <c r="C89" s="1"/>
      <c r="D89" s="1"/>
      <c r="E89" s="1"/>
      <c r="F89" s="1"/>
    </row>
    <row r="90" spans="1:7" ht="22.5" customHeight="1" x14ac:dyDescent="0.4">
      <c r="A90" s="1"/>
      <c r="B90" s="1"/>
      <c r="C90" s="1"/>
      <c r="D90" s="1"/>
      <c r="E90" s="1"/>
      <c r="F90" s="1"/>
    </row>
    <row r="91" spans="1:7" ht="22.5" customHeight="1" x14ac:dyDescent="0.4">
      <c r="A91" s="1"/>
      <c r="B91" s="1"/>
      <c r="C91" s="1"/>
      <c r="D91" s="1"/>
      <c r="E91" s="1"/>
      <c r="F91" s="1"/>
    </row>
    <row r="92" spans="1:7" ht="16.2" x14ac:dyDescent="0.4">
      <c r="A92" s="1"/>
      <c r="B92" s="1"/>
      <c r="C92" s="1"/>
      <c r="D92" s="1"/>
      <c r="E92" s="1"/>
      <c r="F92" s="1"/>
    </row>
    <row r="93" spans="1:7" ht="25.5" customHeight="1" x14ac:dyDescent="0.4">
      <c r="A93" s="1"/>
      <c r="B93" s="1"/>
      <c r="C93" s="1"/>
      <c r="D93" s="1"/>
      <c r="E93" s="1"/>
      <c r="F93" s="1"/>
    </row>
    <row r="94" spans="1:7" ht="16.2" x14ac:dyDescent="0.4">
      <c r="A94" s="1"/>
      <c r="B94" s="1"/>
      <c r="C94" s="1"/>
      <c r="D94" s="1"/>
      <c r="E94" s="1"/>
      <c r="F94" s="1"/>
    </row>
    <row r="95" spans="1:7" ht="20.25" customHeight="1" x14ac:dyDescent="0.4">
      <c r="A95" s="1"/>
      <c r="B95" s="1"/>
      <c r="C95" s="1"/>
      <c r="D95" s="1"/>
      <c r="E95" s="1"/>
      <c r="F95" s="1"/>
    </row>
    <row r="96" spans="1:7" ht="16.2" x14ac:dyDescent="0.4">
      <c r="A96" s="1"/>
      <c r="B96" s="1"/>
      <c r="C96" s="1"/>
      <c r="D96" s="1"/>
      <c r="E96" s="1"/>
      <c r="F96" s="1"/>
    </row>
    <row r="97" spans="1:6" ht="20.25" customHeight="1" x14ac:dyDescent="0.4">
      <c r="A97" s="1"/>
      <c r="B97" s="1"/>
      <c r="C97" s="1"/>
      <c r="D97" s="1"/>
      <c r="E97" s="1"/>
      <c r="F97" s="1"/>
    </row>
    <row r="98" spans="1:6" ht="16.2" x14ac:dyDescent="0.4">
      <c r="A98" s="1"/>
      <c r="B98" s="1"/>
      <c r="C98" s="1"/>
      <c r="D98" s="1"/>
      <c r="E98" s="1"/>
      <c r="F98" s="1"/>
    </row>
    <row r="99" spans="1:6" ht="20.25" customHeight="1" x14ac:dyDescent="0.4">
      <c r="A99" s="1"/>
      <c r="B99" s="1"/>
      <c r="C99" s="1"/>
      <c r="D99" s="1"/>
      <c r="E99" s="1"/>
      <c r="F99" s="1"/>
    </row>
    <row r="100" spans="1:6" ht="16.2" x14ac:dyDescent="0.4">
      <c r="A100" s="1"/>
      <c r="B100" s="1"/>
      <c r="C100" s="1"/>
      <c r="D100" s="1"/>
      <c r="E100" s="1"/>
      <c r="F100" s="1"/>
    </row>
    <row r="101" spans="1:6" ht="20.25" customHeight="1" x14ac:dyDescent="0.4">
      <c r="A101" s="1"/>
      <c r="B101" s="1"/>
      <c r="C101" s="1"/>
      <c r="D101" s="1"/>
      <c r="E101" s="1"/>
      <c r="F101" s="1"/>
    </row>
    <row r="102" spans="1:6" ht="16.2" x14ac:dyDescent="0.4">
      <c r="A102" s="1"/>
      <c r="B102" s="1"/>
      <c r="C102" s="1"/>
      <c r="D102" s="1"/>
      <c r="E102" s="1"/>
      <c r="F102" s="1"/>
    </row>
    <row r="103" spans="1:6" ht="20.25" customHeight="1" x14ac:dyDescent="0.4">
      <c r="A103" s="1"/>
      <c r="B103" s="1"/>
      <c r="C103" s="1"/>
      <c r="D103" s="1"/>
      <c r="E103" s="1"/>
      <c r="F103" s="1"/>
    </row>
    <row r="104" spans="1:6" ht="16.2" x14ac:dyDescent="0.4">
      <c r="A104" s="1"/>
      <c r="B104" s="1"/>
      <c r="C104" s="1"/>
      <c r="D104" s="1"/>
      <c r="E104" s="1"/>
      <c r="F104" s="1"/>
    </row>
    <row r="105" spans="1:6" ht="20.25" customHeight="1" x14ac:dyDescent="0.4">
      <c r="A105" s="1"/>
      <c r="B105" s="1"/>
      <c r="C105" s="1"/>
      <c r="D105" s="1"/>
      <c r="E105" s="1"/>
      <c r="F105" s="1"/>
    </row>
    <row r="106" spans="1:6" ht="16.2" x14ac:dyDescent="0.4">
      <c r="A106" s="1"/>
      <c r="B106" s="1"/>
      <c r="C106" s="1"/>
      <c r="D106" s="1"/>
      <c r="E106" s="1"/>
      <c r="F106" s="1"/>
    </row>
    <row r="107" spans="1:6" ht="20.25" customHeight="1" x14ac:dyDescent="0.4">
      <c r="A107" s="1"/>
      <c r="B107" s="1"/>
      <c r="C107" s="1"/>
      <c r="D107" s="1"/>
      <c r="E107" s="1"/>
      <c r="F107" s="1"/>
    </row>
    <row r="108" spans="1:6" ht="16.2" x14ac:dyDescent="0.4">
      <c r="A108" s="1"/>
      <c r="B108" s="1"/>
      <c r="C108" s="1"/>
      <c r="D108" s="1"/>
      <c r="E108" s="1"/>
      <c r="F108" s="1"/>
    </row>
    <row r="109" spans="1:6" ht="16.2" x14ac:dyDescent="0.4">
      <c r="A109" s="1"/>
      <c r="B109" s="1"/>
      <c r="C109" s="1"/>
      <c r="D109" s="1"/>
      <c r="E109" s="1"/>
      <c r="F109" s="1"/>
    </row>
    <row r="110" spans="1:6" ht="16.2" x14ac:dyDescent="0.4">
      <c r="A110" s="1"/>
      <c r="B110" s="1"/>
      <c r="C110" s="1"/>
      <c r="D110" s="1"/>
      <c r="E110" s="1"/>
      <c r="F110" s="1"/>
    </row>
    <row r="111" spans="1:6" ht="16.2" x14ac:dyDescent="0.4">
      <c r="A111" s="1"/>
      <c r="B111" s="1"/>
      <c r="C111" s="1"/>
      <c r="D111" s="1"/>
      <c r="E111" s="1"/>
      <c r="F111" s="1"/>
    </row>
    <row r="112" spans="1:6" ht="16.2" x14ac:dyDescent="0.4">
      <c r="A112" s="1"/>
      <c r="B112" s="1"/>
      <c r="C112" s="1"/>
      <c r="D112" s="1"/>
      <c r="E112" s="1"/>
      <c r="F112" s="1"/>
    </row>
    <row r="113" spans="1:6" ht="16.2" x14ac:dyDescent="0.4">
      <c r="A113" s="1"/>
      <c r="B113" s="1"/>
      <c r="C113" s="1"/>
      <c r="D113" s="1"/>
      <c r="E113" s="1"/>
      <c r="F113" s="1"/>
    </row>
    <row r="114" spans="1:6" ht="16.2" x14ac:dyDescent="0.4">
      <c r="A114" s="1"/>
      <c r="B114" s="1"/>
      <c r="C114" s="1"/>
      <c r="D114" s="1"/>
      <c r="E114" s="1"/>
      <c r="F114" s="1"/>
    </row>
    <row r="115" spans="1:6" ht="16.2" x14ac:dyDescent="0.4">
      <c r="A115" s="1"/>
      <c r="B115" s="1"/>
      <c r="C115" s="1"/>
      <c r="D115" s="1"/>
      <c r="E115" s="1"/>
      <c r="F115" s="1"/>
    </row>
    <row r="116" spans="1:6" ht="16.2" x14ac:dyDescent="0.4">
      <c r="A116" s="1"/>
      <c r="B116" s="1"/>
      <c r="C116" s="1"/>
      <c r="D116" s="1"/>
      <c r="E116" s="1"/>
      <c r="F116" s="1"/>
    </row>
    <row r="117" spans="1:6" ht="16.2" x14ac:dyDescent="0.4">
      <c r="A117" s="1"/>
      <c r="B117" s="1"/>
      <c r="C117" s="1"/>
      <c r="D117" s="1"/>
      <c r="E117" s="1"/>
      <c r="F117" s="1"/>
    </row>
    <row r="118" spans="1:6" ht="16.2" x14ac:dyDescent="0.4">
      <c r="A118" s="1"/>
      <c r="B118" s="1"/>
      <c r="C118" s="1"/>
      <c r="D118" s="1"/>
      <c r="E118" s="1"/>
      <c r="F118" s="1"/>
    </row>
    <row r="119" spans="1:6" ht="16.2" x14ac:dyDescent="0.4">
      <c r="A119" s="1"/>
      <c r="B119" s="1"/>
      <c r="C119" s="1"/>
      <c r="D119" s="1"/>
      <c r="E119" s="1"/>
      <c r="F119" s="1"/>
    </row>
    <row r="120" spans="1:6" ht="16.2" x14ac:dyDescent="0.4">
      <c r="A120" s="1"/>
      <c r="B120" s="1"/>
      <c r="C120" s="1"/>
      <c r="D120" s="1"/>
      <c r="E120" s="1"/>
      <c r="F120" s="1"/>
    </row>
    <row r="121" spans="1:6" ht="16.2" x14ac:dyDescent="0.4">
      <c r="A121" s="1"/>
      <c r="B121" s="1"/>
      <c r="C121" s="1"/>
      <c r="D121" s="1"/>
      <c r="E121" s="1"/>
      <c r="F121" s="1"/>
    </row>
    <row r="122" spans="1:6" ht="16.2" x14ac:dyDescent="0.4">
      <c r="A122" s="1"/>
      <c r="B122" s="1"/>
      <c r="C122" s="1"/>
      <c r="D122" s="1"/>
      <c r="E122" s="1"/>
      <c r="F122" s="1"/>
    </row>
    <row r="123" spans="1:6" ht="16.2" x14ac:dyDescent="0.4">
      <c r="A123" s="1"/>
      <c r="B123" s="1"/>
      <c r="C123" s="1"/>
      <c r="D123" s="1"/>
      <c r="E123" s="1"/>
      <c r="F123" s="1"/>
    </row>
    <row r="124" spans="1:6" ht="16.2" x14ac:dyDescent="0.4">
      <c r="A124" s="1"/>
      <c r="B124" s="1"/>
      <c r="C124" s="1"/>
      <c r="D124" s="1"/>
      <c r="E124" s="1"/>
      <c r="F124" s="1"/>
    </row>
    <row r="125" spans="1:6" ht="16.2" x14ac:dyDescent="0.4">
      <c r="A125" s="1"/>
      <c r="B125" s="1"/>
      <c r="C125" s="1"/>
      <c r="D125" s="1"/>
      <c r="E125" s="1"/>
      <c r="F125" s="1"/>
    </row>
    <row r="126" spans="1:6" ht="16.2" x14ac:dyDescent="0.4">
      <c r="A126" s="1"/>
      <c r="B126" s="1"/>
      <c r="C126" s="1"/>
      <c r="D126" s="1"/>
      <c r="E126" s="1"/>
      <c r="F126" s="1"/>
    </row>
    <row r="127" spans="1:6" ht="16.2" x14ac:dyDescent="0.4">
      <c r="A127" s="1"/>
      <c r="B127" s="1"/>
      <c r="C127" s="1"/>
      <c r="D127" s="1"/>
      <c r="E127" s="1"/>
      <c r="F127" s="1"/>
    </row>
    <row r="128" spans="1:6" ht="16.2" x14ac:dyDescent="0.4">
      <c r="A128" s="1"/>
      <c r="B128" s="1"/>
      <c r="C128" s="1"/>
      <c r="D128" s="1"/>
      <c r="E128" s="1"/>
      <c r="F128" s="1"/>
    </row>
    <row r="129" spans="1:6" ht="16.2" x14ac:dyDescent="0.4">
      <c r="A129" s="1"/>
      <c r="B129" s="1"/>
      <c r="C129" s="1"/>
      <c r="D129" s="1"/>
      <c r="E129" s="1"/>
      <c r="F129" s="1"/>
    </row>
    <row r="130" spans="1:6" ht="16.2" x14ac:dyDescent="0.4">
      <c r="A130" s="1"/>
      <c r="B130" s="1"/>
      <c r="C130" s="1"/>
      <c r="D130" s="1"/>
      <c r="E130" s="1"/>
      <c r="F130" s="1"/>
    </row>
    <row r="131" spans="1:6" ht="16.2" x14ac:dyDescent="0.4">
      <c r="A131" s="1"/>
      <c r="B131" s="1"/>
      <c r="C131" s="1"/>
      <c r="D131" s="1"/>
      <c r="E131" s="1"/>
      <c r="F131" s="1"/>
    </row>
    <row r="132" spans="1:6" ht="16.2" x14ac:dyDescent="0.4">
      <c r="A132" s="1"/>
      <c r="B132" s="1"/>
      <c r="C132" s="1"/>
      <c r="D132" s="1"/>
      <c r="E132" s="1"/>
      <c r="F132" s="1"/>
    </row>
    <row r="133" spans="1:6" ht="16.2" x14ac:dyDescent="0.4">
      <c r="A133" s="1"/>
      <c r="B133" s="1"/>
      <c r="C133" s="1"/>
      <c r="D133" s="1"/>
      <c r="E133" s="1"/>
      <c r="F133" s="1"/>
    </row>
    <row r="134" spans="1:6" ht="16.2" x14ac:dyDescent="0.4">
      <c r="A134" s="1"/>
      <c r="B134" s="1"/>
      <c r="C134" s="1"/>
      <c r="D134" s="1"/>
      <c r="E134" s="1"/>
      <c r="F134" s="1"/>
    </row>
    <row r="135" spans="1:6" ht="16.2" x14ac:dyDescent="0.4">
      <c r="A135" s="1"/>
      <c r="B135" s="1"/>
      <c r="C135" s="1"/>
      <c r="D135" s="1"/>
      <c r="E135" s="1"/>
      <c r="F135" s="1"/>
    </row>
    <row r="136" spans="1:6" ht="16.2" x14ac:dyDescent="0.4">
      <c r="A136" s="1"/>
      <c r="B136" s="1"/>
      <c r="C136" s="1"/>
      <c r="D136" s="1"/>
      <c r="E136" s="1"/>
      <c r="F136" s="1"/>
    </row>
    <row r="137" spans="1:6" ht="16.2" x14ac:dyDescent="0.4">
      <c r="A137" s="1"/>
      <c r="B137" s="1"/>
      <c r="C137" s="1"/>
      <c r="D137" s="1"/>
      <c r="E137" s="1"/>
      <c r="F137" s="1"/>
    </row>
    <row r="138" spans="1:6" ht="16.2" x14ac:dyDescent="0.4">
      <c r="A138" s="1"/>
      <c r="B138" s="1"/>
      <c r="C138" s="1"/>
      <c r="D138" s="1"/>
      <c r="E138" s="1"/>
      <c r="F138" s="1"/>
    </row>
    <row r="139" spans="1:6" ht="16.2" x14ac:dyDescent="0.4">
      <c r="A139" s="1"/>
      <c r="B139" s="1"/>
      <c r="C139" s="1"/>
      <c r="D139" s="1"/>
      <c r="E139" s="1"/>
      <c r="F139" s="1"/>
    </row>
    <row r="140" spans="1:6" ht="16.2" x14ac:dyDescent="0.4">
      <c r="A140" s="1"/>
      <c r="B140" s="1"/>
      <c r="C140" s="1"/>
      <c r="D140" s="1"/>
      <c r="E140" s="1"/>
      <c r="F140" s="1"/>
    </row>
    <row r="141" spans="1:6" ht="16.2" x14ac:dyDescent="0.4">
      <c r="A141" s="1"/>
      <c r="B141" s="1"/>
      <c r="C141" s="1"/>
      <c r="D141" s="1"/>
      <c r="E141" s="1"/>
      <c r="F141" s="1"/>
    </row>
    <row r="142" spans="1:6" ht="16.2" x14ac:dyDescent="0.4">
      <c r="A142" s="1"/>
      <c r="B142" s="1"/>
      <c r="C142" s="1"/>
      <c r="D142" s="1"/>
      <c r="E142" s="1"/>
      <c r="F142" s="1"/>
    </row>
    <row r="143" spans="1:6" ht="16.2" x14ac:dyDescent="0.4">
      <c r="A143" s="1"/>
      <c r="B143" s="1"/>
      <c r="C143" s="1"/>
      <c r="D143" s="1"/>
      <c r="E143" s="1"/>
      <c r="F143" s="1"/>
    </row>
    <row r="144" spans="1:6" ht="16.2" x14ac:dyDescent="0.4">
      <c r="A144" s="1"/>
      <c r="B144" s="1"/>
      <c r="C144" s="1"/>
      <c r="D144" s="1"/>
      <c r="E144" s="1"/>
      <c r="F144" s="1"/>
    </row>
    <row r="145" spans="1:6" ht="16.2" x14ac:dyDescent="0.4">
      <c r="A145" s="1"/>
      <c r="B145" s="1"/>
      <c r="C145" s="1"/>
      <c r="D145" s="1"/>
      <c r="E145" s="1"/>
      <c r="F145" s="1"/>
    </row>
    <row r="146" spans="1:6" ht="16.2" x14ac:dyDescent="0.4">
      <c r="A146" s="1"/>
      <c r="B146" s="1"/>
      <c r="C146" s="1"/>
      <c r="D146" s="1"/>
      <c r="E146" s="1"/>
      <c r="F146" s="1"/>
    </row>
    <row r="147" spans="1:6" ht="16.2" x14ac:dyDescent="0.4">
      <c r="A147" s="1"/>
      <c r="B147" s="1"/>
      <c r="C147" s="1"/>
      <c r="D147" s="1"/>
      <c r="E147" s="1"/>
      <c r="F147" s="1"/>
    </row>
    <row r="148" spans="1:6" ht="16.2" x14ac:dyDescent="0.4">
      <c r="A148" s="1"/>
      <c r="B148" s="1"/>
      <c r="C148" s="1"/>
      <c r="D148" s="1"/>
      <c r="E148" s="1"/>
      <c r="F148" s="1"/>
    </row>
    <row r="149" spans="1:6" ht="16.2" x14ac:dyDescent="0.4">
      <c r="A149" s="1"/>
      <c r="B149" s="1"/>
      <c r="C149" s="1"/>
      <c r="D149" s="1"/>
      <c r="E149" s="1"/>
      <c r="F149" s="1"/>
    </row>
    <row r="150" spans="1:6" ht="16.2" x14ac:dyDescent="0.4">
      <c r="A150" s="1"/>
      <c r="B150" s="1"/>
      <c r="C150" s="1"/>
      <c r="D150" s="1"/>
      <c r="E150" s="1"/>
      <c r="F150" s="1"/>
    </row>
    <row r="151" spans="1:6" ht="16.2" x14ac:dyDescent="0.4">
      <c r="A151" s="1"/>
      <c r="B151" s="1"/>
      <c r="C151" s="1"/>
      <c r="D151" s="1"/>
      <c r="E151" s="1"/>
      <c r="F151" s="1"/>
    </row>
    <row r="152" spans="1:6" ht="16.2" x14ac:dyDescent="0.4">
      <c r="A152" s="1"/>
      <c r="B152" s="1"/>
      <c r="C152" s="1"/>
      <c r="D152" s="1"/>
      <c r="E152" s="1"/>
      <c r="F152" s="1"/>
    </row>
    <row r="153" spans="1:6" ht="16.2" x14ac:dyDescent="0.4">
      <c r="A153" s="1"/>
      <c r="B153" s="1"/>
      <c r="C153" s="1"/>
      <c r="D153" s="1"/>
      <c r="E153" s="1"/>
      <c r="F153" s="1"/>
    </row>
    <row r="154" spans="1:6" ht="16.2" x14ac:dyDescent="0.4">
      <c r="A154" s="1"/>
      <c r="B154" s="1"/>
      <c r="C154" s="1"/>
      <c r="D154" s="1"/>
      <c r="E154" s="1"/>
      <c r="F154" s="1"/>
    </row>
    <row r="155" spans="1:6" ht="16.2" x14ac:dyDescent="0.4">
      <c r="A155" s="1"/>
      <c r="B155" s="1"/>
      <c r="C155" s="1"/>
      <c r="D155" s="1"/>
      <c r="E155" s="1"/>
      <c r="F155" s="1"/>
    </row>
    <row r="156" spans="1:6" ht="16.2" x14ac:dyDescent="0.4">
      <c r="A156" s="1"/>
      <c r="B156" s="1"/>
      <c r="C156" s="1"/>
      <c r="D156" s="1"/>
      <c r="E156" s="1"/>
      <c r="F156" s="1"/>
    </row>
    <row r="157" spans="1:6" ht="16.2" x14ac:dyDescent="0.4">
      <c r="A157" s="1"/>
      <c r="B157" s="1"/>
      <c r="C157" s="1"/>
      <c r="D157" s="1"/>
      <c r="E157" s="1"/>
      <c r="F157" s="1"/>
    </row>
    <row r="158" spans="1:6" ht="16.2" x14ac:dyDescent="0.4">
      <c r="A158" s="1"/>
      <c r="B158" s="1"/>
      <c r="C158" s="1"/>
      <c r="D158" s="1"/>
      <c r="E158" s="1"/>
      <c r="F158" s="1"/>
    </row>
    <row r="159" spans="1:6" ht="16.2" x14ac:dyDescent="0.4">
      <c r="A159" s="1"/>
      <c r="B159" s="1"/>
      <c r="C159" s="1"/>
      <c r="D159" s="1"/>
      <c r="E159" s="1"/>
      <c r="F159" s="1"/>
    </row>
    <row r="160" spans="1:6" ht="16.2" x14ac:dyDescent="0.4">
      <c r="A160" s="1"/>
      <c r="B160" s="1"/>
      <c r="C160" s="1"/>
      <c r="D160" s="1"/>
      <c r="E160" s="1"/>
      <c r="F160" s="1"/>
    </row>
    <row r="161" spans="1:6" ht="16.2" x14ac:dyDescent="0.4">
      <c r="A161" s="1"/>
      <c r="B161" s="1"/>
      <c r="C161" s="1"/>
      <c r="D161" s="1"/>
      <c r="E161" s="1"/>
      <c r="F161" s="1"/>
    </row>
    <row r="162" spans="1:6" ht="16.2" x14ac:dyDescent="0.4">
      <c r="A162" s="1"/>
      <c r="B162" s="1"/>
      <c r="C162" s="1"/>
      <c r="D162" s="1"/>
      <c r="E162" s="1"/>
      <c r="F162" s="1"/>
    </row>
    <row r="163" spans="1:6" ht="16.2" x14ac:dyDescent="0.4">
      <c r="A163" s="1"/>
      <c r="B163" s="1"/>
      <c r="C163" s="1"/>
      <c r="D163" s="1"/>
      <c r="E163" s="1"/>
      <c r="F163" s="1"/>
    </row>
    <row r="164" spans="1:6" ht="16.2" x14ac:dyDescent="0.4">
      <c r="A164" s="1"/>
      <c r="B164" s="1"/>
      <c r="C164" s="1"/>
      <c r="D164" s="1"/>
      <c r="E164" s="1"/>
      <c r="F164" s="1"/>
    </row>
    <row r="165" spans="1:6" ht="16.2" x14ac:dyDescent="0.4">
      <c r="A165" s="1"/>
      <c r="B165" s="1"/>
      <c r="C165" s="1"/>
      <c r="D165" s="1"/>
      <c r="E165" s="1"/>
      <c r="F165" s="1"/>
    </row>
    <row r="166" spans="1:6" ht="16.2" x14ac:dyDescent="0.4">
      <c r="A166" s="1"/>
      <c r="B166" s="1"/>
      <c r="C166" s="1"/>
      <c r="D166" s="1"/>
      <c r="E166" s="1"/>
      <c r="F166" s="1"/>
    </row>
    <row r="167" spans="1:6" ht="16.2" x14ac:dyDescent="0.4">
      <c r="A167" s="1"/>
      <c r="B167" s="1"/>
      <c r="C167" s="1"/>
      <c r="D167" s="1"/>
      <c r="E167" s="1"/>
      <c r="F167" s="1"/>
    </row>
    <row r="168" spans="1:6" ht="16.2" x14ac:dyDescent="0.4">
      <c r="A168" s="1"/>
      <c r="B168" s="1"/>
      <c r="C168" s="1"/>
      <c r="D168" s="1"/>
      <c r="E168" s="1"/>
      <c r="F168" s="1"/>
    </row>
    <row r="169" spans="1:6" ht="16.2" x14ac:dyDescent="0.4">
      <c r="A169" s="1"/>
      <c r="B169" s="1"/>
      <c r="C169" s="1"/>
      <c r="D169" s="1"/>
      <c r="E169" s="1"/>
      <c r="F169" s="1"/>
    </row>
    <row r="170" spans="1:6" ht="16.2" x14ac:dyDescent="0.4">
      <c r="A170" s="1"/>
      <c r="B170" s="1"/>
      <c r="C170" s="1"/>
      <c r="D170" s="1"/>
      <c r="E170" s="1"/>
      <c r="F170" s="1"/>
    </row>
    <row r="171" spans="1:6" ht="16.2" x14ac:dyDescent="0.4">
      <c r="A171" s="1"/>
      <c r="B171" s="1"/>
      <c r="C171" s="1"/>
      <c r="D171" s="1"/>
      <c r="E171" s="1"/>
      <c r="F171" s="1"/>
    </row>
    <row r="172" spans="1:6" ht="16.2" x14ac:dyDescent="0.4">
      <c r="A172" s="1"/>
      <c r="B172" s="1"/>
      <c r="C172" s="1"/>
      <c r="D172" s="1"/>
      <c r="E172" s="1"/>
      <c r="F172" s="1"/>
    </row>
    <row r="173" spans="1:6" ht="16.2" x14ac:dyDescent="0.4">
      <c r="A173" s="1"/>
      <c r="B173" s="1"/>
      <c r="C173" s="1"/>
      <c r="D173" s="1"/>
      <c r="E173" s="1"/>
      <c r="F173" s="1"/>
    </row>
    <row r="174" spans="1:6" ht="16.2" x14ac:dyDescent="0.4">
      <c r="A174" s="1"/>
      <c r="B174" s="1"/>
      <c r="C174" s="1"/>
      <c r="D174" s="1"/>
      <c r="E174" s="1"/>
      <c r="F174" s="1"/>
    </row>
    <row r="175" spans="1:6" ht="16.2" x14ac:dyDescent="0.4">
      <c r="A175" s="1"/>
      <c r="B175" s="1"/>
      <c r="C175" s="1"/>
      <c r="D175" s="1"/>
      <c r="E175" s="1"/>
      <c r="F175" s="1"/>
    </row>
    <row r="176" spans="1:6" ht="16.2" x14ac:dyDescent="0.4">
      <c r="A176" s="1"/>
      <c r="B176" s="1"/>
      <c r="C176" s="1"/>
      <c r="D176" s="1"/>
      <c r="E176" s="1"/>
      <c r="F176" s="1"/>
    </row>
    <row r="177" spans="1:6" ht="16.2" x14ac:dyDescent="0.4">
      <c r="A177" s="1"/>
      <c r="B177" s="1"/>
      <c r="C177" s="1"/>
      <c r="D177" s="1"/>
      <c r="E177" s="1"/>
      <c r="F177" s="1"/>
    </row>
    <row r="178" spans="1:6" ht="16.2" x14ac:dyDescent="0.4">
      <c r="A178" s="1"/>
      <c r="B178" s="1"/>
      <c r="C178" s="1"/>
      <c r="D178" s="1"/>
      <c r="E178" s="1"/>
      <c r="F178" s="1"/>
    </row>
    <row r="179" spans="1:6" ht="16.2" x14ac:dyDescent="0.4">
      <c r="A179" s="1"/>
      <c r="B179" s="1"/>
      <c r="C179" s="1"/>
      <c r="D179" s="1"/>
      <c r="E179" s="1"/>
      <c r="F179" s="1"/>
    </row>
    <row r="180" spans="1:6" ht="16.2" x14ac:dyDescent="0.4">
      <c r="A180" s="1"/>
      <c r="B180" s="1"/>
      <c r="C180" s="1"/>
      <c r="D180" s="1"/>
      <c r="E180" s="1"/>
      <c r="F180" s="1"/>
    </row>
    <row r="181" spans="1:6" ht="16.2" x14ac:dyDescent="0.4">
      <c r="A181" s="1"/>
      <c r="B181" s="1"/>
      <c r="C181" s="1"/>
      <c r="D181" s="1"/>
      <c r="E181" s="1"/>
      <c r="F181" s="1"/>
    </row>
    <row r="182" spans="1:6" ht="16.2" x14ac:dyDescent="0.4">
      <c r="A182" s="1"/>
      <c r="B182" s="1"/>
      <c r="C182" s="1"/>
      <c r="D182" s="1"/>
      <c r="E182" s="1"/>
      <c r="F182" s="1"/>
    </row>
    <row r="183" spans="1:6" ht="16.2" x14ac:dyDescent="0.4">
      <c r="A183" s="1"/>
      <c r="B183" s="1"/>
      <c r="C183" s="1"/>
      <c r="D183" s="1"/>
      <c r="E183" s="1"/>
      <c r="F183" s="1"/>
    </row>
    <row r="184" spans="1:6" ht="16.2" x14ac:dyDescent="0.4">
      <c r="A184" s="1"/>
      <c r="B184" s="1"/>
      <c r="C184" s="1"/>
      <c r="D184" s="1"/>
      <c r="E184" s="1"/>
      <c r="F184" s="1"/>
    </row>
    <row r="185" spans="1:6" ht="16.2" x14ac:dyDescent="0.4">
      <c r="A185" s="1"/>
      <c r="B185" s="1"/>
      <c r="C185" s="1"/>
      <c r="D185" s="1"/>
      <c r="E185" s="1"/>
      <c r="F185" s="1"/>
    </row>
    <row r="186" spans="1:6" ht="16.2" x14ac:dyDescent="0.4">
      <c r="A186" s="1"/>
      <c r="B186" s="1"/>
      <c r="C186" s="1"/>
      <c r="D186" s="1"/>
      <c r="E186" s="1"/>
      <c r="F186" s="1"/>
    </row>
    <row r="187" spans="1:6" ht="16.2" x14ac:dyDescent="0.4">
      <c r="A187" s="1"/>
      <c r="B187" s="1"/>
      <c r="C187" s="1"/>
      <c r="D187" s="1"/>
      <c r="E187" s="1"/>
      <c r="F187" s="1"/>
    </row>
    <row r="188" spans="1:6" ht="16.2" x14ac:dyDescent="0.4">
      <c r="A188" s="1"/>
      <c r="B188" s="1"/>
      <c r="C188" s="1"/>
      <c r="D188" s="1"/>
      <c r="E188" s="1"/>
      <c r="F188" s="1"/>
    </row>
    <row r="189" spans="1:6" ht="16.2" x14ac:dyDescent="0.4">
      <c r="A189" s="1"/>
      <c r="B189" s="1"/>
      <c r="C189" s="1"/>
      <c r="D189" s="1"/>
      <c r="E189" s="1"/>
      <c r="F189" s="1"/>
    </row>
    <row r="190" spans="1:6" ht="16.2" x14ac:dyDescent="0.4">
      <c r="A190" s="1"/>
      <c r="B190" s="1"/>
      <c r="C190" s="1"/>
      <c r="D190" s="1"/>
      <c r="E190" s="1"/>
      <c r="F190" s="1"/>
    </row>
    <row r="191" spans="1:6" ht="16.2" x14ac:dyDescent="0.4">
      <c r="A191" s="1"/>
      <c r="B191" s="1"/>
      <c r="C191" s="1"/>
      <c r="D191" s="1"/>
      <c r="E191" s="1"/>
      <c r="F191" s="1"/>
    </row>
    <row r="192" spans="1:6" ht="16.2" x14ac:dyDescent="0.4">
      <c r="A192" s="1"/>
      <c r="B192" s="1"/>
      <c r="C192" s="1"/>
      <c r="D192" s="1"/>
      <c r="E192" s="1"/>
      <c r="F192" s="1"/>
    </row>
    <row r="193" spans="1:6" ht="16.2" x14ac:dyDescent="0.4">
      <c r="A193" s="1"/>
      <c r="B193" s="1"/>
      <c r="C193" s="1"/>
      <c r="D193" s="1"/>
      <c r="E193" s="1"/>
      <c r="F193" s="1"/>
    </row>
    <row r="194" spans="1:6" ht="16.2" x14ac:dyDescent="0.4">
      <c r="A194" s="1"/>
      <c r="B194" s="1"/>
      <c r="C194" s="1"/>
      <c r="D194" s="1"/>
      <c r="E194" s="1"/>
      <c r="F194" s="1"/>
    </row>
    <row r="195" spans="1:6" ht="16.2" x14ac:dyDescent="0.4">
      <c r="A195" s="1"/>
      <c r="B195" s="1"/>
      <c r="C195" s="1"/>
      <c r="D195" s="1"/>
      <c r="E195" s="1"/>
      <c r="F195" s="1"/>
    </row>
    <row r="196" spans="1:6" ht="16.2" x14ac:dyDescent="0.4">
      <c r="A196" s="1"/>
      <c r="B196" s="1"/>
      <c r="C196" s="1"/>
      <c r="D196" s="1"/>
      <c r="E196" s="1"/>
      <c r="F196" s="1"/>
    </row>
    <row r="197" spans="1:6" ht="16.2" x14ac:dyDescent="0.4">
      <c r="A197" s="1"/>
      <c r="B197" s="1"/>
      <c r="C197" s="1"/>
      <c r="D197" s="1"/>
      <c r="E197" s="1"/>
      <c r="F197" s="1"/>
    </row>
    <row r="198" spans="1:6" ht="16.2" x14ac:dyDescent="0.4">
      <c r="A198" s="1"/>
      <c r="B198" s="1"/>
      <c r="C198" s="1"/>
      <c r="D198" s="1"/>
      <c r="E198" s="1"/>
      <c r="F198" s="1"/>
    </row>
    <row r="199" spans="1:6" ht="16.2" x14ac:dyDescent="0.4">
      <c r="A199" s="1"/>
      <c r="B199" s="1"/>
      <c r="C199" s="1"/>
      <c r="D199" s="1"/>
      <c r="E199" s="1"/>
      <c r="F199" s="1"/>
    </row>
    <row r="200" spans="1:6" ht="16.2" x14ac:dyDescent="0.4">
      <c r="A200" s="1"/>
      <c r="B200" s="1"/>
      <c r="C200" s="1"/>
      <c r="D200" s="1"/>
      <c r="E200" s="1"/>
      <c r="F200" s="1"/>
    </row>
    <row r="201" spans="1:6" ht="16.2" x14ac:dyDescent="0.4">
      <c r="A201" s="1"/>
      <c r="B201" s="1"/>
      <c r="C201" s="1"/>
      <c r="D201" s="1"/>
      <c r="E201" s="1"/>
      <c r="F201" s="1"/>
    </row>
    <row r="202" spans="1:6" ht="16.2" x14ac:dyDescent="0.4">
      <c r="A202" s="1"/>
      <c r="B202" s="1"/>
      <c r="C202" s="1"/>
      <c r="D202" s="1"/>
      <c r="E202" s="1"/>
      <c r="F202" s="1"/>
    </row>
    <row r="203" spans="1:6" ht="16.2" x14ac:dyDescent="0.4">
      <c r="A203" s="1"/>
      <c r="B203" s="1"/>
      <c r="C203" s="1"/>
      <c r="D203" s="1"/>
      <c r="E203" s="1"/>
      <c r="F203" s="1"/>
    </row>
    <row r="204" spans="1:6" ht="16.2" x14ac:dyDescent="0.4">
      <c r="A204" s="1"/>
      <c r="B204" s="1"/>
      <c r="C204" s="1"/>
      <c r="D204" s="1"/>
      <c r="E204" s="1"/>
      <c r="F204" s="1"/>
    </row>
    <row r="205" spans="1:6" ht="16.2" x14ac:dyDescent="0.4">
      <c r="A205" s="1"/>
      <c r="B205" s="1"/>
      <c r="C205" s="1"/>
      <c r="D205" s="1"/>
      <c r="E205" s="1"/>
      <c r="F205" s="1"/>
    </row>
    <row r="206" spans="1:6" ht="16.2" x14ac:dyDescent="0.4">
      <c r="A206" s="1"/>
      <c r="B206" s="1"/>
      <c r="C206" s="1"/>
      <c r="D206" s="1"/>
      <c r="E206" s="1"/>
      <c r="F206" s="1"/>
    </row>
    <row r="207" spans="1:6" ht="16.2" x14ac:dyDescent="0.4">
      <c r="A207" s="1"/>
      <c r="B207" s="1"/>
      <c r="C207" s="1"/>
      <c r="D207" s="1"/>
      <c r="E207" s="1"/>
      <c r="F207" s="1"/>
    </row>
    <row r="208" spans="1:6" ht="16.2" x14ac:dyDescent="0.4">
      <c r="A208" s="1"/>
      <c r="B208" s="1"/>
      <c r="C208" s="1"/>
      <c r="D208" s="1"/>
      <c r="E208" s="1"/>
      <c r="F208" s="1"/>
    </row>
    <row r="209" spans="1:6" ht="16.2" x14ac:dyDescent="0.4">
      <c r="A209" s="1"/>
      <c r="B209" s="1"/>
      <c r="C209" s="1"/>
      <c r="D209" s="1"/>
      <c r="E209" s="1"/>
      <c r="F209" s="1"/>
    </row>
    <row r="210" spans="1:6" ht="16.2" x14ac:dyDescent="0.4">
      <c r="A210" s="1"/>
      <c r="B210" s="1"/>
      <c r="C210" s="1"/>
      <c r="D210" s="1"/>
      <c r="E210" s="1"/>
      <c r="F210" s="1"/>
    </row>
    <row r="211" spans="1:6" ht="16.2" x14ac:dyDescent="0.4">
      <c r="A211" s="1"/>
      <c r="B211" s="1"/>
      <c r="C211" s="1"/>
      <c r="D211" s="1"/>
      <c r="E211" s="1"/>
      <c r="F211" s="1"/>
    </row>
    <row r="212" spans="1:6" ht="16.2" x14ac:dyDescent="0.4">
      <c r="A212" s="1"/>
      <c r="B212" s="1"/>
      <c r="C212" s="1"/>
      <c r="D212" s="1"/>
      <c r="E212" s="1"/>
      <c r="F212" s="1"/>
    </row>
    <row r="213" spans="1:6" ht="16.2" x14ac:dyDescent="0.4">
      <c r="A213" s="1"/>
      <c r="B213" s="1"/>
      <c r="C213" s="1"/>
      <c r="D213" s="1"/>
      <c r="E213" s="1"/>
      <c r="F213" s="1"/>
    </row>
    <row r="214" spans="1:6" ht="16.2" x14ac:dyDescent="0.4">
      <c r="A214" s="1"/>
      <c r="B214" s="1"/>
      <c r="C214" s="1"/>
      <c r="D214" s="1"/>
      <c r="E214" s="1"/>
      <c r="F214" s="1"/>
    </row>
    <row r="215" spans="1:6" ht="16.2" x14ac:dyDescent="0.4">
      <c r="A215" s="1"/>
      <c r="B215" s="1"/>
      <c r="C215" s="1"/>
      <c r="D215" s="1"/>
      <c r="E215" s="1"/>
      <c r="F215" s="1"/>
    </row>
    <row r="216" spans="1:6" ht="16.2" x14ac:dyDescent="0.4">
      <c r="A216" s="1"/>
      <c r="B216" s="1"/>
      <c r="C216" s="1"/>
      <c r="D216" s="1"/>
      <c r="E216" s="1"/>
      <c r="F216" s="1"/>
    </row>
    <row r="217" spans="1:6" ht="16.2" x14ac:dyDescent="0.4">
      <c r="A217" s="1"/>
      <c r="B217" s="1"/>
      <c r="C217" s="1"/>
      <c r="D217" s="1"/>
      <c r="E217" s="1"/>
      <c r="F217" s="1"/>
    </row>
    <row r="218" spans="1:6" ht="16.2" x14ac:dyDescent="0.4">
      <c r="A218" s="1"/>
      <c r="B218" s="1"/>
      <c r="C218" s="1"/>
      <c r="D218" s="1"/>
      <c r="E218" s="1"/>
      <c r="F218" s="1"/>
    </row>
    <row r="219" spans="1:6" ht="16.2" x14ac:dyDescent="0.4">
      <c r="A219" s="1"/>
      <c r="B219" s="1"/>
      <c r="C219" s="1"/>
      <c r="D219" s="1"/>
      <c r="E219" s="1"/>
      <c r="F219" s="1"/>
    </row>
    <row r="220" spans="1:6" ht="16.2" x14ac:dyDescent="0.4">
      <c r="A220" s="1"/>
      <c r="B220" s="1"/>
      <c r="C220" s="1"/>
      <c r="D220" s="1"/>
      <c r="E220" s="1"/>
      <c r="F220" s="1"/>
    </row>
    <row r="221" spans="1:6" ht="16.2" x14ac:dyDescent="0.4">
      <c r="A221" s="1"/>
      <c r="B221" s="1"/>
      <c r="C221" s="1"/>
      <c r="D221" s="1"/>
      <c r="E221" s="1"/>
      <c r="F221" s="1"/>
    </row>
    <row r="222" spans="1:6" ht="16.2" x14ac:dyDescent="0.4">
      <c r="A222" s="1"/>
      <c r="B222" s="1"/>
      <c r="C222" s="1"/>
      <c r="D222" s="1"/>
      <c r="E222" s="1"/>
      <c r="F222" s="1"/>
    </row>
    <row r="223" spans="1:6" ht="16.2" x14ac:dyDescent="0.4">
      <c r="A223" s="1"/>
      <c r="B223" s="1"/>
      <c r="C223" s="1"/>
      <c r="D223" s="1"/>
      <c r="E223" s="1"/>
      <c r="F223" s="1"/>
    </row>
    <row r="224" spans="1:6" ht="16.2" x14ac:dyDescent="0.4">
      <c r="A224" s="1"/>
      <c r="B224" s="1"/>
      <c r="C224" s="1"/>
      <c r="D224" s="1"/>
      <c r="E224" s="1"/>
      <c r="F224" s="1"/>
    </row>
    <row r="225" spans="1:6" ht="16.2" x14ac:dyDescent="0.4">
      <c r="A225" s="1"/>
      <c r="B225" s="1"/>
      <c r="C225" s="1"/>
      <c r="D225" s="1"/>
      <c r="E225" s="1"/>
      <c r="F225" s="1"/>
    </row>
    <row r="226" spans="1:6" ht="16.2" x14ac:dyDescent="0.4">
      <c r="A226" s="1"/>
      <c r="B226" s="1"/>
      <c r="C226" s="1"/>
      <c r="D226" s="1"/>
      <c r="E226" s="1"/>
      <c r="F226" s="1"/>
    </row>
    <row r="227" spans="1:6" ht="16.2" x14ac:dyDescent="0.4">
      <c r="A227" s="1"/>
      <c r="B227" s="1"/>
      <c r="C227" s="1"/>
      <c r="D227" s="1"/>
      <c r="E227" s="1"/>
      <c r="F227" s="1"/>
    </row>
    <row r="228" spans="1:6" ht="16.2" x14ac:dyDescent="0.4">
      <c r="A228" s="1"/>
      <c r="B228" s="1"/>
      <c r="C228" s="1"/>
      <c r="D228" s="1"/>
      <c r="E228" s="1"/>
      <c r="F228" s="1"/>
    </row>
    <row r="229" spans="1:6" ht="16.2" x14ac:dyDescent="0.4">
      <c r="A229" s="1"/>
      <c r="B229" s="1"/>
      <c r="C229" s="1"/>
      <c r="D229" s="1"/>
      <c r="E229" s="1"/>
      <c r="F229" s="1"/>
    </row>
    <row r="230" spans="1:6" ht="16.2" x14ac:dyDescent="0.4">
      <c r="A230" s="1"/>
      <c r="B230" s="1"/>
      <c r="C230" s="1"/>
      <c r="D230" s="1"/>
      <c r="E230" s="1"/>
      <c r="F230" s="1"/>
    </row>
    <row r="231" spans="1:6" ht="16.2" x14ac:dyDescent="0.4">
      <c r="A231" s="1"/>
      <c r="B231" s="1"/>
      <c r="C231" s="1"/>
      <c r="D231" s="1"/>
      <c r="E231" s="1"/>
      <c r="F231" s="1"/>
    </row>
    <row r="232" spans="1:6" ht="16.2" x14ac:dyDescent="0.4">
      <c r="A232" s="1"/>
      <c r="B232" s="1"/>
      <c r="C232" s="1"/>
      <c r="D232" s="1"/>
      <c r="E232" s="1"/>
      <c r="F232" s="1"/>
    </row>
    <row r="233" spans="1:6" ht="16.2" x14ac:dyDescent="0.4">
      <c r="A233" s="1"/>
      <c r="B233" s="1"/>
      <c r="C233" s="1"/>
      <c r="D233" s="1"/>
      <c r="E233" s="1"/>
      <c r="F233" s="1"/>
    </row>
    <row r="234" spans="1:6" ht="16.2" x14ac:dyDescent="0.4">
      <c r="A234" s="1"/>
      <c r="B234" s="1"/>
      <c r="C234" s="1"/>
      <c r="D234" s="1"/>
      <c r="E234" s="1"/>
      <c r="F234" s="1"/>
    </row>
    <row r="235" spans="1:6" ht="16.2" x14ac:dyDescent="0.4">
      <c r="A235" s="1"/>
      <c r="B235" s="1"/>
      <c r="C235" s="1"/>
      <c r="D235" s="1"/>
      <c r="E235" s="1"/>
      <c r="F235" s="1"/>
    </row>
    <row r="236" spans="1:6" ht="16.2" x14ac:dyDescent="0.4">
      <c r="A236" s="1"/>
      <c r="B236" s="1"/>
      <c r="C236" s="1"/>
      <c r="D236" s="1"/>
      <c r="E236" s="1"/>
      <c r="F236" s="1"/>
    </row>
    <row r="237" spans="1:6" ht="16.2" x14ac:dyDescent="0.4">
      <c r="A237" s="1"/>
      <c r="B237" s="1"/>
      <c r="C237" s="1"/>
      <c r="D237" s="1"/>
      <c r="E237" s="1"/>
      <c r="F237" s="1"/>
    </row>
    <row r="238" spans="1:6" ht="16.2" x14ac:dyDescent="0.4">
      <c r="A238" s="1"/>
      <c r="B238" s="1"/>
      <c r="C238" s="1"/>
      <c r="D238" s="1"/>
      <c r="E238" s="1"/>
      <c r="F238" s="1"/>
    </row>
    <row r="239" spans="1:6" ht="16.2" x14ac:dyDescent="0.4">
      <c r="A239" s="1"/>
      <c r="B239" s="1"/>
      <c r="C239" s="1"/>
      <c r="D239" s="1"/>
      <c r="E239" s="1"/>
      <c r="F239" s="1"/>
    </row>
    <row r="240" spans="1:6" ht="16.2" x14ac:dyDescent="0.4">
      <c r="A240" s="1"/>
      <c r="B240" s="1"/>
      <c r="C240" s="1"/>
      <c r="D240" s="1"/>
      <c r="E240" s="1"/>
      <c r="F240" s="1"/>
    </row>
    <row r="241" spans="1:6" ht="16.2" x14ac:dyDescent="0.4">
      <c r="A241" s="1"/>
      <c r="B241" s="1"/>
      <c r="C241" s="1"/>
      <c r="D241" s="1"/>
      <c r="E241" s="1"/>
      <c r="F241" s="1"/>
    </row>
    <row r="242" spans="1:6" ht="16.2" x14ac:dyDescent="0.4">
      <c r="A242" s="1"/>
      <c r="B242" s="1"/>
      <c r="C242" s="1"/>
      <c r="D242" s="1"/>
      <c r="E242" s="1"/>
      <c r="F242" s="1"/>
    </row>
    <row r="243" spans="1:6" ht="16.2" x14ac:dyDescent="0.4">
      <c r="A243" s="1"/>
      <c r="B243" s="1"/>
      <c r="C243" s="1"/>
      <c r="D243" s="1"/>
      <c r="E243" s="1"/>
      <c r="F243" s="1"/>
    </row>
    <row r="244" spans="1:6" ht="16.2" x14ac:dyDescent="0.4">
      <c r="A244" s="1"/>
      <c r="B244" s="1"/>
      <c r="C244" s="1"/>
      <c r="D244" s="1"/>
      <c r="E244" s="1"/>
      <c r="F244" s="1"/>
    </row>
    <row r="245" spans="1:6" ht="16.2" x14ac:dyDescent="0.4">
      <c r="A245" s="1"/>
      <c r="B245" s="1"/>
      <c r="C245" s="1"/>
      <c r="D245" s="1"/>
      <c r="E245" s="1"/>
      <c r="F245" s="1"/>
    </row>
    <row r="246" spans="1:6" ht="16.2" x14ac:dyDescent="0.4">
      <c r="A246" s="1"/>
      <c r="B246" s="1"/>
      <c r="C246" s="1"/>
      <c r="D246" s="1"/>
      <c r="E246" s="1"/>
      <c r="F246" s="1"/>
    </row>
    <row r="247" spans="1:6" ht="16.2" x14ac:dyDescent="0.4">
      <c r="A247" s="1"/>
      <c r="B247" s="1"/>
      <c r="C247" s="1"/>
      <c r="D247" s="1"/>
      <c r="E247" s="1"/>
      <c r="F247" s="1"/>
    </row>
    <row r="248" spans="1:6" ht="16.2" x14ac:dyDescent="0.4">
      <c r="A248" s="1"/>
      <c r="B248" s="1"/>
      <c r="C248" s="1"/>
      <c r="D248" s="1"/>
      <c r="E248" s="1"/>
      <c r="F248" s="1"/>
    </row>
    <row r="249" spans="1:6" ht="16.2" x14ac:dyDescent="0.4">
      <c r="A249" s="1"/>
      <c r="B249" s="1"/>
      <c r="C249" s="1"/>
      <c r="D249" s="1"/>
      <c r="E249" s="1"/>
      <c r="F249" s="1"/>
    </row>
    <row r="250" spans="1:6" ht="16.2" x14ac:dyDescent="0.4">
      <c r="A250" s="1"/>
      <c r="B250" s="1"/>
      <c r="C250" s="1"/>
      <c r="D250" s="1"/>
      <c r="E250" s="1"/>
      <c r="F250" s="1"/>
    </row>
    <row r="251" spans="1:6" ht="16.2" x14ac:dyDescent="0.4">
      <c r="A251" s="1"/>
      <c r="B251" s="1"/>
      <c r="C251" s="1"/>
      <c r="D251" s="1"/>
      <c r="E251" s="1"/>
      <c r="F251" s="1"/>
    </row>
    <row r="252" spans="1:6" ht="16.2" x14ac:dyDescent="0.4">
      <c r="A252" s="1"/>
      <c r="B252" s="1"/>
      <c r="C252" s="1"/>
      <c r="D252" s="1"/>
      <c r="E252" s="1"/>
      <c r="F252" s="1"/>
    </row>
    <row r="253" spans="1:6" ht="16.2" x14ac:dyDescent="0.4">
      <c r="A253" s="1"/>
      <c r="B253" s="1"/>
      <c r="C253" s="1"/>
      <c r="D253" s="1"/>
      <c r="E253" s="1"/>
      <c r="F253" s="1"/>
    </row>
    <row r="254" spans="1:6" ht="16.2" x14ac:dyDescent="0.4">
      <c r="A254" s="1"/>
      <c r="B254" s="1"/>
      <c r="C254" s="1"/>
      <c r="D254" s="1"/>
      <c r="E254" s="1"/>
      <c r="F254" s="1"/>
    </row>
    <row r="255" spans="1:6" ht="16.2" x14ac:dyDescent="0.4">
      <c r="A255" s="1"/>
      <c r="B255" s="1"/>
      <c r="C255" s="1"/>
      <c r="D255" s="1"/>
      <c r="E255" s="1"/>
      <c r="F255" s="1"/>
    </row>
    <row r="256" spans="1:6" ht="16.2" x14ac:dyDescent="0.4">
      <c r="A256" s="1"/>
      <c r="B256" s="1"/>
      <c r="C256" s="1"/>
      <c r="D256" s="1"/>
      <c r="E256" s="1"/>
      <c r="F256" s="1"/>
    </row>
    <row r="257" spans="1:6" ht="16.2" x14ac:dyDescent="0.4">
      <c r="A257" s="1"/>
      <c r="B257" s="1"/>
      <c r="C257" s="1"/>
      <c r="D257" s="1"/>
      <c r="E257" s="1"/>
      <c r="F257" s="1"/>
    </row>
    <row r="258" spans="1:6" ht="16.2" x14ac:dyDescent="0.4">
      <c r="A258" s="1"/>
      <c r="B258" s="1"/>
      <c r="C258" s="1"/>
      <c r="D258" s="1"/>
      <c r="E258" s="1"/>
      <c r="F258" s="1"/>
    </row>
    <row r="259" spans="1:6" ht="16.2" x14ac:dyDescent="0.4">
      <c r="A259" s="1"/>
      <c r="B259" s="1"/>
      <c r="C259" s="1"/>
      <c r="D259" s="1"/>
      <c r="E259" s="1"/>
      <c r="F259" s="1"/>
    </row>
    <row r="260" spans="1:6" ht="16.2" x14ac:dyDescent="0.4">
      <c r="A260" s="1"/>
      <c r="B260" s="1"/>
      <c r="C260" s="1"/>
      <c r="D260" s="1"/>
      <c r="E260" s="1"/>
      <c r="F260" s="1"/>
    </row>
    <row r="261" spans="1:6" ht="16.2" x14ac:dyDescent="0.4">
      <c r="A261" s="1"/>
      <c r="B261" s="1"/>
      <c r="C261" s="1"/>
      <c r="D261" s="1"/>
      <c r="E261" s="1"/>
      <c r="F261" s="1"/>
    </row>
    <row r="262" spans="1:6" ht="16.2" x14ac:dyDescent="0.4">
      <c r="A262" s="1"/>
      <c r="B262" s="1"/>
      <c r="C262" s="1"/>
      <c r="D262" s="1"/>
      <c r="E262" s="1"/>
      <c r="F262" s="1"/>
    </row>
    <row r="263" spans="1:6" ht="16.2" x14ac:dyDescent="0.4">
      <c r="A263" s="1"/>
      <c r="B263" s="1"/>
      <c r="C263" s="1"/>
      <c r="D263" s="1"/>
      <c r="E263" s="1"/>
      <c r="F263" s="1"/>
    </row>
    <row r="264" spans="1:6" ht="16.2" x14ac:dyDescent="0.4">
      <c r="A264" s="1"/>
      <c r="B264" s="1"/>
      <c r="C264" s="1"/>
      <c r="D264" s="1"/>
      <c r="E264" s="1"/>
      <c r="F264" s="1"/>
    </row>
    <row r="265" spans="1:6" ht="16.2" x14ac:dyDescent="0.4">
      <c r="A265" s="1"/>
      <c r="B265" s="1"/>
      <c r="C265" s="1"/>
      <c r="D265" s="1"/>
      <c r="E265" s="1"/>
      <c r="F265" s="1"/>
    </row>
    <row r="266" spans="1:6" ht="16.2" x14ac:dyDescent="0.4">
      <c r="A266" s="1"/>
      <c r="B266" s="1"/>
      <c r="C266" s="1"/>
      <c r="D266" s="1"/>
      <c r="E266" s="1"/>
      <c r="F266" s="1"/>
    </row>
    <row r="267" spans="1:6" ht="16.2" x14ac:dyDescent="0.4">
      <c r="A267" s="1"/>
      <c r="B267" s="1"/>
      <c r="C267" s="1"/>
      <c r="D267" s="1"/>
      <c r="E267" s="1"/>
      <c r="F267" s="1"/>
    </row>
    <row r="268" spans="1:6" ht="16.2" x14ac:dyDescent="0.4">
      <c r="A268" s="1"/>
      <c r="B268" s="1"/>
      <c r="C268" s="1"/>
      <c r="D268" s="1"/>
      <c r="E268" s="1"/>
      <c r="F268" s="1"/>
    </row>
    <row r="269" spans="1:6" ht="16.2" x14ac:dyDescent="0.4">
      <c r="A269" s="1"/>
      <c r="B269" s="1"/>
      <c r="C269" s="1"/>
      <c r="D269" s="1"/>
      <c r="E269" s="1"/>
      <c r="F269" s="1"/>
    </row>
    <row r="270" spans="1:6" ht="16.2" x14ac:dyDescent="0.4">
      <c r="A270" s="1"/>
      <c r="B270" s="1"/>
      <c r="C270" s="1"/>
      <c r="D270" s="1"/>
      <c r="E270" s="1"/>
      <c r="F270" s="1"/>
    </row>
    <row r="271" spans="1:6" ht="16.2" x14ac:dyDescent="0.4">
      <c r="A271" s="1"/>
      <c r="B271" s="1"/>
      <c r="C271" s="1"/>
      <c r="D271" s="1"/>
      <c r="E271" s="1"/>
      <c r="F271" s="1"/>
    </row>
  </sheetData>
  <mergeCells count="111">
    <mergeCell ref="A14:A15"/>
    <mergeCell ref="B4:B5"/>
    <mergeCell ref="A4:A5"/>
    <mergeCell ref="B6:B7"/>
    <mergeCell ref="B12:B13"/>
    <mergeCell ref="A6:A7"/>
    <mergeCell ref="A12:A13"/>
    <mergeCell ref="B8:B9"/>
    <mergeCell ref="B10:B11"/>
    <mergeCell ref="B14:B15"/>
    <mergeCell ref="A8:A9"/>
    <mergeCell ref="A10:A11"/>
    <mergeCell ref="A1:A3"/>
    <mergeCell ref="E1:E3"/>
    <mergeCell ref="G1:G2"/>
    <mergeCell ref="A32:A33"/>
    <mergeCell ref="A34:A35"/>
    <mergeCell ref="A18:A19"/>
    <mergeCell ref="B22:B23"/>
    <mergeCell ref="B26:B27"/>
    <mergeCell ref="B20:B21"/>
    <mergeCell ref="C16:C17"/>
    <mergeCell ref="A16:A17"/>
    <mergeCell ref="C28:C29"/>
    <mergeCell ref="A28:A29"/>
    <mergeCell ref="B18:B19"/>
    <mergeCell ref="C18:C19"/>
    <mergeCell ref="A26:A27"/>
    <mergeCell ref="A22:A23"/>
    <mergeCell ref="A20:A21"/>
    <mergeCell ref="B28:B29"/>
    <mergeCell ref="C22:C23"/>
    <mergeCell ref="C10:C11"/>
    <mergeCell ref="A24:A25"/>
    <mergeCell ref="C26:C27"/>
    <mergeCell ref="B16:B17"/>
    <mergeCell ref="C30:C31"/>
    <mergeCell ref="C48:C49"/>
    <mergeCell ref="C54:C55"/>
    <mergeCell ref="C32:C33"/>
    <mergeCell ref="C60:C61"/>
    <mergeCell ref="A36:A37"/>
    <mergeCell ref="A56:A57"/>
    <mergeCell ref="C40:C41"/>
    <mergeCell ref="B38:B39"/>
    <mergeCell ref="B40:B41"/>
    <mergeCell ref="A50:A51"/>
    <mergeCell ref="A44:A45"/>
    <mergeCell ref="B50:B51"/>
    <mergeCell ref="A42:A43"/>
    <mergeCell ref="C52:C53"/>
    <mergeCell ref="B42:B43"/>
    <mergeCell ref="B48:B49"/>
    <mergeCell ref="B44:B45"/>
    <mergeCell ref="C44:C45"/>
    <mergeCell ref="A46:A47"/>
    <mergeCell ref="B46:B47"/>
    <mergeCell ref="C46:C47"/>
    <mergeCell ref="C38:C39"/>
    <mergeCell ref="C42:C43"/>
    <mergeCell ref="B30:B31"/>
    <mergeCell ref="A62:A63"/>
    <mergeCell ref="A60:A61"/>
    <mergeCell ref="B56:B57"/>
    <mergeCell ref="B36:B37"/>
    <mergeCell ref="A48:A49"/>
    <mergeCell ref="A40:A41"/>
    <mergeCell ref="A38:A39"/>
    <mergeCell ref="B32:B33"/>
    <mergeCell ref="B34:B35"/>
    <mergeCell ref="A30:A31"/>
    <mergeCell ref="A70:A71"/>
    <mergeCell ref="B70:B71"/>
    <mergeCell ref="A68:A69"/>
    <mergeCell ref="B68:B69"/>
    <mergeCell ref="A58:A59"/>
    <mergeCell ref="B52:B53"/>
    <mergeCell ref="A54:A55"/>
    <mergeCell ref="B54:B55"/>
    <mergeCell ref="B64:B65"/>
    <mergeCell ref="B62:B63"/>
    <mergeCell ref="A66:A67"/>
    <mergeCell ref="A52:A53"/>
    <mergeCell ref="B66:B67"/>
    <mergeCell ref="B58:B59"/>
    <mergeCell ref="B60:B61"/>
    <mergeCell ref="A64:A65"/>
    <mergeCell ref="B24:B25"/>
    <mergeCell ref="C24:C25"/>
    <mergeCell ref="B1:B3"/>
    <mergeCell ref="I72:J72"/>
    <mergeCell ref="C66:C67"/>
    <mergeCell ref="C70:C71"/>
    <mergeCell ref="C68:C69"/>
    <mergeCell ref="H1:H3"/>
    <mergeCell ref="C58:C59"/>
    <mergeCell ref="F1:F3"/>
    <mergeCell ref="C6:C7"/>
    <mergeCell ref="C20:C21"/>
    <mergeCell ref="C1:C3"/>
    <mergeCell ref="D1:D3"/>
    <mergeCell ref="C4:C5"/>
    <mergeCell ref="C64:C65"/>
    <mergeCell ref="C62:C63"/>
    <mergeCell ref="C56:C57"/>
    <mergeCell ref="C12:C13"/>
    <mergeCell ref="C8:C9"/>
    <mergeCell ref="C14:C15"/>
    <mergeCell ref="C50:C51"/>
    <mergeCell ref="C34:C35"/>
    <mergeCell ref="C36:C37"/>
  </mergeCells>
  <phoneticPr fontId="0" type="noConversion"/>
  <pageMargins left="0.75" right="0.75" top="1" bottom="1" header="0.5" footer="0.5"/>
  <pageSetup paperSize="8" scale="47" orientation="portrait" r:id="rId1"/>
  <headerFooter alignWithMargins="0"/>
  <rowBreaks count="1" manualBreakCount="1">
    <brk id="73" max="22" man="1"/>
  </rowBreaks>
  <colBreaks count="1" manualBreakCount="1">
    <brk id="7" max="110" man="1"/>
  </col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C1:N29"/>
  <sheetViews>
    <sheetView workbookViewId="0">
      <selection activeCell="L24" sqref="L24"/>
    </sheetView>
  </sheetViews>
  <sheetFormatPr defaultRowHeight="13.2" x14ac:dyDescent="0.25"/>
  <cols>
    <col min="1" max="1" width="3.109375" customWidth="1"/>
    <col min="2" max="2" width="0.44140625" customWidth="1"/>
    <col min="3" max="3" width="12.109375" customWidth="1"/>
    <col min="4" max="4" width="9.33203125" customWidth="1"/>
    <col min="5" max="5" width="13.109375" customWidth="1"/>
    <col min="6" max="6" width="11.109375" customWidth="1"/>
    <col min="7" max="7" width="12" customWidth="1"/>
    <col min="8" max="8" width="9.44140625" customWidth="1"/>
    <col min="9" max="9" width="11.33203125" customWidth="1"/>
    <col min="10" max="11" width="14" customWidth="1"/>
    <col min="12" max="12" width="74.33203125" bestFit="1" customWidth="1"/>
    <col min="13" max="13" width="73.44140625" bestFit="1" customWidth="1"/>
    <col min="14" max="14" width="145.6640625" bestFit="1" customWidth="1"/>
  </cols>
  <sheetData>
    <row r="1" spans="3:14" ht="18.600000000000001" customHeight="1" x14ac:dyDescent="0.25"/>
    <row r="2" spans="3:14" ht="49.95" customHeight="1" x14ac:dyDescent="0.25">
      <c r="C2" s="1176" t="s">
        <v>666</v>
      </c>
      <c r="D2" s="1177"/>
      <c r="E2" s="1177"/>
      <c r="F2" s="1177"/>
      <c r="G2" s="1177"/>
      <c r="H2" s="1177"/>
      <c r="I2" s="1177"/>
      <c r="J2" s="1177"/>
      <c r="K2" s="1177"/>
      <c r="L2" s="1177"/>
      <c r="M2" s="1177"/>
      <c r="N2" s="589"/>
    </row>
    <row r="3" spans="3:14" ht="46.2" customHeight="1" x14ac:dyDescent="0.25">
      <c r="C3" s="1178" t="s">
        <v>656</v>
      </c>
      <c r="D3" s="1179"/>
      <c r="E3" s="585" t="s">
        <v>218</v>
      </c>
      <c r="F3" s="586" t="s">
        <v>372</v>
      </c>
      <c r="G3" s="1180" t="s">
        <v>659</v>
      </c>
      <c r="H3" s="1088"/>
      <c r="I3" s="582" t="s">
        <v>665</v>
      </c>
      <c r="J3" s="587" t="s">
        <v>657</v>
      </c>
      <c r="K3" s="587" t="s">
        <v>375</v>
      </c>
      <c r="L3" s="588" t="s">
        <v>376</v>
      </c>
      <c r="M3" s="588" t="s">
        <v>377</v>
      </c>
      <c r="N3" s="588" t="s">
        <v>661</v>
      </c>
    </row>
    <row r="4" spans="3:14" x14ac:dyDescent="0.25">
      <c r="C4" s="1181"/>
      <c r="D4" s="1174"/>
      <c r="E4" s="577"/>
      <c r="F4" s="578"/>
      <c r="G4" s="1175"/>
      <c r="H4" s="1175"/>
      <c r="I4" s="584"/>
      <c r="J4" s="576"/>
      <c r="K4" s="577"/>
      <c r="L4" s="579"/>
      <c r="M4" s="579"/>
      <c r="N4" s="404"/>
    </row>
    <row r="5" spans="3:14" x14ac:dyDescent="0.25">
      <c r="C5" s="1173"/>
      <c r="D5" s="1174"/>
      <c r="E5" s="577"/>
      <c r="F5" s="57"/>
      <c r="G5" s="1175"/>
      <c r="H5" s="1175"/>
      <c r="I5" s="57"/>
      <c r="J5" s="576"/>
      <c r="K5" s="577"/>
      <c r="L5" s="579"/>
      <c r="M5" s="579"/>
      <c r="N5" s="404"/>
    </row>
    <row r="6" spans="3:14" x14ac:dyDescent="0.25">
      <c r="C6" s="1173"/>
      <c r="D6" s="1174"/>
      <c r="E6" s="57"/>
      <c r="F6" s="57"/>
      <c r="G6" s="1175"/>
      <c r="H6" s="1175"/>
      <c r="I6" s="57"/>
      <c r="J6" s="57"/>
      <c r="K6" s="57"/>
      <c r="L6" s="57"/>
      <c r="M6" s="57"/>
      <c r="N6" s="57"/>
    </row>
    <row r="7" spans="3:14" x14ac:dyDescent="0.25">
      <c r="C7" s="1173"/>
      <c r="D7" s="1174"/>
      <c r="E7" s="57"/>
      <c r="F7" s="57"/>
      <c r="G7" s="1175"/>
      <c r="H7" s="1175"/>
      <c r="I7" s="57"/>
      <c r="J7" s="57"/>
      <c r="K7" s="57"/>
      <c r="L7" s="57"/>
      <c r="M7" s="57"/>
      <c r="N7" s="57"/>
    </row>
    <row r="8" spans="3:14" x14ac:dyDescent="0.25">
      <c r="C8" s="1173"/>
      <c r="D8" s="1174"/>
      <c r="E8" s="57"/>
      <c r="F8" s="57"/>
      <c r="G8" s="1175"/>
      <c r="H8" s="1175"/>
      <c r="I8" s="57"/>
      <c r="J8" s="57"/>
      <c r="K8" s="57"/>
      <c r="L8" s="57"/>
      <c r="M8" s="57"/>
      <c r="N8" s="57"/>
    </row>
    <row r="9" spans="3:14" x14ac:dyDescent="0.25">
      <c r="C9" s="1173"/>
      <c r="D9" s="1174"/>
      <c r="E9" s="57"/>
      <c r="F9" s="57"/>
      <c r="G9" s="1175"/>
      <c r="H9" s="1175"/>
      <c r="I9" s="57"/>
      <c r="J9" s="57"/>
      <c r="K9" s="57"/>
      <c r="L9" s="57"/>
      <c r="M9" s="57"/>
      <c r="N9" s="57"/>
    </row>
    <row r="10" spans="3:14" x14ac:dyDescent="0.25">
      <c r="C10" s="1173"/>
      <c r="D10" s="1174"/>
      <c r="E10" s="57"/>
      <c r="F10" s="57"/>
      <c r="G10" s="1175"/>
      <c r="H10" s="1175"/>
      <c r="I10" s="57"/>
      <c r="J10" s="57"/>
      <c r="K10" s="57"/>
      <c r="L10" s="57"/>
      <c r="M10" s="57"/>
      <c r="N10" s="57"/>
    </row>
    <row r="11" spans="3:14" x14ac:dyDescent="0.25">
      <c r="C11" s="1173"/>
      <c r="D11" s="1174"/>
      <c r="E11" s="57"/>
      <c r="F11" s="57"/>
      <c r="G11" s="1175"/>
      <c r="H11" s="1175"/>
      <c r="I11" s="57"/>
      <c r="J11" s="57"/>
      <c r="K11" s="57"/>
      <c r="L11" s="57"/>
      <c r="M11" s="57"/>
      <c r="N11" s="57"/>
    </row>
    <row r="12" spans="3:14" x14ac:dyDescent="0.25">
      <c r="C12" s="1173"/>
      <c r="D12" s="1174"/>
      <c r="E12" s="57"/>
      <c r="F12" s="57"/>
      <c r="G12" s="1175"/>
      <c r="H12" s="1175"/>
      <c r="I12" s="57"/>
      <c r="J12" s="57"/>
      <c r="K12" s="57"/>
      <c r="L12" s="57"/>
      <c r="M12" s="57"/>
      <c r="N12" s="57"/>
    </row>
    <row r="13" spans="3:14" x14ac:dyDescent="0.25">
      <c r="C13" s="1173"/>
      <c r="D13" s="1174"/>
      <c r="E13" s="57"/>
      <c r="F13" s="57"/>
      <c r="G13" s="1175"/>
      <c r="H13" s="1175"/>
      <c r="I13" s="57"/>
      <c r="J13" s="57"/>
      <c r="K13" s="57"/>
      <c r="L13" s="57"/>
      <c r="M13" s="57"/>
      <c r="N13" s="57"/>
    </row>
    <row r="14" spans="3:14" ht="38.4" customHeight="1" x14ac:dyDescent="0.25">
      <c r="C14" s="551" t="s">
        <v>664</v>
      </c>
      <c r="D14" s="581">
        <f>COUNTA(C4:D13)</f>
        <v>0</v>
      </c>
      <c r="G14" s="551" t="s">
        <v>660</v>
      </c>
      <c r="H14" s="581">
        <f>SUM(G4:H13)</f>
        <v>0</v>
      </c>
      <c r="I14" s="583"/>
    </row>
    <row r="15" spans="3:14" ht="6" customHeight="1" x14ac:dyDescent="0.25"/>
    <row r="16" spans="3:14" ht="1.2" customHeight="1" x14ac:dyDescent="0.25"/>
    <row r="17" spans="3:14" ht="49.95" customHeight="1" x14ac:dyDescent="0.25">
      <c r="C17" s="1176" t="s">
        <v>663</v>
      </c>
      <c r="D17" s="1185"/>
      <c r="E17" s="1185"/>
      <c r="F17" s="1185"/>
      <c r="G17" s="1185"/>
      <c r="H17" s="1185"/>
      <c r="I17" s="1185"/>
      <c r="J17" s="1185"/>
      <c r="K17" s="1185"/>
      <c r="L17" s="1185"/>
      <c r="M17" s="1185"/>
      <c r="N17" s="590"/>
    </row>
    <row r="18" spans="3:14" ht="46.2" customHeight="1" x14ac:dyDescent="0.25">
      <c r="C18" s="1182" t="s">
        <v>656</v>
      </c>
      <c r="D18" s="1183"/>
      <c r="E18" s="574" t="s">
        <v>218</v>
      </c>
      <c r="F18" s="575" t="s">
        <v>372</v>
      </c>
      <c r="G18" s="1184" t="s">
        <v>658</v>
      </c>
      <c r="H18" s="1183"/>
      <c r="I18" s="582" t="s">
        <v>665</v>
      </c>
      <c r="J18" s="207" t="s">
        <v>657</v>
      </c>
      <c r="K18" s="207" t="s">
        <v>375</v>
      </c>
      <c r="L18" s="206" t="s">
        <v>376</v>
      </c>
      <c r="M18" s="206" t="s">
        <v>377</v>
      </c>
      <c r="N18" s="206" t="s">
        <v>661</v>
      </c>
    </row>
    <row r="19" spans="3:14" x14ac:dyDescent="0.25">
      <c r="C19" s="1186"/>
      <c r="D19" s="1187"/>
      <c r="E19" s="27"/>
      <c r="F19" s="27"/>
      <c r="G19" s="1188"/>
      <c r="H19" s="1188"/>
      <c r="I19" s="27"/>
      <c r="J19" s="97"/>
      <c r="K19" s="97"/>
      <c r="L19" s="97"/>
      <c r="M19" s="97"/>
      <c r="N19" s="27"/>
    </row>
    <row r="20" spans="3:14" x14ac:dyDescent="0.25">
      <c r="C20" s="1186"/>
      <c r="D20" s="1187"/>
      <c r="E20" s="27"/>
      <c r="F20" s="27"/>
      <c r="G20" s="1188"/>
      <c r="H20" s="1188"/>
      <c r="I20" s="27"/>
      <c r="J20" s="97"/>
      <c r="K20" s="97"/>
      <c r="L20" s="97"/>
      <c r="M20" s="97"/>
      <c r="N20" s="27"/>
    </row>
    <row r="21" spans="3:14" x14ac:dyDescent="0.25">
      <c r="C21" s="1186"/>
      <c r="D21" s="1187"/>
      <c r="E21" s="27"/>
      <c r="F21" s="27"/>
      <c r="G21" s="1188"/>
      <c r="H21" s="1188"/>
      <c r="I21" s="27"/>
      <c r="J21" s="97"/>
      <c r="K21" s="97"/>
      <c r="L21" s="97"/>
      <c r="M21" s="97"/>
      <c r="N21" s="27"/>
    </row>
    <row r="22" spans="3:14" x14ac:dyDescent="0.25">
      <c r="C22" s="1189"/>
      <c r="D22" s="1187"/>
      <c r="E22" s="27"/>
      <c r="F22" s="27"/>
      <c r="G22" s="1188"/>
      <c r="H22" s="1188"/>
      <c r="I22" s="27"/>
      <c r="J22" s="97"/>
      <c r="K22" s="97"/>
      <c r="L22" s="97"/>
      <c r="M22" s="97"/>
      <c r="N22" s="27"/>
    </row>
    <row r="23" spans="3:14" x14ac:dyDescent="0.25">
      <c r="C23" s="1186"/>
      <c r="D23" s="1187"/>
      <c r="E23" s="27"/>
      <c r="F23" s="27"/>
      <c r="G23" s="1188"/>
      <c r="H23" s="1188"/>
      <c r="I23" s="27"/>
      <c r="J23" s="97"/>
      <c r="K23" s="97"/>
      <c r="L23" s="97"/>
      <c r="M23" s="97"/>
      <c r="N23" s="27"/>
    </row>
    <row r="24" spans="3:14" x14ac:dyDescent="0.25">
      <c r="C24" s="1186"/>
      <c r="D24" s="1187"/>
      <c r="E24" s="27"/>
      <c r="F24" s="27"/>
      <c r="G24" s="1188"/>
      <c r="H24" s="1188"/>
      <c r="I24" s="27"/>
      <c r="J24" s="97"/>
      <c r="K24" s="97"/>
      <c r="L24" s="97"/>
      <c r="M24" s="97"/>
      <c r="N24" s="27"/>
    </row>
    <row r="25" spans="3:14" x14ac:dyDescent="0.25">
      <c r="C25" s="1186"/>
      <c r="D25" s="1187"/>
      <c r="E25" s="27"/>
      <c r="F25" s="27"/>
      <c r="G25" s="1188"/>
      <c r="H25" s="1188"/>
      <c r="I25" s="27"/>
      <c r="J25" s="97"/>
      <c r="K25" s="97"/>
      <c r="L25" s="97"/>
      <c r="M25" s="97"/>
      <c r="N25" s="27"/>
    </row>
    <row r="26" spans="3:14" x14ac:dyDescent="0.25">
      <c r="C26" s="1186"/>
      <c r="D26" s="1187"/>
      <c r="E26" s="27"/>
      <c r="F26" s="27"/>
      <c r="G26" s="1188"/>
      <c r="H26" s="1188"/>
      <c r="I26" s="27"/>
      <c r="J26" s="97"/>
      <c r="K26" s="97"/>
      <c r="L26" s="97"/>
      <c r="M26" s="97"/>
      <c r="N26" s="27"/>
    </row>
    <row r="27" spans="3:14" x14ac:dyDescent="0.25">
      <c r="C27" s="1186"/>
      <c r="D27" s="1187"/>
      <c r="E27" s="27"/>
      <c r="F27" s="27"/>
      <c r="G27" s="1188"/>
      <c r="H27" s="1188"/>
      <c r="I27" s="27"/>
      <c r="J27" s="97"/>
      <c r="K27" s="97"/>
      <c r="L27" s="97"/>
      <c r="M27" s="97"/>
      <c r="N27" s="27"/>
    </row>
    <row r="28" spans="3:14" x14ac:dyDescent="0.25">
      <c r="C28" s="1186"/>
      <c r="D28" s="1187"/>
      <c r="E28" s="27"/>
      <c r="F28" s="27"/>
      <c r="G28" s="1188"/>
      <c r="H28" s="1188"/>
      <c r="I28" s="27"/>
      <c r="J28" s="97"/>
      <c r="K28" s="97"/>
      <c r="L28" s="97"/>
      <c r="M28" s="97"/>
      <c r="N28" s="27"/>
    </row>
    <row r="29" spans="3:14" ht="38.4" customHeight="1" x14ac:dyDescent="0.25">
      <c r="C29" s="551" t="s">
        <v>667</v>
      </c>
      <c r="D29" s="581">
        <f>COUNTA(C19:D28)</f>
        <v>0</v>
      </c>
      <c r="G29" s="551" t="s">
        <v>662</v>
      </c>
      <c r="H29" s="580">
        <f>SUM(G19:H28)</f>
        <v>0</v>
      </c>
      <c r="I29" s="5"/>
    </row>
  </sheetData>
  <mergeCells count="46">
    <mergeCell ref="C28:D28"/>
    <mergeCell ref="G28:H28"/>
    <mergeCell ref="C25:D25"/>
    <mergeCell ref="G25:H25"/>
    <mergeCell ref="C26:D26"/>
    <mergeCell ref="G26:H26"/>
    <mergeCell ref="C27:D27"/>
    <mergeCell ref="G27:H27"/>
    <mergeCell ref="C22:D22"/>
    <mergeCell ref="G22:H22"/>
    <mergeCell ref="C23:D23"/>
    <mergeCell ref="G23:H23"/>
    <mergeCell ref="C24:D24"/>
    <mergeCell ref="G24:H24"/>
    <mergeCell ref="C19:D19"/>
    <mergeCell ref="G19:H19"/>
    <mergeCell ref="C20:D20"/>
    <mergeCell ref="G20:H20"/>
    <mergeCell ref="C21:D21"/>
    <mergeCell ref="G21:H21"/>
    <mergeCell ref="C18:D18"/>
    <mergeCell ref="G18:H18"/>
    <mergeCell ref="C9:D9"/>
    <mergeCell ref="G9:H9"/>
    <mergeCell ref="C10:D10"/>
    <mergeCell ref="G10:H10"/>
    <mergeCell ref="C11:D11"/>
    <mergeCell ref="G11:H11"/>
    <mergeCell ref="C12:D12"/>
    <mergeCell ref="G12:H12"/>
    <mergeCell ref="C13:D13"/>
    <mergeCell ref="G13:H13"/>
    <mergeCell ref="C17:M17"/>
    <mergeCell ref="C6:D6"/>
    <mergeCell ref="G6:H6"/>
    <mergeCell ref="C7:D7"/>
    <mergeCell ref="G7:H7"/>
    <mergeCell ref="C8:D8"/>
    <mergeCell ref="G8:H8"/>
    <mergeCell ref="C5:D5"/>
    <mergeCell ref="G5:H5"/>
    <mergeCell ref="C2:M2"/>
    <mergeCell ref="C3:D3"/>
    <mergeCell ref="G3:H3"/>
    <mergeCell ref="C4:D4"/>
    <mergeCell ref="G4:H4"/>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B3:J10"/>
  <sheetViews>
    <sheetView workbookViewId="0">
      <selection activeCell="G17" sqref="G17"/>
    </sheetView>
  </sheetViews>
  <sheetFormatPr defaultRowHeight="13.2" x14ac:dyDescent="0.25"/>
  <cols>
    <col min="2" max="2" width="10.44140625" style="10" customWidth="1"/>
    <col min="3" max="3" width="25.33203125" style="10" customWidth="1"/>
    <col min="4" max="4" width="20.109375" style="10" customWidth="1"/>
    <col min="5" max="5" width="19.6640625" style="10" customWidth="1"/>
    <col min="6" max="6" width="14.5546875" style="10" customWidth="1"/>
    <col min="7" max="7" width="14.88671875" style="10" customWidth="1"/>
    <col min="8" max="8" width="18.44140625" style="10" customWidth="1"/>
    <col min="9" max="9" width="15.6640625" customWidth="1"/>
    <col min="10" max="10" width="28.5546875" customWidth="1"/>
  </cols>
  <sheetData>
    <row r="3" spans="2:10" ht="22.5" customHeight="1" x14ac:dyDescent="0.25">
      <c r="B3" s="1190" t="s">
        <v>604</v>
      </c>
      <c r="C3" s="1191"/>
      <c r="D3" s="1192"/>
    </row>
    <row r="5" spans="2:10" s="5" customFormat="1" ht="33" customHeight="1" x14ac:dyDescent="0.25">
      <c r="B5" s="487" t="s">
        <v>394</v>
      </c>
      <c r="C5" s="487" t="s">
        <v>597</v>
      </c>
      <c r="D5" s="488" t="s">
        <v>600</v>
      </c>
      <c r="E5" s="487" t="s">
        <v>598</v>
      </c>
      <c r="F5" s="488" t="s">
        <v>599</v>
      </c>
      <c r="G5" s="488" t="s">
        <v>601</v>
      </c>
      <c r="H5" s="488" t="s">
        <v>603</v>
      </c>
      <c r="I5" s="488" t="s">
        <v>602</v>
      </c>
      <c r="J5" s="488" t="s">
        <v>645</v>
      </c>
    </row>
    <row r="6" spans="2:10" x14ac:dyDescent="0.25">
      <c r="B6" s="440"/>
      <c r="C6" s="440"/>
      <c r="D6" s="134"/>
      <c r="E6" s="440"/>
      <c r="F6" s="134"/>
      <c r="G6" s="489"/>
      <c r="H6" s="404"/>
      <c r="I6" s="404"/>
      <c r="J6" s="97"/>
    </row>
    <row r="7" spans="2:10" x14ac:dyDescent="0.25">
      <c r="B7" s="440"/>
      <c r="C7" s="440"/>
      <c r="D7" s="134"/>
      <c r="E7" s="100"/>
      <c r="F7" s="134"/>
      <c r="G7" s="489"/>
      <c r="H7" s="101"/>
      <c r="I7" s="57"/>
      <c r="J7" s="100"/>
    </row>
    <row r="8" spans="2:10" x14ac:dyDescent="0.25">
      <c r="B8" s="440"/>
      <c r="C8" s="440"/>
      <c r="D8" s="134"/>
      <c r="E8" s="547"/>
      <c r="F8" s="546"/>
      <c r="G8" s="545"/>
      <c r="H8" s="101"/>
      <c r="I8" s="57"/>
      <c r="J8" s="100"/>
    </row>
    <row r="9" spans="2:10" x14ac:dyDescent="0.25">
      <c r="B9" s="97"/>
      <c r="C9" s="97"/>
      <c r="D9" s="134"/>
      <c r="E9" s="97"/>
      <c r="F9" s="97"/>
      <c r="G9" s="489"/>
      <c r="H9" s="57"/>
      <c r="I9" s="57"/>
      <c r="J9" s="97"/>
    </row>
    <row r="10" spans="2:10" x14ac:dyDescent="0.25">
      <c r="B10" s="97"/>
      <c r="C10" s="97"/>
      <c r="D10" s="134"/>
      <c r="E10" s="97"/>
      <c r="F10" s="97"/>
      <c r="G10" s="489"/>
      <c r="H10" s="57"/>
      <c r="I10" s="57"/>
      <c r="J10" s="97"/>
    </row>
  </sheetData>
  <mergeCells count="1">
    <mergeCell ref="B3:D3"/>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B2:E68"/>
  <sheetViews>
    <sheetView workbookViewId="0">
      <pane xSplit="3" ySplit="6" topLeftCell="D7" activePane="bottomRight" state="frozen"/>
      <selection pane="topRight" activeCell="E1" sqref="E1"/>
      <selection pane="bottomLeft" activeCell="A7" sqref="A7"/>
      <selection pane="bottomRight" activeCell="I13" sqref="I13"/>
    </sheetView>
  </sheetViews>
  <sheetFormatPr defaultRowHeight="13.2" x14ac:dyDescent="0.25"/>
  <cols>
    <col min="2" max="2" width="39.5546875" customWidth="1"/>
    <col min="3" max="3" width="10.5546875" customWidth="1"/>
  </cols>
  <sheetData>
    <row r="2" spans="2:5" x14ac:dyDescent="0.25">
      <c r="B2" s="1196" t="s">
        <v>405</v>
      </c>
    </row>
    <row r="3" spans="2:5" x14ac:dyDescent="0.25">
      <c r="B3" s="1197"/>
    </row>
    <row r="4" spans="2:5" x14ac:dyDescent="0.25">
      <c r="B4" s="1198"/>
    </row>
    <row r="5" spans="2:5" s="12" customFormat="1" ht="21.75" customHeight="1" x14ac:dyDescent="0.25"/>
    <row r="6" spans="2:5" s="5" customFormat="1" ht="37.5" customHeight="1" x14ac:dyDescent="0.25">
      <c r="B6" s="191" t="s">
        <v>395</v>
      </c>
      <c r="C6" s="191" t="s">
        <v>394</v>
      </c>
      <c r="D6" s="191">
        <v>2024</v>
      </c>
      <c r="E6" s="191">
        <v>2025</v>
      </c>
    </row>
    <row r="7" spans="2:5" ht="13.5" customHeight="1" x14ac:dyDescent="0.25">
      <c r="B7" s="1199" t="s">
        <v>404</v>
      </c>
      <c r="C7" s="1200" t="s">
        <v>327</v>
      </c>
      <c r="D7" s="1202"/>
      <c r="E7" s="1202" t="s">
        <v>228</v>
      </c>
    </row>
    <row r="8" spans="2:5" ht="13.5" customHeight="1" x14ac:dyDescent="0.25">
      <c r="B8" s="1193"/>
      <c r="C8" s="1193"/>
      <c r="D8" s="1202"/>
      <c r="E8" s="1202"/>
    </row>
    <row r="9" spans="2:5" ht="13.5" customHeight="1" x14ac:dyDescent="0.25">
      <c r="B9" s="1193" t="s">
        <v>236</v>
      </c>
      <c r="C9" s="1193" t="s">
        <v>253</v>
      </c>
      <c r="D9" s="1203"/>
      <c r="E9" s="1205"/>
    </row>
    <row r="10" spans="2:5" ht="13.5" customHeight="1" x14ac:dyDescent="0.25">
      <c r="B10" s="1193"/>
      <c r="C10" s="1193"/>
      <c r="D10" s="1203"/>
      <c r="E10" s="1205"/>
    </row>
    <row r="11" spans="2:5" ht="13.5" customHeight="1" x14ac:dyDescent="0.25">
      <c r="B11" s="1193" t="s">
        <v>199</v>
      </c>
      <c r="C11" s="1201" t="s">
        <v>198</v>
      </c>
      <c r="D11" s="1204"/>
      <c r="E11" s="1205"/>
    </row>
    <row r="12" spans="2:5" ht="13.5" customHeight="1" x14ac:dyDescent="0.25">
      <c r="B12" s="1193"/>
      <c r="C12" s="1201"/>
      <c r="D12" s="1204"/>
      <c r="E12" s="1205"/>
    </row>
    <row r="13" spans="2:5" ht="13.5" customHeight="1" x14ac:dyDescent="0.25">
      <c r="B13" s="1193" t="s">
        <v>43</v>
      </c>
      <c r="C13" s="1201" t="s">
        <v>44</v>
      </c>
      <c r="D13" s="1202"/>
      <c r="E13" s="1205"/>
    </row>
    <row r="14" spans="2:5" ht="13.5" customHeight="1" x14ac:dyDescent="0.25">
      <c r="B14" s="1193"/>
      <c r="C14" s="1201"/>
      <c r="D14" s="1202"/>
      <c r="E14" s="1205"/>
    </row>
    <row r="15" spans="2:5" ht="13.5" customHeight="1" x14ac:dyDescent="0.25">
      <c r="B15" s="1193" t="s">
        <v>152</v>
      </c>
      <c r="C15" s="1201" t="s">
        <v>296</v>
      </c>
      <c r="D15" s="1202"/>
      <c r="E15" s="1205"/>
    </row>
    <row r="16" spans="2:5" ht="13.5" customHeight="1" x14ac:dyDescent="0.25">
      <c r="B16" s="1193"/>
      <c r="C16" s="1201"/>
      <c r="D16" s="1202"/>
      <c r="E16" s="1205"/>
    </row>
    <row r="17" spans="2:5" ht="13.5" customHeight="1" x14ac:dyDescent="0.25">
      <c r="B17" s="1193" t="s">
        <v>240</v>
      </c>
      <c r="C17" s="1193" t="s">
        <v>239</v>
      </c>
      <c r="D17" s="1202"/>
      <c r="E17" s="1205"/>
    </row>
    <row r="18" spans="2:5" ht="13.5" customHeight="1" x14ac:dyDescent="0.25">
      <c r="B18" s="1193"/>
      <c r="C18" s="1193"/>
      <c r="D18" s="1202"/>
      <c r="E18" s="1205"/>
    </row>
    <row r="19" spans="2:5" ht="13.5" customHeight="1" x14ac:dyDescent="0.25">
      <c r="B19" s="1194" t="s">
        <v>66</v>
      </c>
      <c r="C19" s="1193" t="s">
        <v>279</v>
      </c>
      <c r="D19" s="1202"/>
      <c r="E19" s="1205"/>
    </row>
    <row r="20" spans="2:5" ht="13.5" customHeight="1" x14ac:dyDescent="0.25">
      <c r="B20" s="1195"/>
      <c r="C20" s="1193"/>
      <c r="D20" s="1202"/>
      <c r="E20" s="1205"/>
    </row>
    <row r="21" spans="2:5" ht="13.5" customHeight="1" x14ac:dyDescent="0.25">
      <c r="B21" s="1193" t="s">
        <v>234</v>
      </c>
      <c r="C21" s="1193" t="s">
        <v>235</v>
      </c>
      <c r="D21" s="1204"/>
      <c r="E21" s="1205"/>
    </row>
    <row r="22" spans="2:5" ht="13.5" customHeight="1" x14ac:dyDescent="0.25">
      <c r="B22" s="1193"/>
      <c r="C22" s="1193"/>
      <c r="D22" s="1204"/>
      <c r="E22" s="1205"/>
    </row>
    <row r="23" spans="2:5" ht="13.5" customHeight="1" x14ac:dyDescent="0.25">
      <c r="B23" s="1193" t="s">
        <v>167</v>
      </c>
      <c r="C23" s="1193" t="s">
        <v>168</v>
      </c>
      <c r="D23" s="1205"/>
      <c r="E23" s="1205"/>
    </row>
    <row r="24" spans="2:5" ht="13.5" customHeight="1" x14ac:dyDescent="0.25">
      <c r="B24" s="1193"/>
      <c r="C24" s="1193"/>
      <c r="D24" s="1205"/>
      <c r="E24" s="1205"/>
    </row>
    <row r="25" spans="2:5" ht="13.5" customHeight="1" x14ac:dyDescent="0.25">
      <c r="B25" s="1193" t="s">
        <v>39</v>
      </c>
      <c r="C25" s="1193">
        <v>150101</v>
      </c>
      <c r="D25" s="1205"/>
      <c r="E25" s="1205"/>
    </row>
    <row r="26" spans="2:5" ht="13.5" customHeight="1" x14ac:dyDescent="0.25">
      <c r="B26" s="1193"/>
      <c r="C26" s="1193"/>
      <c r="D26" s="1205"/>
      <c r="E26" s="1205"/>
    </row>
    <row r="27" spans="2:5" ht="13.5" customHeight="1" x14ac:dyDescent="0.25">
      <c r="B27" s="1193" t="s">
        <v>82</v>
      </c>
      <c r="C27" s="1193">
        <v>150103</v>
      </c>
      <c r="D27" s="1205"/>
      <c r="E27" s="1205"/>
    </row>
    <row r="28" spans="2:5" ht="13.5" customHeight="1" x14ac:dyDescent="0.25">
      <c r="B28" s="1193"/>
      <c r="C28" s="1193"/>
      <c r="D28" s="1205"/>
      <c r="E28" s="1205"/>
    </row>
    <row r="29" spans="2:5" ht="13.5" customHeight="1" x14ac:dyDescent="0.25">
      <c r="B29" s="1193" t="s">
        <v>40</v>
      </c>
      <c r="C29" s="1193">
        <v>150106</v>
      </c>
      <c r="D29" s="1205"/>
      <c r="E29" s="1205"/>
    </row>
    <row r="30" spans="2:5" ht="13.5" customHeight="1" x14ac:dyDescent="0.25">
      <c r="B30" s="1193"/>
      <c r="C30" s="1193"/>
      <c r="D30" s="1205"/>
      <c r="E30" s="1205"/>
    </row>
    <row r="31" spans="2:5" ht="13.5" customHeight="1" x14ac:dyDescent="0.25">
      <c r="B31" s="1193" t="s">
        <v>397</v>
      </c>
      <c r="C31" s="1193" t="s">
        <v>46</v>
      </c>
      <c r="D31" s="1206"/>
      <c r="E31" s="1205"/>
    </row>
    <row r="32" spans="2:5" ht="13.5" customHeight="1" x14ac:dyDescent="0.25">
      <c r="B32" s="1193"/>
      <c r="C32" s="1193"/>
      <c r="D32" s="1207"/>
      <c r="E32" s="1205"/>
    </row>
    <row r="33" spans="2:5" ht="13.5" customHeight="1" x14ac:dyDescent="0.25">
      <c r="B33" s="1193" t="s">
        <v>401</v>
      </c>
      <c r="C33" s="1193" t="s">
        <v>46</v>
      </c>
      <c r="D33" s="1208"/>
      <c r="E33" s="1205"/>
    </row>
    <row r="34" spans="2:5" ht="13.5" customHeight="1" x14ac:dyDescent="0.25">
      <c r="B34" s="1193"/>
      <c r="C34" s="1193"/>
      <c r="D34" s="1208"/>
      <c r="E34" s="1205"/>
    </row>
    <row r="35" spans="2:5" ht="13.5" customHeight="1" x14ac:dyDescent="0.25">
      <c r="B35" s="1193" t="s">
        <v>403</v>
      </c>
      <c r="C35" s="1193" t="s">
        <v>46</v>
      </c>
      <c r="D35" s="1208"/>
      <c r="E35" s="1205"/>
    </row>
    <row r="36" spans="2:5" ht="13.5" customHeight="1" x14ac:dyDescent="0.25">
      <c r="B36" s="1193"/>
      <c r="C36" s="1193"/>
      <c r="D36" s="1209"/>
      <c r="E36" s="1205"/>
    </row>
    <row r="37" spans="2:5" ht="13.5" customHeight="1" x14ac:dyDescent="0.25">
      <c r="B37" s="1193" t="s">
        <v>254</v>
      </c>
      <c r="C37" s="1193" t="s">
        <v>255</v>
      </c>
      <c r="D37" s="1202"/>
      <c r="E37" s="1205"/>
    </row>
    <row r="38" spans="2:5" ht="13.5" customHeight="1" x14ac:dyDescent="0.25">
      <c r="B38" s="1193"/>
      <c r="C38" s="1193"/>
      <c r="D38" s="1202"/>
      <c r="E38" s="1205"/>
    </row>
    <row r="39" spans="2:5" ht="13.5" customHeight="1" x14ac:dyDescent="0.25">
      <c r="B39" s="1193" t="s">
        <v>45</v>
      </c>
      <c r="C39" s="1193" t="s">
        <v>241</v>
      </c>
      <c r="D39" s="1202"/>
      <c r="E39" s="1205"/>
    </row>
    <row r="40" spans="2:5" ht="13.5" customHeight="1" x14ac:dyDescent="0.25">
      <c r="B40" s="1193"/>
      <c r="C40" s="1193"/>
      <c r="D40" s="1202"/>
      <c r="E40" s="1205"/>
    </row>
    <row r="41" spans="2:5" ht="13.5" customHeight="1" x14ac:dyDescent="0.25">
      <c r="B41" s="1193" t="s">
        <v>328</v>
      </c>
      <c r="C41" s="1193">
        <v>150203</v>
      </c>
      <c r="D41" s="1202" t="s">
        <v>228</v>
      </c>
      <c r="E41" s="1205"/>
    </row>
    <row r="42" spans="2:5" ht="13.5" customHeight="1" x14ac:dyDescent="0.25">
      <c r="B42" s="1193"/>
      <c r="C42" s="1193"/>
      <c r="D42" s="1202"/>
      <c r="E42" s="1205"/>
    </row>
    <row r="43" spans="2:5" ht="13.5" customHeight="1" x14ac:dyDescent="0.25">
      <c r="B43" s="1193" t="s">
        <v>331</v>
      </c>
      <c r="C43" s="1193" t="s">
        <v>238</v>
      </c>
      <c r="D43" s="1205"/>
      <c r="E43" s="1205"/>
    </row>
    <row r="44" spans="2:5" ht="13.5" customHeight="1" x14ac:dyDescent="0.25">
      <c r="B44" s="1193"/>
      <c r="C44" s="1193"/>
      <c r="D44" s="1205"/>
      <c r="E44" s="1205"/>
    </row>
    <row r="45" spans="2:5" ht="13.5" customHeight="1" x14ac:dyDescent="0.25">
      <c r="B45" s="1193" t="s">
        <v>332</v>
      </c>
      <c r="C45" s="1193">
        <v>160214</v>
      </c>
      <c r="D45" s="1205"/>
      <c r="E45" s="1205"/>
    </row>
    <row r="46" spans="2:5" ht="13.5" customHeight="1" x14ac:dyDescent="0.25">
      <c r="B46" s="1193"/>
      <c r="C46" s="1193"/>
      <c r="D46" s="1205"/>
      <c r="E46" s="1205"/>
    </row>
    <row r="47" spans="2:5" ht="13.5" customHeight="1" x14ac:dyDescent="0.25">
      <c r="B47" s="1193" t="s">
        <v>345</v>
      </c>
      <c r="C47" s="1193" t="s">
        <v>344</v>
      </c>
      <c r="D47" s="1210"/>
      <c r="E47" s="1205"/>
    </row>
    <row r="48" spans="2:5" ht="13.5" customHeight="1" x14ac:dyDescent="0.25">
      <c r="B48" s="1193"/>
      <c r="C48" s="1193"/>
      <c r="D48" s="1205"/>
      <c r="E48" s="1205"/>
    </row>
    <row r="49" spans="2:5" ht="13.5" customHeight="1" x14ac:dyDescent="0.25">
      <c r="B49" s="1193" t="s">
        <v>412</v>
      </c>
      <c r="C49" s="1193">
        <v>160216</v>
      </c>
      <c r="D49" s="1210"/>
      <c r="E49" s="1205"/>
    </row>
    <row r="50" spans="2:5" ht="13.5" customHeight="1" x14ac:dyDescent="0.25">
      <c r="B50" s="1193"/>
      <c r="C50" s="1193"/>
      <c r="D50" s="1205"/>
      <c r="E50" s="1205"/>
    </row>
    <row r="51" spans="2:5" ht="13.5" customHeight="1" x14ac:dyDescent="0.25">
      <c r="B51" s="1193" t="s">
        <v>127</v>
      </c>
      <c r="C51" s="1193" t="s">
        <v>245</v>
      </c>
      <c r="D51" s="1210"/>
      <c r="E51" s="1205"/>
    </row>
    <row r="52" spans="2:5" ht="13.5" customHeight="1" x14ac:dyDescent="0.25">
      <c r="B52" s="1193"/>
      <c r="C52" s="1193"/>
      <c r="D52" s="1205"/>
      <c r="E52" s="1205"/>
    </row>
    <row r="53" spans="2:5" ht="13.5" customHeight="1" x14ac:dyDescent="0.25">
      <c r="B53" s="1193" t="s">
        <v>411</v>
      </c>
      <c r="C53" s="1193">
        <v>170203</v>
      </c>
      <c r="D53" s="1210"/>
      <c r="E53" s="1205"/>
    </row>
    <row r="54" spans="2:5" ht="13.5" customHeight="1" x14ac:dyDescent="0.25">
      <c r="B54" s="1193"/>
      <c r="C54" s="1193"/>
      <c r="D54" s="1205"/>
      <c r="E54" s="1205"/>
    </row>
    <row r="55" spans="2:5" ht="13.5" customHeight="1" x14ac:dyDescent="0.25">
      <c r="B55" s="1193" t="s">
        <v>126</v>
      </c>
      <c r="C55" s="1193">
        <v>170405</v>
      </c>
      <c r="D55" s="1205"/>
      <c r="E55" s="1205"/>
    </row>
    <row r="56" spans="2:5" ht="13.5" customHeight="1" x14ac:dyDescent="0.25">
      <c r="B56" s="1193"/>
      <c r="C56" s="1193"/>
      <c r="D56" s="1205"/>
      <c r="E56" s="1205"/>
    </row>
    <row r="57" spans="2:5" ht="13.5" customHeight="1" x14ac:dyDescent="0.25">
      <c r="B57" s="1193" t="s">
        <v>125</v>
      </c>
      <c r="C57" s="1193" t="s">
        <v>124</v>
      </c>
      <c r="D57" s="1210"/>
      <c r="E57" s="1205"/>
    </row>
    <row r="58" spans="2:5" ht="13.5" customHeight="1" x14ac:dyDescent="0.25">
      <c r="B58" s="1193"/>
      <c r="C58" s="1193"/>
      <c r="D58" s="1205"/>
      <c r="E58" s="1205"/>
    </row>
    <row r="59" spans="2:5" ht="13.5" customHeight="1" x14ac:dyDescent="0.25">
      <c r="B59" s="1194" t="s">
        <v>474</v>
      </c>
      <c r="C59" s="1194">
        <v>170604</v>
      </c>
      <c r="D59" s="1205"/>
      <c r="E59" s="1205"/>
    </row>
    <row r="60" spans="2:5" ht="13.5" customHeight="1" x14ac:dyDescent="0.25">
      <c r="B60" s="1195"/>
      <c r="C60" s="1195"/>
      <c r="D60" s="1205"/>
      <c r="E60" s="1205"/>
    </row>
    <row r="61" spans="2:5" ht="13.5" customHeight="1" x14ac:dyDescent="0.25">
      <c r="B61" s="1193" t="s">
        <v>413</v>
      </c>
      <c r="C61" s="1193">
        <v>170904</v>
      </c>
      <c r="D61" s="1205"/>
      <c r="E61" s="1205"/>
    </row>
    <row r="62" spans="2:5" ht="13.5" customHeight="1" x14ac:dyDescent="0.25">
      <c r="B62" s="1193"/>
      <c r="C62" s="1193"/>
      <c r="D62" s="1205"/>
      <c r="E62" s="1205"/>
    </row>
    <row r="63" spans="2:5" ht="13.5" customHeight="1" x14ac:dyDescent="0.25">
      <c r="B63" s="1193" t="s">
        <v>41</v>
      </c>
      <c r="C63" s="1193">
        <v>190906</v>
      </c>
      <c r="D63" s="1202"/>
      <c r="E63" s="1205"/>
    </row>
    <row r="64" spans="2:5" ht="13.5" customHeight="1" x14ac:dyDescent="0.25">
      <c r="B64" s="1193"/>
      <c r="C64" s="1193"/>
      <c r="D64" s="1202"/>
      <c r="E64" s="1205"/>
    </row>
    <row r="65" spans="2:5" ht="13.5" customHeight="1" x14ac:dyDescent="0.25">
      <c r="B65" s="1193" t="s">
        <v>84</v>
      </c>
      <c r="C65" s="1193" t="s">
        <v>83</v>
      </c>
      <c r="D65" s="1210"/>
      <c r="E65" s="1210"/>
    </row>
    <row r="66" spans="2:5" ht="13.5" customHeight="1" x14ac:dyDescent="0.25">
      <c r="B66" s="1193"/>
      <c r="C66" s="1193"/>
      <c r="D66" s="1205"/>
      <c r="E66" s="1205"/>
    </row>
    <row r="67" spans="2:5" ht="13.5" customHeight="1" x14ac:dyDescent="0.25">
      <c r="B67" s="1193" t="s">
        <v>237</v>
      </c>
      <c r="C67" s="1193">
        <v>200304</v>
      </c>
      <c r="D67" s="1210"/>
      <c r="E67" s="1210"/>
    </row>
    <row r="68" spans="2:5" ht="13.5" customHeight="1" x14ac:dyDescent="0.25">
      <c r="B68" s="1193"/>
      <c r="C68" s="1193"/>
      <c r="D68" s="1205"/>
      <c r="E68" s="1205"/>
    </row>
  </sheetData>
  <mergeCells count="123">
    <mergeCell ref="E63:E64"/>
    <mergeCell ref="E65:E66"/>
    <mergeCell ref="E67:E68"/>
    <mergeCell ref="E45:E46"/>
    <mergeCell ref="E47:E48"/>
    <mergeCell ref="E49:E50"/>
    <mergeCell ref="E51:E52"/>
    <mergeCell ref="E53:E54"/>
    <mergeCell ref="E55:E56"/>
    <mergeCell ref="E57:E58"/>
    <mergeCell ref="E59:E60"/>
    <mergeCell ref="E61:E62"/>
    <mergeCell ref="E23:E24"/>
    <mergeCell ref="E25:E26"/>
    <mergeCell ref="E27:E28"/>
    <mergeCell ref="E29:E30"/>
    <mergeCell ref="E37:E38"/>
    <mergeCell ref="E39:E40"/>
    <mergeCell ref="E41:E42"/>
    <mergeCell ref="E43:E44"/>
    <mergeCell ref="E7:E8"/>
    <mergeCell ref="E9:E10"/>
    <mergeCell ref="E11:E12"/>
    <mergeCell ref="E13:E14"/>
    <mergeCell ref="E15:E16"/>
    <mergeCell ref="E17:E18"/>
    <mergeCell ref="E19:E20"/>
    <mergeCell ref="E21:E22"/>
    <mergeCell ref="E35:E36"/>
    <mergeCell ref="E33:E34"/>
    <mergeCell ref="E31:E32"/>
    <mergeCell ref="D65:D66"/>
    <mergeCell ref="D67:D68"/>
    <mergeCell ref="D41:D42"/>
    <mergeCell ref="D43:D44"/>
    <mergeCell ref="D45:D46"/>
    <mergeCell ref="D47:D48"/>
    <mergeCell ref="D49:D50"/>
    <mergeCell ref="D51:D52"/>
    <mergeCell ref="D53:D54"/>
    <mergeCell ref="D55:D56"/>
    <mergeCell ref="D57:D58"/>
    <mergeCell ref="D25:D26"/>
    <mergeCell ref="D27:D28"/>
    <mergeCell ref="D29:D30"/>
    <mergeCell ref="D37:D38"/>
    <mergeCell ref="D39:D40"/>
    <mergeCell ref="D31:D36"/>
    <mergeCell ref="D59:D60"/>
    <mergeCell ref="D61:D62"/>
    <mergeCell ref="D63:D64"/>
    <mergeCell ref="D7:D8"/>
    <mergeCell ref="D9:D10"/>
    <mergeCell ref="D11:D12"/>
    <mergeCell ref="D13:D14"/>
    <mergeCell ref="D15:D16"/>
    <mergeCell ref="D17:D18"/>
    <mergeCell ref="D19:D20"/>
    <mergeCell ref="D21:D22"/>
    <mergeCell ref="D23:D24"/>
    <mergeCell ref="C11:C12"/>
    <mergeCell ref="C29:C30"/>
    <mergeCell ref="B11:B12"/>
    <mergeCell ref="B15:B16"/>
    <mergeCell ref="C9:C10"/>
    <mergeCell ref="B13:B14"/>
    <mergeCell ref="B17:B18"/>
    <mergeCell ref="B27:B28"/>
    <mergeCell ref="B25:B26"/>
    <mergeCell ref="B19:B20"/>
    <mergeCell ref="C19:C20"/>
    <mergeCell ref="C17:C18"/>
    <mergeCell ref="B23:B24"/>
    <mergeCell ref="B21:B22"/>
    <mergeCell ref="C21:C22"/>
    <mergeCell ref="C23:C24"/>
    <mergeCell ref="C25:C26"/>
    <mergeCell ref="C27:C28"/>
    <mergeCell ref="C13:C14"/>
    <mergeCell ref="C15:C16"/>
    <mergeCell ref="B2:B4"/>
    <mergeCell ref="B7:B8"/>
    <mergeCell ref="C7:C8"/>
    <mergeCell ref="B67:B68"/>
    <mergeCell ref="C67:C68"/>
    <mergeCell ref="B63:B64"/>
    <mergeCell ref="C63:C64"/>
    <mergeCell ref="B65:B66"/>
    <mergeCell ref="C65:C66"/>
    <mergeCell ref="B41:B42"/>
    <mergeCell ref="C43:C44"/>
    <mergeCell ref="C53:C54"/>
    <mergeCell ref="B51:B52"/>
    <mergeCell ref="B49:B50"/>
    <mergeCell ref="B45:B46"/>
    <mergeCell ref="C47:C48"/>
    <mergeCell ref="B61:B62"/>
    <mergeCell ref="C55:C56"/>
    <mergeCell ref="B57:B58"/>
    <mergeCell ref="C57:C58"/>
    <mergeCell ref="B55:B56"/>
    <mergeCell ref="B47:B48"/>
    <mergeCell ref="B9:B10"/>
    <mergeCell ref="B29:B30"/>
    <mergeCell ref="C61:C62"/>
    <mergeCell ref="B43:B44"/>
    <mergeCell ref="C51:C52"/>
    <mergeCell ref="C49:C50"/>
    <mergeCell ref="B53:B54"/>
    <mergeCell ref="B31:B32"/>
    <mergeCell ref="B33:B34"/>
    <mergeCell ref="C31:C32"/>
    <mergeCell ref="B39:B40"/>
    <mergeCell ref="B35:B36"/>
    <mergeCell ref="B37:B38"/>
    <mergeCell ref="C45:C46"/>
    <mergeCell ref="C41:C42"/>
    <mergeCell ref="C39:C40"/>
    <mergeCell ref="C35:C36"/>
    <mergeCell ref="C37:C38"/>
    <mergeCell ref="C33:C34"/>
    <mergeCell ref="B59:B60"/>
    <mergeCell ref="C59:C60"/>
  </mergeCells>
  <phoneticPr fontId="0" type="noConversion"/>
  <hyperlinks>
    <hyperlink ref="D41:D42" r:id="rId1" display="SI" xr:uid="{00000000-0004-0000-1600-000000000000}"/>
    <hyperlink ref="E7:E8" r:id="rId2" display="SI" xr:uid="{00000000-0004-0000-1600-000001000000}"/>
  </hyperlinks>
  <pageMargins left="0.75" right="0.75" top="1" bottom="1" header="0.5" footer="0.5"/>
  <pageSetup paperSize="9" orientation="portrait" r:id="rId3"/>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pageSetUpPr fitToPage="1"/>
  </sheetPr>
  <dimension ref="B1:K28"/>
  <sheetViews>
    <sheetView topLeftCell="A2" zoomScaleNormal="100" zoomScaleSheetLayoutView="40" workbookViewId="0">
      <pane xSplit="3" topLeftCell="D1" activePane="topRight" state="frozen"/>
      <selection pane="topRight" activeCell="A16" sqref="A16"/>
    </sheetView>
  </sheetViews>
  <sheetFormatPr defaultColWidth="12.6640625" defaultRowHeight="13.2" x14ac:dyDescent="0.25"/>
  <cols>
    <col min="2" max="2" width="29.33203125" customWidth="1"/>
    <col min="3" max="3" width="49.5546875" customWidth="1"/>
    <col min="4" max="13" width="17.33203125" customWidth="1"/>
  </cols>
  <sheetData>
    <row r="1" spans="2:11" ht="13.8" thickBot="1" x14ac:dyDescent="0.3"/>
    <row r="2" spans="2:11" ht="60" customHeight="1" thickBot="1" x14ac:dyDescent="0.55000000000000004">
      <c r="B2" s="1211" t="s">
        <v>13</v>
      </c>
      <c r="C2" s="1212"/>
      <c r="D2" s="730"/>
      <c r="E2" s="730"/>
      <c r="H2" s="132" t="s">
        <v>1002</v>
      </c>
    </row>
    <row r="3" spans="2:11" ht="18" customHeight="1" x14ac:dyDescent="0.25">
      <c r="B3" s="380" t="s">
        <v>473</v>
      </c>
      <c r="C3" s="736">
        <f ca="1">NOW()</f>
        <v>46073.374034837965</v>
      </c>
      <c r="D3" s="381"/>
      <c r="E3" s="381"/>
    </row>
    <row r="4" spans="2:11" ht="22.95" customHeight="1" x14ac:dyDescent="0.25">
      <c r="D4" s="1214">
        <v>2023</v>
      </c>
      <c r="E4" s="1214"/>
      <c r="F4" s="1213">
        <v>2024</v>
      </c>
      <c r="G4" s="1213"/>
      <c r="H4" s="1214">
        <v>2025</v>
      </c>
      <c r="I4" s="1214"/>
      <c r="J4" s="1213">
        <v>2026</v>
      </c>
      <c r="K4" s="1213"/>
    </row>
    <row r="5" spans="2:11" ht="33.75" customHeight="1" x14ac:dyDescent="0.25">
      <c r="B5" s="226" t="s">
        <v>9</v>
      </c>
      <c r="C5" s="226" t="s">
        <v>8</v>
      </c>
      <c r="D5" s="226" t="s">
        <v>18</v>
      </c>
      <c r="E5" s="226" t="s">
        <v>18</v>
      </c>
      <c r="F5" s="226" t="s">
        <v>18</v>
      </c>
      <c r="G5" s="226" t="s">
        <v>18</v>
      </c>
      <c r="H5" s="226" t="s">
        <v>18</v>
      </c>
      <c r="I5" s="226" t="s">
        <v>18</v>
      </c>
      <c r="J5" s="226" t="s">
        <v>18</v>
      </c>
      <c r="K5" s="226" t="s">
        <v>18</v>
      </c>
    </row>
    <row r="6" spans="2:11" ht="20.100000000000001" customHeight="1" x14ac:dyDescent="0.4">
      <c r="B6" s="227" t="s">
        <v>21</v>
      </c>
      <c r="C6" s="227" t="s">
        <v>246</v>
      </c>
      <c r="D6" s="541" t="s">
        <v>924</v>
      </c>
      <c r="E6" s="541"/>
      <c r="F6" s="434" t="s">
        <v>924</v>
      </c>
      <c r="G6" s="434"/>
      <c r="H6" s="541" t="s">
        <v>924</v>
      </c>
      <c r="I6" s="541"/>
      <c r="J6" s="434" t="s">
        <v>924</v>
      </c>
      <c r="K6" s="434"/>
    </row>
    <row r="7" spans="2:11" ht="20.100000000000001" customHeight="1" x14ac:dyDescent="0.4">
      <c r="B7" s="227" t="s">
        <v>248</v>
      </c>
      <c r="C7" s="227" t="s">
        <v>251</v>
      </c>
      <c r="D7" s="540" t="s">
        <v>221</v>
      </c>
      <c r="E7" s="540" t="s">
        <v>221</v>
      </c>
      <c r="F7" s="230" t="s">
        <v>221</v>
      </c>
      <c r="G7" s="230" t="s">
        <v>221</v>
      </c>
      <c r="H7" s="540" t="s">
        <v>221</v>
      </c>
      <c r="I7" s="540" t="s">
        <v>221</v>
      </c>
      <c r="J7" s="230" t="s">
        <v>221</v>
      </c>
      <c r="K7" s="230" t="s">
        <v>221</v>
      </c>
    </row>
    <row r="8" spans="2:11" ht="30" customHeight="1" x14ac:dyDescent="0.4">
      <c r="B8" s="228" t="s">
        <v>249</v>
      </c>
      <c r="C8" s="227" t="s">
        <v>20</v>
      </c>
      <c r="D8" s="541"/>
      <c r="E8" s="541"/>
      <c r="F8" s="733" t="s">
        <v>930</v>
      </c>
      <c r="G8" s="434">
        <v>45627</v>
      </c>
      <c r="H8" s="732" t="s">
        <v>931</v>
      </c>
      <c r="I8" s="541"/>
      <c r="J8" s="434"/>
      <c r="K8" s="434"/>
    </row>
    <row r="9" spans="2:11" ht="20.100000000000001" customHeight="1" x14ac:dyDescent="0.4">
      <c r="B9" s="227" t="s">
        <v>250</v>
      </c>
      <c r="C9" s="227" t="s">
        <v>252</v>
      </c>
      <c r="D9" s="731"/>
      <c r="E9" s="540"/>
      <c r="F9" s="231"/>
      <c r="G9" s="231">
        <v>45627</v>
      </c>
      <c r="H9" s="733" t="s">
        <v>930</v>
      </c>
      <c r="I9" s="540"/>
      <c r="J9" s="231"/>
      <c r="K9" s="230"/>
    </row>
    <row r="10" spans="2:11" ht="20.100000000000001" customHeight="1" x14ac:dyDescent="0.4">
      <c r="B10" s="227" t="s">
        <v>22</v>
      </c>
      <c r="C10" s="227" t="s">
        <v>20</v>
      </c>
      <c r="D10" s="541"/>
      <c r="E10" s="541"/>
      <c r="F10" s="733" t="s">
        <v>930</v>
      </c>
      <c r="G10" s="542">
        <v>45627</v>
      </c>
      <c r="H10" s="732" t="s">
        <v>931</v>
      </c>
      <c r="I10" s="541"/>
      <c r="J10" s="542"/>
      <c r="K10" s="434"/>
    </row>
    <row r="11" spans="2:11" ht="20.100000000000001" customHeight="1" x14ac:dyDescent="0.4">
      <c r="B11" s="227" t="s">
        <v>23</v>
      </c>
      <c r="C11" s="227" t="s">
        <v>20</v>
      </c>
      <c r="D11" s="541"/>
      <c r="E11" s="541"/>
      <c r="F11" s="733" t="s">
        <v>930</v>
      </c>
      <c r="G11" s="542">
        <v>45627</v>
      </c>
      <c r="H11" s="732" t="s">
        <v>931</v>
      </c>
      <c r="I11" s="541"/>
      <c r="J11" s="542"/>
      <c r="K11" s="434"/>
    </row>
    <row r="12" spans="2:11" ht="30" customHeight="1" x14ac:dyDescent="0.4">
      <c r="B12" s="228" t="s">
        <v>247</v>
      </c>
      <c r="C12" s="227" t="s">
        <v>20</v>
      </c>
      <c r="D12" s="541"/>
      <c r="E12" s="541"/>
      <c r="F12" s="542"/>
      <c r="G12" s="434"/>
      <c r="H12" s="541">
        <v>45707</v>
      </c>
      <c r="I12" s="732" t="s">
        <v>674</v>
      </c>
      <c r="J12" s="542"/>
      <c r="K12" s="434"/>
    </row>
    <row r="13" spans="2:11" ht="16.2" x14ac:dyDescent="0.4">
      <c r="B13" s="228" t="s">
        <v>925</v>
      </c>
      <c r="C13" s="227" t="s">
        <v>926</v>
      </c>
      <c r="D13" s="541"/>
      <c r="E13" s="541"/>
      <c r="F13" s="434"/>
      <c r="G13" s="434"/>
      <c r="H13" s="541">
        <v>45707</v>
      </c>
      <c r="I13" s="732" t="s">
        <v>674</v>
      </c>
      <c r="J13" s="434"/>
      <c r="K13" s="434"/>
    </row>
    <row r="14" spans="2:11" ht="16.2" x14ac:dyDescent="0.4">
      <c r="B14" s="227" t="s">
        <v>24</v>
      </c>
      <c r="C14" s="227" t="s">
        <v>20</v>
      </c>
      <c r="D14" s="541"/>
      <c r="E14" s="541"/>
      <c r="F14" s="434"/>
      <c r="G14" s="434"/>
      <c r="H14" s="541"/>
      <c r="I14" s="541"/>
      <c r="J14" s="434"/>
      <c r="K14" s="434"/>
    </row>
    <row r="15" spans="2:11" ht="16.2" x14ac:dyDescent="0.4">
      <c r="B15" s="227" t="s">
        <v>282</v>
      </c>
      <c r="C15" s="227" t="s">
        <v>20</v>
      </c>
      <c r="D15" s="541"/>
      <c r="E15" s="541"/>
      <c r="F15" s="434" t="s">
        <v>927</v>
      </c>
      <c r="G15" s="434"/>
      <c r="H15" s="541" t="s">
        <v>927</v>
      </c>
      <c r="I15" s="541"/>
      <c r="J15" s="434"/>
      <c r="K15" s="434"/>
    </row>
    <row r="16" spans="2:11" ht="16.2" x14ac:dyDescent="0.4">
      <c r="B16" s="227" t="s">
        <v>283</v>
      </c>
      <c r="C16" s="227" t="s">
        <v>19</v>
      </c>
      <c r="D16" s="540" t="s">
        <v>928</v>
      </c>
      <c r="E16" s="540"/>
      <c r="F16" s="230" t="s">
        <v>928</v>
      </c>
      <c r="G16" s="230"/>
      <c r="H16" s="540" t="s">
        <v>928</v>
      </c>
      <c r="I16" s="540"/>
      <c r="J16" s="230" t="s">
        <v>928</v>
      </c>
      <c r="K16" s="230"/>
    </row>
    <row r="17" spans="2:11" ht="58.5" customHeight="1" x14ac:dyDescent="0.4">
      <c r="B17" s="227" t="s">
        <v>284</v>
      </c>
      <c r="C17" s="228" t="s">
        <v>496</v>
      </c>
      <c r="D17" s="541"/>
      <c r="E17" s="541"/>
      <c r="F17" s="434"/>
      <c r="G17" s="434"/>
      <c r="H17" s="541">
        <v>45714</v>
      </c>
      <c r="I17" s="732" t="s">
        <v>674</v>
      </c>
      <c r="J17" s="434"/>
      <c r="K17" s="434"/>
    </row>
    <row r="18" spans="2:11" ht="15" customHeight="1" x14ac:dyDescent="0.4">
      <c r="B18" s="170" t="s">
        <v>128</v>
      </c>
      <c r="C18" s="170" t="s">
        <v>129</v>
      </c>
      <c r="D18" s="731">
        <v>45182</v>
      </c>
      <c r="E18" s="540"/>
      <c r="F18" s="231"/>
      <c r="G18" s="230"/>
      <c r="H18" s="734" t="s">
        <v>932</v>
      </c>
      <c r="I18" s="540"/>
      <c r="J18" s="231"/>
      <c r="K18" s="230"/>
    </row>
    <row r="19" spans="2:11" ht="15" customHeight="1" x14ac:dyDescent="0.4">
      <c r="B19" s="170" t="s">
        <v>132</v>
      </c>
      <c r="C19" s="170" t="s">
        <v>129</v>
      </c>
      <c r="D19" s="540"/>
      <c r="E19" s="540"/>
      <c r="F19" s="230"/>
      <c r="G19" s="230"/>
      <c r="H19" s="540"/>
      <c r="I19" s="540"/>
      <c r="J19" s="230"/>
      <c r="K19" s="230"/>
    </row>
    <row r="20" spans="2:11" ht="28.5" customHeight="1" x14ac:dyDescent="0.4">
      <c r="B20" s="229" t="s">
        <v>133</v>
      </c>
      <c r="C20" s="170" t="s">
        <v>129</v>
      </c>
      <c r="D20" s="540" t="s">
        <v>929</v>
      </c>
      <c r="E20" s="540"/>
      <c r="F20" s="230"/>
      <c r="G20" s="230"/>
      <c r="H20" s="734" t="s">
        <v>932</v>
      </c>
      <c r="I20" s="540"/>
      <c r="J20" s="230"/>
      <c r="K20" s="230"/>
    </row>
    <row r="21" spans="2:11" ht="28.5" customHeight="1" x14ac:dyDescent="0.4">
      <c r="B21" s="229" t="s">
        <v>196</v>
      </c>
      <c r="C21" s="170" t="s">
        <v>42</v>
      </c>
      <c r="D21" s="541"/>
      <c r="E21" s="540"/>
      <c r="F21" s="434" t="s">
        <v>928</v>
      </c>
      <c r="G21" s="230"/>
      <c r="H21" s="541" t="s">
        <v>928</v>
      </c>
      <c r="I21" s="540"/>
      <c r="J21" s="434" t="s">
        <v>928</v>
      </c>
      <c r="K21" s="230"/>
    </row>
    <row r="22" spans="2:11" ht="15" customHeight="1" x14ac:dyDescent="0.4">
      <c r="B22" s="174" t="s">
        <v>297</v>
      </c>
      <c r="C22" s="227" t="s">
        <v>20</v>
      </c>
      <c r="D22" s="541"/>
      <c r="E22" s="541"/>
      <c r="F22" s="434">
        <v>45428</v>
      </c>
      <c r="G22" s="733" t="s">
        <v>930</v>
      </c>
      <c r="H22" s="733" t="s">
        <v>930</v>
      </c>
      <c r="I22" s="541"/>
      <c r="J22" s="434"/>
      <c r="K22" s="434"/>
    </row>
    <row r="23" spans="2:11" ht="15" customHeight="1" x14ac:dyDescent="0.4">
      <c r="B23" s="229" t="s">
        <v>298</v>
      </c>
      <c r="C23" s="227" t="s">
        <v>20</v>
      </c>
      <c r="D23" s="541"/>
      <c r="E23" s="541"/>
      <c r="F23" s="434">
        <v>45428</v>
      </c>
      <c r="G23" s="733" t="s">
        <v>930</v>
      </c>
      <c r="H23" s="733" t="s">
        <v>930</v>
      </c>
      <c r="I23" s="541"/>
      <c r="J23" s="434"/>
      <c r="K23" s="434"/>
    </row>
    <row r="24" spans="2:11" ht="15" customHeight="1" x14ac:dyDescent="0.4">
      <c r="B24" s="229" t="s">
        <v>406</v>
      </c>
      <c r="C24" s="227" t="s">
        <v>19</v>
      </c>
      <c r="D24" s="541"/>
      <c r="E24" s="541"/>
      <c r="F24" s="434" t="s">
        <v>928</v>
      </c>
      <c r="G24" s="434"/>
      <c r="H24" s="541" t="s">
        <v>928</v>
      </c>
      <c r="I24" s="541"/>
      <c r="J24" s="434" t="s">
        <v>928</v>
      </c>
      <c r="K24" s="434"/>
    </row>
    <row r="25" spans="2:11" ht="16.2" x14ac:dyDescent="0.4">
      <c r="B25" s="1"/>
    </row>
    <row r="26" spans="2:11" ht="16.2" x14ac:dyDescent="0.4">
      <c r="B26" s="1"/>
    </row>
    <row r="28" spans="2:11" x14ac:dyDescent="0.25">
      <c r="B28" t="s">
        <v>162</v>
      </c>
    </row>
  </sheetData>
  <mergeCells count="5">
    <mergeCell ref="B2:C2"/>
    <mergeCell ref="F4:G4"/>
    <mergeCell ref="H4:I4"/>
    <mergeCell ref="J4:K4"/>
    <mergeCell ref="D4:E4"/>
  </mergeCells>
  <hyperlinks>
    <hyperlink ref="H17" r:id="rId1" display="PREVENZIONE INCENDI\PROVE DI EVACUAZIONE\2025\Verbale prova emergenza ed evacuazione firmato.pdf" xr:uid="{00000000-0004-0000-1700-000000000000}"/>
    <hyperlink ref="H2" r:id="rId2" xr:uid="{00000000-0004-0000-1700-000001000000}"/>
  </hyperlinks>
  <pageMargins left="0.35433070866141736" right="0.35433070866141736" top="0.39370078740157483" bottom="0.39370078740157483" header="0.51181102362204722" footer="0.51181102362204722"/>
  <pageSetup paperSize="8" scale="89" fitToHeight="0" orientation="landscape" r:id="rId3"/>
  <headerFooter alignWithMargins="0">
    <oddFooter>&amp;Lstampa del &amp;D &amp;T</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B4:G23"/>
  <sheetViews>
    <sheetView workbookViewId="0">
      <pane xSplit="3" ySplit="10" topLeftCell="D11" activePane="bottomRight" state="frozen"/>
      <selection activeCell="G13" sqref="G13"/>
      <selection pane="topRight" activeCell="G13" sqref="G13"/>
      <selection pane="bottomLeft" activeCell="G13" sqref="G13"/>
      <selection pane="bottomRight" activeCell="F17" sqref="F17"/>
    </sheetView>
  </sheetViews>
  <sheetFormatPr defaultColWidth="12.6640625" defaultRowHeight="13.2" x14ac:dyDescent="0.25"/>
  <cols>
    <col min="2" max="2" width="34.109375" customWidth="1"/>
    <col min="3" max="3" width="16" customWidth="1"/>
    <col min="4" max="7" width="19.5546875" customWidth="1"/>
  </cols>
  <sheetData>
    <row r="4" spans="2:7" ht="19.8" x14ac:dyDescent="0.5">
      <c r="B4" s="1221" t="s">
        <v>197</v>
      </c>
      <c r="C4" s="1222"/>
      <c r="D4" s="1223"/>
      <c r="E4" s="1223"/>
      <c r="F4" s="1223"/>
    </row>
    <row r="6" spans="2:7" x14ac:dyDescent="0.25">
      <c r="B6" s="411" t="s">
        <v>494</v>
      </c>
    </row>
    <row r="7" spans="2:7" x14ac:dyDescent="0.25">
      <c r="B7" s="735" t="s">
        <v>933</v>
      </c>
    </row>
    <row r="9" spans="2:7" ht="12" customHeight="1" x14ac:dyDescent="0.25"/>
    <row r="10" spans="2:7" ht="33.75" customHeight="1" x14ac:dyDescent="0.25">
      <c r="B10" s="8" t="s">
        <v>9</v>
      </c>
      <c r="C10" s="8" t="s">
        <v>8</v>
      </c>
      <c r="D10" s="1215" t="s">
        <v>330</v>
      </c>
      <c r="E10" s="1216"/>
      <c r="F10" s="1215" t="s">
        <v>330</v>
      </c>
      <c r="G10" s="1216"/>
    </row>
    <row r="11" spans="2:7" ht="20.100000000000001" customHeight="1" x14ac:dyDescent="0.45">
      <c r="B11" s="158" t="s">
        <v>329</v>
      </c>
      <c r="C11" s="157" t="s">
        <v>19</v>
      </c>
      <c r="D11" s="1217">
        <v>45750</v>
      </c>
      <c r="E11" s="1218"/>
      <c r="F11" s="1219" t="s">
        <v>923</v>
      </c>
      <c r="G11" s="1220"/>
    </row>
    <row r="12" spans="2:7" ht="20.100000000000001" customHeight="1" x14ac:dyDescent="0.45">
      <c r="B12" s="156" t="s">
        <v>215</v>
      </c>
      <c r="C12" s="175" t="s">
        <v>20</v>
      </c>
      <c r="D12" s="134">
        <v>45665</v>
      </c>
      <c r="E12" s="134">
        <v>45856</v>
      </c>
      <c r="F12" s="134">
        <v>46036</v>
      </c>
      <c r="G12" s="481" t="s">
        <v>1128</v>
      </c>
    </row>
    <row r="13" spans="2:7" ht="7.5" customHeight="1" x14ac:dyDescent="0.25">
      <c r="B13" s="152"/>
    </row>
    <row r="14" spans="2:7" ht="16.2" x14ac:dyDescent="0.4">
      <c r="B14" s="159" t="s">
        <v>217</v>
      </c>
    </row>
    <row r="15" spans="2:7" ht="16.2" x14ac:dyDescent="0.4">
      <c r="B15" s="153" t="s">
        <v>350</v>
      </c>
    </row>
    <row r="16" spans="2:7" x14ac:dyDescent="0.25">
      <c r="B16" s="154" t="s">
        <v>349</v>
      </c>
    </row>
    <row r="17" spans="2:2" x14ac:dyDescent="0.25">
      <c r="B17" s="154" t="s">
        <v>351</v>
      </c>
    </row>
    <row r="18" spans="2:2" x14ac:dyDescent="0.25">
      <c r="B18" s="154" t="s">
        <v>216</v>
      </c>
    </row>
    <row r="19" spans="2:2" x14ac:dyDescent="0.25">
      <c r="B19" s="154" t="s">
        <v>352</v>
      </c>
    </row>
    <row r="20" spans="2:2" x14ac:dyDescent="0.25">
      <c r="B20" s="154"/>
    </row>
    <row r="21" spans="2:2" x14ac:dyDescent="0.25">
      <c r="B21" s="154" t="s">
        <v>353</v>
      </c>
    </row>
    <row r="22" spans="2:2" x14ac:dyDescent="0.25">
      <c r="B22" s="154" t="s">
        <v>356</v>
      </c>
    </row>
    <row r="23" spans="2:2" x14ac:dyDescent="0.25">
      <c r="B23" s="155" t="s">
        <v>357</v>
      </c>
    </row>
  </sheetData>
  <mergeCells count="5">
    <mergeCell ref="D10:E10"/>
    <mergeCell ref="D11:E11"/>
    <mergeCell ref="F11:G11"/>
    <mergeCell ref="F10:G10"/>
    <mergeCell ref="B4:F4"/>
  </mergeCells>
  <phoneticPr fontId="0" type="noConversion"/>
  <hyperlinks>
    <hyperlink ref="B6" r:id="rId1" xr:uid="{00000000-0004-0000-1800-000000000000}"/>
    <hyperlink ref="D11:E11" r:id="rId2" display="\\vefiles.gmi.local\Ambiente\GestioneAmbiente_LI\PREVENZIONE EMERGENZE AMBIENTALI\SIMULAZIONE EMERGENZA AMBIENTALE DEL 03_04_2025\simulazione emergenza ambientale del 03_04_2025.pdf" xr:uid="{00000000-0004-0000-1800-000001000000}"/>
    <hyperlink ref="B7" r:id="rId3" xr:uid="{00000000-0004-0000-1800-000002000000}"/>
  </hyperlinks>
  <pageMargins left="0.75" right="0.75" top="1" bottom="1" header="0.5" footer="0.5"/>
  <pageSetup paperSize="9" scale="84" orientation="portrait" r:id="rId4"/>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C3:H9"/>
  <sheetViews>
    <sheetView workbookViewId="0">
      <selection activeCell="I20" sqref="I20"/>
    </sheetView>
  </sheetViews>
  <sheetFormatPr defaultRowHeight="13.2" x14ac:dyDescent="0.25"/>
  <cols>
    <col min="4" max="4" width="15.6640625" customWidth="1"/>
    <col min="5" max="5" width="19" customWidth="1"/>
    <col min="6" max="6" width="19.33203125" customWidth="1"/>
    <col min="7" max="7" width="21" customWidth="1"/>
    <col min="8" max="8" width="21.88671875" customWidth="1"/>
  </cols>
  <sheetData>
    <row r="3" spans="3:8" x14ac:dyDescent="0.25">
      <c r="C3" s="132" t="s">
        <v>49</v>
      </c>
      <c r="D3" t="s">
        <v>147</v>
      </c>
    </row>
    <row r="4" spans="3:8" x14ac:dyDescent="0.25">
      <c r="C4" s="132"/>
    </row>
    <row r="5" spans="3:8" x14ac:dyDescent="0.25">
      <c r="C5" s="132"/>
    </row>
    <row r="6" spans="3:8" x14ac:dyDescent="0.25">
      <c r="E6" t="s">
        <v>52</v>
      </c>
    </row>
    <row r="7" spans="3:8" s="173" customFormat="1" ht="41.25" customHeight="1" x14ac:dyDescent="0.25">
      <c r="C7" s="1225" t="s">
        <v>51</v>
      </c>
      <c r="D7" s="1225"/>
      <c r="E7" s="151" t="s">
        <v>53</v>
      </c>
      <c r="F7" s="151" t="s">
        <v>54</v>
      </c>
      <c r="G7" s="151" t="s">
        <v>55</v>
      </c>
      <c r="H7" s="151" t="s">
        <v>50</v>
      </c>
    </row>
    <row r="8" spans="3:8" x14ac:dyDescent="0.25">
      <c r="C8" s="1224">
        <v>2024</v>
      </c>
      <c r="D8" s="1224"/>
      <c r="E8" s="27"/>
      <c r="F8" s="27"/>
      <c r="G8" s="27"/>
      <c r="H8" s="27"/>
    </row>
    <row r="9" spans="3:8" x14ac:dyDescent="0.25">
      <c r="C9" s="1224">
        <v>2025</v>
      </c>
      <c r="D9" s="1224"/>
      <c r="E9" s="27"/>
      <c r="F9" s="27"/>
      <c r="G9" s="27"/>
      <c r="H9" s="27"/>
    </row>
  </sheetData>
  <mergeCells count="3">
    <mergeCell ref="C9:D9"/>
    <mergeCell ref="C8:D8"/>
    <mergeCell ref="C7:D7"/>
  </mergeCells>
  <phoneticPr fontId="0" type="noConversion"/>
  <hyperlinks>
    <hyperlink ref="C3" r:id="rId1" xr:uid="{00000000-0004-0000-1900-000000000000}"/>
  </hyperlinks>
  <pageMargins left="0.75" right="0.75" top="1" bottom="1" header="0.5" footer="0.5"/>
  <pageSetup paperSize="9" scale="70" orientation="landscape" r:id="rId2"/>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3:T26"/>
  <sheetViews>
    <sheetView topLeftCell="A3" zoomScaleNormal="100" workbookViewId="0">
      <selection activeCell="E16" sqref="E16"/>
    </sheetView>
  </sheetViews>
  <sheetFormatPr defaultColWidth="8.88671875" defaultRowHeight="14.4" x14ac:dyDescent="0.3"/>
  <cols>
    <col min="1" max="1" width="18.6640625" style="1040" customWidth="1"/>
    <col min="2" max="2" width="32.109375" style="1040" customWidth="1"/>
    <col min="3" max="3" width="21.33203125" style="1040" customWidth="1"/>
    <col min="4" max="4" width="22.33203125" style="1040" customWidth="1"/>
    <col min="5" max="5" width="23.5546875" style="1040" customWidth="1"/>
    <col min="6" max="6" width="20.6640625" style="1040" customWidth="1"/>
    <col min="7" max="7" width="23.6640625" style="1040" customWidth="1"/>
    <col min="8" max="8" width="25.88671875" style="1040" hidden="1" customWidth="1"/>
    <col min="9" max="9" width="12.109375" style="1040" hidden="1" customWidth="1"/>
    <col min="10" max="10" width="0" style="1040" hidden="1" customWidth="1"/>
    <col min="11" max="11" width="10.44140625" style="1040" hidden="1" customWidth="1"/>
    <col min="12" max="12" width="23.88671875" style="1040" hidden="1" customWidth="1"/>
    <col min="13" max="13" width="12.6640625" style="1040" customWidth="1"/>
    <col min="14" max="14" width="8.88671875" style="1040"/>
    <col min="15" max="15" width="10.6640625" style="1040" hidden="1" customWidth="1"/>
    <col min="16" max="16" width="0" style="1040" hidden="1" customWidth="1"/>
    <col min="17" max="17" width="14.6640625" style="1040" hidden="1" customWidth="1"/>
    <col min="18" max="18" width="11" style="1040" hidden="1" customWidth="1"/>
    <col min="19" max="19" width="10.6640625" style="1040" bestFit="1" customWidth="1"/>
    <col min="20" max="20" width="16" style="1040" customWidth="1"/>
    <col min="21" max="16384" width="8.88671875" style="1040"/>
  </cols>
  <sheetData>
    <row r="3" spans="1:20" ht="15" customHeight="1" x14ac:dyDescent="0.3">
      <c r="A3" s="1233" t="s">
        <v>1003</v>
      </c>
      <c r="B3" s="1235" t="s">
        <v>642</v>
      </c>
      <c r="C3" s="1233" t="s">
        <v>423</v>
      </c>
      <c r="D3" s="1233" t="s">
        <v>257</v>
      </c>
      <c r="E3" s="1233" t="s">
        <v>1004</v>
      </c>
      <c r="F3" s="1233" t="s">
        <v>258</v>
      </c>
      <c r="G3" s="1233" t="s">
        <v>334</v>
      </c>
      <c r="H3" s="1237" t="s">
        <v>315</v>
      </c>
      <c r="I3" s="1239" t="s">
        <v>8</v>
      </c>
      <c r="J3" s="1239">
        <v>2025</v>
      </c>
      <c r="K3" s="1239" t="s">
        <v>1005</v>
      </c>
      <c r="L3" s="1241" t="s">
        <v>25</v>
      </c>
      <c r="M3" s="1233" t="s">
        <v>285</v>
      </c>
      <c r="N3" s="1233" t="s">
        <v>286</v>
      </c>
      <c r="O3" s="1235" t="s">
        <v>178</v>
      </c>
      <c r="P3" s="1235" t="s">
        <v>180</v>
      </c>
      <c r="Q3" s="1235" t="s">
        <v>368</v>
      </c>
      <c r="R3" s="1233" t="s">
        <v>8</v>
      </c>
      <c r="S3" s="1226" t="s">
        <v>145</v>
      </c>
      <c r="T3" s="1227"/>
    </row>
    <row r="4" spans="1:20" ht="53.25" customHeight="1" x14ac:dyDescent="0.3">
      <c r="A4" s="1234"/>
      <c r="B4" s="1236"/>
      <c r="C4" s="1234"/>
      <c r="D4" s="1234"/>
      <c r="E4" s="1234"/>
      <c r="F4" s="1234"/>
      <c r="G4" s="1234"/>
      <c r="H4" s="1238"/>
      <c r="I4" s="1240"/>
      <c r="J4" s="1240"/>
      <c r="K4" s="1240"/>
      <c r="L4" s="1242"/>
      <c r="M4" s="1234"/>
      <c r="N4" s="1234"/>
      <c r="O4" s="1236"/>
      <c r="P4" s="1236"/>
      <c r="Q4" s="1236"/>
      <c r="R4" s="1234"/>
      <c r="S4" s="1039" t="s">
        <v>330</v>
      </c>
      <c r="T4" s="1041" t="s">
        <v>146</v>
      </c>
    </row>
    <row r="5" spans="1:20" x14ac:dyDescent="0.3">
      <c r="A5" s="1042" t="s">
        <v>1006</v>
      </c>
      <c r="B5" s="1043" t="s">
        <v>1007</v>
      </c>
      <c r="C5" s="1043">
        <v>1</v>
      </c>
      <c r="D5" s="1043" t="s">
        <v>1008</v>
      </c>
      <c r="E5" s="1043" t="s">
        <v>1009</v>
      </c>
      <c r="F5" s="1043" t="s">
        <v>1010</v>
      </c>
      <c r="G5" s="1043" t="s">
        <v>1011</v>
      </c>
      <c r="H5" s="1043"/>
      <c r="I5" s="1043"/>
      <c r="J5" s="1043"/>
      <c r="K5" s="1043"/>
      <c r="L5" s="1043"/>
      <c r="M5" s="1043" t="s">
        <v>1012</v>
      </c>
      <c r="N5" s="1043"/>
      <c r="O5" s="1043"/>
      <c r="P5" s="1043"/>
      <c r="Q5" s="1043"/>
      <c r="R5" s="1043"/>
      <c r="S5" s="1044">
        <v>45797</v>
      </c>
      <c r="T5" s="1043"/>
    </row>
    <row r="6" spans="1:20" x14ac:dyDescent="0.3">
      <c r="A6" s="1045"/>
      <c r="B6" s="1043" t="s">
        <v>1013</v>
      </c>
      <c r="C6" s="1043">
        <v>2</v>
      </c>
      <c r="D6" s="1043" t="s">
        <v>1014</v>
      </c>
      <c r="E6" s="1043" t="s">
        <v>1015</v>
      </c>
      <c r="F6" s="1043">
        <v>82200153</v>
      </c>
      <c r="G6" s="1043" t="s">
        <v>1011</v>
      </c>
      <c r="H6" s="1043"/>
      <c r="I6" s="1043"/>
      <c r="J6" s="1043"/>
      <c r="K6" s="1043"/>
      <c r="L6" s="1043"/>
      <c r="M6" s="1043" t="s">
        <v>1012</v>
      </c>
      <c r="N6" s="1043">
        <v>0.96</v>
      </c>
      <c r="O6" s="1043"/>
      <c r="P6" s="1043"/>
      <c r="Q6" s="1043"/>
      <c r="R6" s="1043"/>
      <c r="S6" s="1044">
        <v>45797</v>
      </c>
      <c r="T6" s="1043"/>
    </row>
    <row r="7" spans="1:20" x14ac:dyDescent="0.3">
      <c r="A7" s="1045"/>
      <c r="B7" s="1043" t="s">
        <v>1016</v>
      </c>
      <c r="C7" s="1043">
        <v>3</v>
      </c>
      <c r="D7" s="1043" t="s">
        <v>1008</v>
      </c>
      <c r="E7" s="1043" t="s">
        <v>1009</v>
      </c>
      <c r="F7" s="1043">
        <v>120575</v>
      </c>
      <c r="G7" s="1043" t="s">
        <v>1011</v>
      </c>
      <c r="H7" s="1043"/>
      <c r="I7" s="1043"/>
      <c r="J7" s="1043"/>
      <c r="K7" s="1043"/>
      <c r="L7" s="1043"/>
      <c r="M7" s="1043" t="s">
        <v>1012</v>
      </c>
      <c r="N7" s="1043"/>
      <c r="O7" s="1043"/>
      <c r="P7" s="1043"/>
      <c r="Q7" s="1043"/>
      <c r="R7" s="1043"/>
      <c r="S7" s="1044">
        <v>45797</v>
      </c>
      <c r="T7" s="1043"/>
    </row>
    <row r="8" spans="1:20" x14ac:dyDescent="0.3">
      <c r="A8" s="1045"/>
      <c r="B8" s="1043" t="s">
        <v>1017</v>
      </c>
      <c r="C8" s="1043">
        <v>4</v>
      </c>
      <c r="D8" s="1043" t="s">
        <v>1018</v>
      </c>
      <c r="E8" s="1043" t="s">
        <v>1019</v>
      </c>
      <c r="F8" s="1043" t="s">
        <v>1020</v>
      </c>
      <c r="G8" s="1043" t="s">
        <v>1011</v>
      </c>
      <c r="H8" s="1043"/>
      <c r="I8" s="1043"/>
      <c r="J8" s="1043"/>
      <c r="K8" s="1043"/>
      <c r="L8" s="1043"/>
      <c r="M8" s="1043" t="s">
        <v>1021</v>
      </c>
      <c r="N8" s="1043">
        <v>0.9</v>
      </c>
      <c r="O8" s="1043"/>
      <c r="P8" s="1043"/>
      <c r="Q8" s="1043"/>
      <c r="R8" s="1043"/>
      <c r="S8" s="1044">
        <v>45797</v>
      </c>
      <c r="T8" s="1043"/>
    </row>
    <row r="9" spans="1:20" x14ac:dyDescent="0.3">
      <c r="A9" s="1046"/>
      <c r="B9" s="1043" t="s">
        <v>1017</v>
      </c>
      <c r="C9" s="1043">
        <v>5</v>
      </c>
      <c r="D9" s="1043" t="s">
        <v>1022</v>
      </c>
      <c r="E9" s="1043" t="s">
        <v>1023</v>
      </c>
      <c r="F9" s="1043" t="s">
        <v>1024</v>
      </c>
      <c r="G9" s="1043" t="s">
        <v>1011</v>
      </c>
      <c r="H9" s="1043"/>
      <c r="I9" s="1043"/>
      <c r="J9" s="1043"/>
      <c r="K9" s="1043"/>
      <c r="L9" s="1043"/>
      <c r="M9" s="1043" t="s">
        <v>1012</v>
      </c>
      <c r="N9" s="1043">
        <v>1</v>
      </c>
      <c r="O9" s="1043"/>
      <c r="P9" s="1043"/>
      <c r="Q9" s="1043"/>
      <c r="R9" s="1043"/>
      <c r="S9" s="1044">
        <v>45797</v>
      </c>
      <c r="T9" s="1043"/>
    </row>
    <row r="10" spans="1:20" x14ac:dyDescent="0.3">
      <c r="A10" s="1043" t="s">
        <v>1025</v>
      </c>
      <c r="B10" s="1043" t="s">
        <v>1026</v>
      </c>
      <c r="C10" s="1043">
        <v>6</v>
      </c>
      <c r="D10" s="1043" t="s">
        <v>1027</v>
      </c>
      <c r="E10" s="1043" t="s">
        <v>1028</v>
      </c>
      <c r="F10" s="1043">
        <v>258636</v>
      </c>
      <c r="G10" s="1043" t="s">
        <v>1011</v>
      </c>
      <c r="H10" s="1043"/>
      <c r="I10" s="1043"/>
      <c r="J10" s="1043"/>
      <c r="K10" s="1043"/>
      <c r="L10" s="1043"/>
      <c r="M10" s="1043" t="s">
        <v>1021</v>
      </c>
      <c r="N10" s="1043">
        <v>0.6</v>
      </c>
      <c r="O10" s="1043"/>
      <c r="P10" s="1043"/>
      <c r="Q10" s="1043"/>
      <c r="R10" s="1043"/>
      <c r="S10" s="1044">
        <v>45797</v>
      </c>
      <c r="T10" s="1043"/>
    </row>
    <row r="11" spans="1:20" x14ac:dyDescent="0.3">
      <c r="A11" s="1228" t="s">
        <v>1029</v>
      </c>
      <c r="B11" s="1043" t="s">
        <v>1030</v>
      </c>
      <c r="C11" s="1043">
        <v>7</v>
      </c>
      <c r="D11" s="1043" t="s">
        <v>1031</v>
      </c>
      <c r="E11" s="1043" t="s">
        <v>1032</v>
      </c>
      <c r="F11" s="1043">
        <v>63249900733</v>
      </c>
      <c r="G11" s="1043" t="s">
        <v>1011</v>
      </c>
      <c r="H11" s="1043"/>
      <c r="I11" s="1043"/>
      <c r="J11" s="1043"/>
      <c r="K11" s="1043"/>
      <c r="L11" s="1043"/>
      <c r="M11" s="1043" t="s">
        <v>1021</v>
      </c>
      <c r="N11" s="1043">
        <v>0.77</v>
      </c>
      <c r="O11" s="1043"/>
      <c r="P11" s="1043"/>
      <c r="Q11" s="1043"/>
      <c r="R11" s="1043"/>
      <c r="S11" s="1044">
        <v>45797</v>
      </c>
      <c r="T11" s="1043"/>
    </row>
    <row r="12" spans="1:20" x14ac:dyDescent="0.3">
      <c r="A12" s="1229"/>
      <c r="B12" s="1043" t="s">
        <v>1033</v>
      </c>
      <c r="C12" s="1043">
        <v>8</v>
      </c>
      <c r="D12" s="1043" t="s">
        <v>1034</v>
      </c>
      <c r="E12" s="1043" t="s">
        <v>1035</v>
      </c>
      <c r="F12" s="1043">
        <v>2200650</v>
      </c>
      <c r="G12" s="1043" t="s">
        <v>1011</v>
      </c>
      <c r="H12" s="1043"/>
      <c r="I12" s="1043"/>
      <c r="J12" s="1043"/>
      <c r="K12" s="1043"/>
      <c r="L12" s="1043"/>
      <c r="M12" s="1043" t="s">
        <v>1012</v>
      </c>
      <c r="N12" s="1043">
        <v>0.8</v>
      </c>
      <c r="O12" s="1043"/>
      <c r="P12" s="1043"/>
      <c r="Q12" s="1043"/>
      <c r="R12" s="1043"/>
      <c r="S12" s="1044">
        <v>45797</v>
      </c>
      <c r="T12" s="1043"/>
    </row>
    <row r="13" spans="1:20" x14ac:dyDescent="0.3">
      <c r="A13" s="1230" t="s">
        <v>1036</v>
      </c>
      <c r="B13" s="1043" t="s">
        <v>1037</v>
      </c>
      <c r="C13" s="1043">
        <v>9</v>
      </c>
      <c r="D13" s="1043" t="s">
        <v>1038</v>
      </c>
      <c r="E13" s="1043" t="s">
        <v>1039</v>
      </c>
      <c r="F13" s="1043" t="s">
        <v>1040</v>
      </c>
      <c r="G13" s="1043" t="s">
        <v>1011</v>
      </c>
      <c r="H13" s="1043"/>
      <c r="I13" s="1043"/>
      <c r="J13" s="1043"/>
      <c r="K13" s="1043"/>
      <c r="L13" s="1043"/>
      <c r="M13" s="1043" t="s">
        <v>1041</v>
      </c>
      <c r="N13" s="1043">
        <v>6</v>
      </c>
      <c r="O13" s="1043"/>
      <c r="P13" s="1043"/>
      <c r="Q13" s="1043"/>
      <c r="R13" s="1043"/>
      <c r="S13" s="1044">
        <v>45797</v>
      </c>
      <c r="T13" s="1043"/>
    </row>
    <row r="14" spans="1:20" x14ac:dyDescent="0.3">
      <c r="A14" s="1231"/>
      <c r="B14" s="1047" t="s">
        <v>1042</v>
      </c>
      <c r="C14" s="1043">
        <v>10</v>
      </c>
      <c r="D14" s="1043" t="s">
        <v>1014</v>
      </c>
      <c r="E14" s="1043" t="s">
        <v>1043</v>
      </c>
      <c r="F14" s="1043" t="s">
        <v>1044</v>
      </c>
      <c r="G14" s="1043" t="s">
        <v>1011</v>
      </c>
      <c r="H14" s="1043"/>
      <c r="I14" s="1043"/>
      <c r="J14" s="1043"/>
      <c r="K14" s="1043"/>
      <c r="L14" s="1043"/>
      <c r="M14" s="1043" t="s">
        <v>1012</v>
      </c>
      <c r="N14" s="1043">
        <v>8.5500000000000007</v>
      </c>
      <c r="O14" s="1043"/>
      <c r="P14" s="1043"/>
      <c r="Q14" s="1043"/>
      <c r="R14" s="1043"/>
      <c r="S14" s="1044">
        <v>45797</v>
      </c>
      <c r="T14" s="1043"/>
    </row>
    <row r="15" spans="1:20" x14ac:dyDescent="0.3">
      <c r="A15" s="1231"/>
      <c r="B15" s="1043" t="s">
        <v>1045</v>
      </c>
      <c r="C15" s="1043">
        <v>11</v>
      </c>
      <c r="D15" s="1043" t="s">
        <v>1038</v>
      </c>
      <c r="E15" s="1043" t="s">
        <v>1046</v>
      </c>
      <c r="F15" s="1043" t="s">
        <v>1047</v>
      </c>
      <c r="G15" s="1043" t="s">
        <v>1011</v>
      </c>
      <c r="H15" s="1043"/>
      <c r="I15" s="1043"/>
      <c r="J15" s="1043"/>
      <c r="K15" s="1043"/>
      <c r="L15" s="1043"/>
      <c r="M15" s="1043" t="s">
        <v>1041</v>
      </c>
      <c r="N15" s="1043">
        <v>3.5</v>
      </c>
      <c r="O15" s="1043"/>
      <c r="P15" s="1043"/>
      <c r="Q15" s="1043"/>
      <c r="R15" s="1043"/>
      <c r="S15" s="1044">
        <v>45797</v>
      </c>
      <c r="T15" s="1043"/>
    </row>
    <row r="16" spans="1:20" x14ac:dyDescent="0.3">
      <c r="A16" s="1231"/>
      <c r="B16" s="1043" t="s">
        <v>1037</v>
      </c>
      <c r="C16" s="1043">
        <v>12</v>
      </c>
      <c r="D16" s="1043" t="s">
        <v>1038</v>
      </c>
      <c r="E16" s="1043" t="s">
        <v>1048</v>
      </c>
      <c r="F16" s="1043">
        <v>120159</v>
      </c>
      <c r="G16" s="1043" t="s">
        <v>1011</v>
      </c>
      <c r="H16" s="1043"/>
      <c r="I16" s="1043"/>
      <c r="J16" s="1043"/>
      <c r="K16" s="1043"/>
      <c r="L16" s="1043"/>
      <c r="M16" s="1043" t="s">
        <v>1041</v>
      </c>
      <c r="N16" s="1043">
        <v>18</v>
      </c>
      <c r="O16" s="1043"/>
      <c r="P16" s="1043"/>
      <c r="Q16" s="1043"/>
      <c r="R16" s="1043"/>
      <c r="S16" s="1044">
        <v>45797</v>
      </c>
      <c r="T16" s="1043"/>
    </row>
    <row r="17" spans="1:20" x14ac:dyDescent="0.3">
      <c r="A17" s="1231"/>
      <c r="B17" s="1043" t="s">
        <v>1049</v>
      </c>
      <c r="C17" s="1043">
        <v>13</v>
      </c>
      <c r="D17" s="1043" t="s">
        <v>1050</v>
      </c>
      <c r="E17" s="1043" t="s">
        <v>1051</v>
      </c>
      <c r="F17" s="1043">
        <v>100009854</v>
      </c>
      <c r="G17" s="1043" t="s">
        <v>1011</v>
      </c>
      <c r="H17" s="1043"/>
      <c r="I17" s="1043"/>
      <c r="J17" s="1043"/>
      <c r="K17" s="1043"/>
      <c r="L17" s="1043"/>
      <c r="M17" s="1043" t="s">
        <v>1052</v>
      </c>
      <c r="N17" s="1043">
        <v>0.47</v>
      </c>
      <c r="O17" s="1043"/>
      <c r="P17" s="1043"/>
      <c r="Q17" s="1043"/>
      <c r="R17" s="1043"/>
      <c r="S17" s="1044">
        <v>45797</v>
      </c>
      <c r="T17" s="1043"/>
    </row>
    <row r="18" spans="1:20" x14ac:dyDescent="0.3">
      <c r="A18" s="1231"/>
      <c r="B18" s="1043" t="s">
        <v>1053</v>
      </c>
      <c r="C18" s="1043">
        <v>14</v>
      </c>
      <c r="D18" s="1043" t="s">
        <v>1014</v>
      </c>
      <c r="E18" s="1043" t="s">
        <v>1054</v>
      </c>
      <c r="F18" s="1043" t="s">
        <v>1055</v>
      </c>
      <c r="G18" s="1043" t="s">
        <v>1011</v>
      </c>
      <c r="H18" s="1043"/>
      <c r="I18" s="1043"/>
      <c r="J18" s="1043"/>
      <c r="K18" s="1043"/>
      <c r="L18" s="1043"/>
      <c r="M18" s="1043" t="s">
        <v>1021</v>
      </c>
      <c r="N18" s="1043">
        <v>8.6999999999999993</v>
      </c>
      <c r="O18" s="1043"/>
      <c r="P18" s="1043"/>
      <c r="Q18" s="1043"/>
      <c r="R18" s="1043"/>
      <c r="S18" s="1044">
        <v>45797</v>
      </c>
      <c r="T18" s="1043"/>
    </row>
    <row r="19" spans="1:20" x14ac:dyDescent="0.3">
      <c r="A19" s="1231"/>
      <c r="B19" s="1047" t="s">
        <v>1056</v>
      </c>
      <c r="C19" s="1043">
        <v>15</v>
      </c>
      <c r="D19" s="1043" t="s">
        <v>1050</v>
      </c>
      <c r="E19" s="1043" t="s">
        <v>1051</v>
      </c>
      <c r="F19" s="1043">
        <v>100006752</v>
      </c>
      <c r="G19" s="1043" t="s">
        <v>1011</v>
      </c>
      <c r="H19" s="1043"/>
      <c r="I19" s="1043"/>
      <c r="J19" s="1043"/>
      <c r="K19" s="1043"/>
      <c r="L19" s="1043"/>
      <c r="M19" s="1043" t="s">
        <v>1052</v>
      </c>
      <c r="N19" s="1043">
        <v>0.47</v>
      </c>
      <c r="O19" s="1043"/>
      <c r="P19" s="1043"/>
      <c r="Q19" s="1043"/>
      <c r="R19" s="1043"/>
      <c r="S19" s="1044">
        <v>45797</v>
      </c>
      <c r="T19" s="1043"/>
    </row>
    <row r="20" spans="1:20" x14ac:dyDescent="0.3">
      <c r="A20" s="1231"/>
      <c r="B20" s="1043" t="s">
        <v>1057</v>
      </c>
      <c r="C20" s="1043">
        <v>16</v>
      </c>
      <c r="D20" s="1043" t="s">
        <v>1038</v>
      </c>
      <c r="E20" s="1043" t="s">
        <v>1058</v>
      </c>
      <c r="F20" s="1043">
        <v>652336</v>
      </c>
      <c r="G20" s="1043" t="s">
        <v>1011</v>
      </c>
      <c r="H20" s="1043"/>
      <c r="I20" s="1043"/>
      <c r="J20" s="1043"/>
      <c r="K20" s="1043"/>
      <c r="L20" s="1043"/>
      <c r="M20" s="1043" t="s">
        <v>1041</v>
      </c>
      <c r="N20" s="1043">
        <v>1.8</v>
      </c>
      <c r="O20" s="1043"/>
      <c r="P20" s="1043"/>
      <c r="Q20" s="1043"/>
      <c r="R20" s="1043"/>
      <c r="S20" s="1044">
        <v>45797</v>
      </c>
      <c r="T20" s="1043"/>
    </row>
    <row r="21" spans="1:20" x14ac:dyDescent="0.3">
      <c r="A21" s="1231"/>
      <c r="B21" s="1047" t="s">
        <v>1059</v>
      </c>
      <c r="C21" s="1043">
        <v>17</v>
      </c>
      <c r="D21" s="1043" t="s">
        <v>1060</v>
      </c>
      <c r="E21" s="1043" t="s">
        <v>1061</v>
      </c>
      <c r="F21" s="1043" t="s">
        <v>1062</v>
      </c>
      <c r="G21" s="1043" t="s">
        <v>1011</v>
      </c>
      <c r="H21" s="1043"/>
      <c r="I21" s="1043"/>
      <c r="J21" s="1043"/>
      <c r="K21" s="1043"/>
      <c r="L21" s="1043"/>
      <c r="M21" s="1043" t="s">
        <v>1052</v>
      </c>
      <c r="N21" s="1043"/>
      <c r="O21" s="1043"/>
      <c r="P21" s="1043"/>
      <c r="Q21" s="1043"/>
      <c r="R21" s="1043"/>
      <c r="S21" s="1044">
        <v>45797</v>
      </c>
      <c r="T21" s="1043"/>
    </row>
    <row r="22" spans="1:20" x14ac:dyDescent="0.3">
      <c r="A22" s="1231"/>
      <c r="B22" s="1043" t="s">
        <v>1063</v>
      </c>
      <c r="C22" s="1043">
        <v>18</v>
      </c>
      <c r="D22" s="1043" t="s">
        <v>1064</v>
      </c>
      <c r="E22" s="1043" t="s">
        <v>1065</v>
      </c>
      <c r="F22" s="1043" t="s">
        <v>1066</v>
      </c>
      <c r="G22" s="1043" t="s">
        <v>1011</v>
      </c>
      <c r="H22" s="1043"/>
      <c r="I22" s="1043"/>
      <c r="J22" s="1043"/>
      <c r="K22" s="1043"/>
      <c r="L22" s="1043"/>
      <c r="M22" s="1043" t="s">
        <v>1021</v>
      </c>
      <c r="N22" s="1043">
        <v>0.8</v>
      </c>
      <c r="O22" s="1043"/>
      <c r="P22" s="1043"/>
      <c r="Q22" s="1043"/>
      <c r="R22" s="1043"/>
      <c r="S22" s="1044">
        <v>45797</v>
      </c>
      <c r="T22" s="1043"/>
    </row>
    <row r="23" spans="1:20" x14ac:dyDescent="0.3">
      <c r="A23" s="1231"/>
      <c r="B23" s="1043" t="s">
        <v>1067</v>
      </c>
      <c r="C23" s="1043">
        <v>19</v>
      </c>
      <c r="D23" s="1043" t="s">
        <v>1014</v>
      </c>
      <c r="E23" s="1043" t="s">
        <v>1068</v>
      </c>
      <c r="F23" s="1043">
        <v>92100116</v>
      </c>
      <c r="G23" s="1043" t="s">
        <v>1011</v>
      </c>
      <c r="H23" s="1043"/>
      <c r="I23" s="1043"/>
      <c r="J23" s="1043"/>
      <c r="K23" s="1043"/>
      <c r="L23" s="1043"/>
      <c r="M23" s="1043" t="s">
        <v>1012</v>
      </c>
      <c r="N23" s="1043">
        <v>0.85</v>
      </c>
      <c r="O23" s="1043"/>
      <c r="P23" s="1043"/>
      <c r="Q23" s="1043"/>
      <c r="R23" s="1043"/>
      <c r="S23" s="1044">
        <v>45797</v>
      </c>
      <c r="T23" s="1043"/>
    </row>
    <row r="24" spans="1:20" x14ac:dyDescent="0.3">
      <c r="A24" s="1231"/>
      <c r="B24" s="1043" t="s">
        <v>1067</v>
      </c>
      <c r="C24" s="1043">
        <v>20</v>
      </c>
      <c r="D24" s="1043" t="s">
        <v>1014</v>
      </c>
      <c r="E24" s="1043" t="s">
        <v>1068</v>
      </c>
      <c r="F24" s="1043">
        <v>92300050</v>
      </c>
      <c r="G24" s="1043" t="s">
        <v>1011</v>
      </c>
      <c r="H24" s="1043"/>
      <c r="I24" s="1043"/>
      <c r="J24" s="1043"/>
      <c r="K24" s="1043"/>
      <c r="L24" s="1043"/>
      <c r="M24" s="1043" t="s">
        <v>1012</v>
      </c>
      <c r="N24" s="1043">
        <v>0.85</v>
      </c>
      <c r="O24" s="1043"/>
      <c r="P24" s="1043"/>
      <c r="Q24" s="1043"/>
      <c r="R24" s="1043"/>
      <c r="S24" s="1044">
        <v>45797</v>
      </c>
      <c r="T24" s="1043"/>
    </row>
    <row r="25" spans="1:20" x14ac:dyDescent="0.3">
      <c r="A25" s="1231"/>
      <c r="B25" s="1043" t="s">
        <v>1067</v>
      </c>
      <c r="C25" s="1043">
        <v>21</v>
      </c>
      <c r="D25" s="1043" t="s">
        <v>1014</v>
      </c>
      <c r="E25" s="1043" t="s">
        <v>1068</v>
      </c>
      <c r="F25" s="1043">
        <v>92300051</v>
      </c>
      <c r="G25" s="1043" t="s">
        <v>1011</v>
      </c>
      <c r="H25" s="1043"/>
      <c r="I25" s="1043"/>
      <c r="J25" s="1043"/>
      <c r="K25" s="1043"/>
      <c r="L25" s="1043"/>
      <c r="M25" s="1043" t="s">
        <v>1012</v>
      </c>
      <c r="N25" s="1043">
        <v>0.85</v>
      </c>
      <c r="O25" s="1043"/>
      <c r="P25" s="1043"/>
      <c r="Q25" s="1043"/>
      <c r="R25" s="1043"/>
      <c r="S25" s="1044">
        <v>45797</v>
      </c>
      <c r="T25" s="1043"/>
    </row>
    <row r="26" spans="1:20" x14ac:dyDescent="0.3">
      <c r="A26" s="1232"/>
      <c r="B26" s="1043" t="s">
        <v>1067</v>
      </c>
      <c r="C26" s="1043">
        <v>22</v>
      </c>
      <c r="D26" s="1043" t="s">
        <v>1014</v>
      </c>
      <c r="E26" s="1043" t="s">
        <v>1068</v>
      </c>
      <c r="F26" s="1043">
        <v>92300041</v>
      </c>
      <c r="G26" s="1043" t="s">
        <v>1011</v>
      </c>
      <c r="H26" s="1043"/>
      <c r="I26" s="1043"/>
      <c r="J26" s="1043"/>
      <c r="K26" s="1043"/>
      <c r="L26" s="1043"/>
      <c r="M26" s="1043" t="s">
        <v>1012</v>
      </c>
      <c r="N26" s="1043">
        <v>0.85</v>
      </c>
      <c r="O26" s="1043"/>
      <c r="P26" s="1043"/>
      <c r="Q26" s="1043"/>
      <c r="R26" s="1043"/>
      <c r="S26" s="1044">
        <v>45797</v>
      </c>
      <c r="T26" s="1043"/>
    </row>
  </sheetData>
  <mergeCells count="21">
    <mergeCell ref="B3:B4"/>
    <mergeCell ref="C3:C4"/>
    <mergeCell ref="D3:D4"/>
    <mergeCell ref="E3:E4"/>
    <mergeCell ref="F3:F4"/>
    <mergeCell ref="S3:T3"/>
    <mergeCell ref="A11:A12"/>
    <mergeCell ref="A13:A26"/>
    <mergeCell ref="M3:M4"/>
    <mergeCell ref="N3:N4"/>
    <mergeCell ref="O3:O4"/>
    <mergeCell ref="P3:P4"/>
    <mergeCell ref="Q3:Q4"/>
    <mergeCell ref="R3:R4"/>
    <mergeCell ref="G3:G4"/>
    <mergeCell ref="H3:H4"/>
    <mergeCell ref="I3:I4"/>
    <mergeCell ref="J3:J4"/>
    <mergeCell ref="K3:K4"/>
    <mergeCell ref="L3:L4"/>
    <mergeCell ref="A3:A4"/>
  </mergeCells>
  <hyperlinks>
    <hyperlink ref="B3:B4" r:id="rId1" display="Identificazione condizionatori impianto" xr:uid="{00000000-0004-0000-1A00-000000000000}"/>
    <hyperlink ref="P3" r:id="rId2" xr:uid="{00000000-0004-0000-1A00-000001000000}"/>
    <hyperlink ref="O3" r:id="rId3" xr:uid="{00000000-0004-0000-1A00-000002000000}"/>
    <hyperlink ref="H3" r:id="rId4" xr:uid="{00000000-0004-0000-1A00-000003000000}"/>
    <hyperlink ref="Q3" r:id="rId5" xr:uid="{00000000-0004-0000-1A00-000004000000}"/>
  </hyperlinks>
  <pageMargins left="0.7" right="0.7" top="0.75" bottom="0.75" header="0.3" footer="0.3"/>
  <pageSetup paperSize="9" scale="63" orientation="landscape" r:id="rId6"/>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D3:AI15"/>
  <sheetViews>
    <sheetView workbookViewId="0">
      <pane xSplit="6" topLeftCell="AC1" activePane="topRight" state="frozen"/>
      <selection pane="topRight" activeCell="AK7" sqref="AK7"/>
    </sheetView>
  </sheetViews>
  <sheetFormatPr defaultRowHeight="13.2" x14ac:dyDescent="0.25"/>
  <cols>
    <col min="1" max="1" width="2" customWidth="1"/>
    <col min="2" max="2" width="3" customWidth="1"/>
    <col min="4" max="4" width="36.109375" customWidth="1"/>
    <col min="5" max="5" width="15.109375" customWidth="1"/>
    <col min="6" max="6" width="17.44140625" customWidth="1"/>
    <col min="7" max="7" width="15.109375" customWidth="1"/>
    <col min="8" max="10" width="13.5546875" customWidth="1"/>
    <col min="11" max="35" width="13.6640625" customWidth="1"/>
  </cols>
  <sheetData>
    <row r="3" spans="4:35" ht="9" customHeight="1" x14ac:dyDescent="0.25"/>
    <row r="4" spans="4:35" hidden="1" x14ac:dyDescent="0.25"/>
    <row r="5" spans="4:35" hidden="1" x14ac:dyDescent="0.25"/>
    <row r="6" spans="4:35" hidden="1" x14ac:dyDescent="0.25"/>
    <row r="7" spans="4:35" ht="34.5" customHeight="1" x14ac:dyDescent="0.25">
      <c r="D7" s="602" t="s">
        <v>682</v>
      </c>
    </row>
    <row r="8" spans="4:35" ht="29.25" customHeight="1" x14ac:dyDescent="0.25">
      <c r="H8" s="192" t="s">
        <v>113</v>
      </c>
      <c r="I8" s="192" t="s">
        <v>113</v>
      </c>
      <c r="J8" s="192" t="s">
        <v>113</v>
      </c>
      <c r="K8" s="192" t="s">
        <v>113</v>
      </c>
      <c r="L8" s="192" t="s">
        <v>113</v>
      </c>
      <c r="M8" s="192" t="s">
        <v>113</v>
      </c>
      <c r="N8" s="192" t="s">
        <v>113</v>
      </c>
      <c r="O8" s="192" t="s">
        <v>113</v>
      </c>
      <c r="P8" s="192" t="s">
        <v>113</v>
      </c>
      <c r="Q8" s="192" t="s">
        <v>113</v>
      </c>
      <c r="R8" s="192" t="s">
        <v>113</v>
      </c>
      <c r="S8" s="192" t="s">
        <v>113</v>
      </c>
      <c r="T8" s="192" t="s">
        <v>113</v>
      </c>
      <c r="U8" s="192" t="s">
        <v>113</v>
      </c>
      <c r="V8" s="192" t="s">
        <v>113</v>
      </c>
      <c r="W8" s="192" t="s">
        <v>113</v>
      </c>
      <c r="X8" s="192" t="s">
        <v>113</v>
      </c>
      <c r="Y8" s="192" t="s">
        <v>113</v>
      </c>
      <c r="Z8" s="192" t="s">
        <v>113</v>
      </c>
      <c r="AA8" s="192" t="s">
        <v>113</v>
      </c>
      <c r="AB8" s="192" t="s">
        <v>113</v>
      </c>
      <c r="AC8" s="192" t="s">
        <v>113</v>
      </c>
      <c r="AD8" s="192" t="s">
        <v>113</v>
      </c>
      <c r="AE8" s="192" t="s">
        <v>113</v>
      </c>
      <c r="AF8" s="192" t="s">
        <v>113</v>
      </c>
      <c r="AG8" s="192" t="s">
        <v>113</v>
      </c>
      <c r="AH8" s="192" t="s">
        <v>113</v>
      </c>
      <c r="AI8" s="192" t="s">
        <v>113</v>
      </c>
    </row>
    <row r="9" spans="4:35" ht="29.25" customHeight="1" x14ac:dyDescent="0.25">
      <c r="D9" s="191" t="s">
        <v>105</v>
      </c>
      <c r="E9" s="133" t="s">
        <v>102</v>
      </c>
      <c r="F9" s="196" t="s">
        <v>106</v>
      </c>
      <c r="G9" s="192" t="s">
        <v>310</v>
      </c>
      <c r="H9" s="194">
        <v>40836</v>
      </c>
      <c r="I9" s="194">
        <v>41010</v>
      </c>
      <c r="J9" s="194">
        <v>41213</v>
      </c>
      <c r="K9" s="194">
        <v>41373</v>
      </c>
      <c r="L9" s="194">
        <v>41570</v>
      </c>
      <c r="M9" s="194">
        <v>41759</v>
      </c>
      <c r="N9" s="194">
        <v>41925</v>
      </c>
      <c r="O9" s="194">
        <v>42121</v>
      </c>
      <c r="P9" s="194">
        <v>42305</v>
      </c>
      <c r="Q9" s="194">
        <v>42501</v>
      </c>
      <c r="R9" s="194">
        <v>42679</v>
      </c>
      <c r="S9" s="194">
        <v>42851</v>
      </c>
      <c r="T9" s="194">
        <v>43045</v>
      </c>
      <c r="U9" s="194">
        <v>43235</v>
      </c>
      <c r="V9" s="194">
        <v>43429</v>
      </c>
      <c r="W9" s="194">
        <v>43593</v>
      </c>
      <c r="X9" s="194">
        <v>43780</v>
      </c>
      <c r="Y9" s="194">
        <v>43941</v>
      </c>
      <c r="Z9" s="194">
        <v>44151</v>
      </c>
      <c r="AA9" s="194">
        <v>44315</v>
      </c>
      <c r="AB9" s="194">
        <v>44503</v>
      </c>
      <c r="AC9" s="194">
        <v>44677</v>
      </c>
      <c r="AD9" s="194">
        <v>44867</v>
      </c>
      <c r="AE9" s="528">
        <v>45071</v>
      </c>
      <c r="AF9" s="528">
        <v>45232</v>
      </c>
      <c r="AG9" s="528">
        <v>45377</v>
      </c>
      <c r="AH9" s="528">
        <v>45581</v>
      </c>
      <c r="AI9" s="548" t="s">
        <v>680</v>
      </c>
    </row>
    <row r="10" spans="4:35" ht="31.5" customHeight="1" x14ac:dyDescent="0.25">
      <c r="D10" s="193" t="s">
        <v>301</v>
      </c>
      <c r="E10" s="97" t="s">
        <v>103</v>
      </c>
      <c r="F10" s="97" t="s">
        <v>107</v>
      </c>
      <c r="G10" s="97" t="s">
        <v>20</v>
      </c>
      <c r="H10" s="97" t="s">
        <v>313</v>
      </c>
      <c r="I10" s="97" t="s">
        <v>311</v>
      </c>
      <c r="J10" s="97" t="s">
        <v>346</v>
      </c>
      <c r="K10" s="97" t="s">
        <v>155</v>
      </c>
      <c r="L10" s="97" t="s">
        <v>346</v>
      </c>
      <c r="M10" s="97" t="s">
        <v>242</v>
      </c>
      <c r="N10" s="97" t="s">
        <v>139</v>
      </c>
      <c r="O10" s="97" t="s">
        <v>174</v>
      </c>
      <c r="P10" s="97" t="s">
        <v>346</v>
      </c>
      <c r="Q10" s="97" t="s">
        <v>170</v>
      </c>
      <c r="R10" s="97" t="s">
        <v>346</v>
      </c>
      <c r="S10" s="97" t="s">
        <v>211</v>
      </c>
      <c r="T10" s="97" t="s">
        <v>346</v>
      </c>
      <c r="U10" s="97" t="s">
        <v>417</v>
      </c>
      <c r="V10" s="348" t="s">
        <v>463</v>
      </c>
      <c r="W10" s="97" t="s">
        <v>346</v>
      </c>
      <c r="X10" s="97" t="s">
        <v>346</v>
      </c>
      <c r="Y10" s="379" t="s">
        <v>490</v>
      </c>
      <c r="Z10" s="97" t="s">
        <v>346</v>
      </c>
      <c r="AA10" s="97" t="s">
        <v>346</v>
      </c>
      <c r="AB10" s="97" t="s">
        <v>346</v>
      </c>
      <c r="AC10" s="97" t="s">
        <v>346</v>
      </c>
      <c r="AD10" s="379" t="s">
        <v>613</v>
      </c>
      <c r="AE10" s="379" t="s">
        <v>638</v>
      </c>
      <c r="AF10" s="97" t="s">
        <v>346</v>
      </c>
      <c r="AG10" s="97" t="s">
        <v>346</v>
      </c>
      <c r="AH10" s="97" t="s">
        <v>346</v>
      </c>
      <c r="AI10" s="601" t="s">
        <v>681</v>
      </c>
    </row>
    <row r="11" spans="4:35" ht="31.5" customHeight="1" x14ac:dyDescent="0.25">
      <c r="D11" s="193" t="s">
        <v>101</v>
      </c>
      <c r="E11" s="97"/>
      <c r="F11" s="195" t="s">
        <v>208</v>
      </c>
      <c r="G11" s="97" t="s">
        <v>20</v>
      </c>
      <c r="H11" s="97" t="s">
        <v>314</v>
      </c>
      <c r="I11" s="97" t="s">
        <v>312</v>
      </c>
      <c r="J11" s="97" t="s">
        <v>347</v>
      </c>
      <c r="K11" s="97" t="s">
        <v>156</v>
      </c>
      <c r="L11" s="97" t="s">
        <v>360</v>
      </c>
      <c r="M11" s="97" t="s">
        <v>243</v>
      </c>
      <c r="N11" s="97" t="s">
        <v>140</v>
      </c>
      <c r="O11" s="97" t="s">
        <v>175</v>
      </c>
      <c r="P11" s="97" t="s">
        <v>342</v>
      </c>
      <c r="Q11" s="97" t="s">
        <v>171</v>
      </c>
      <c r="R11" s="97" t="s">
        <v>144</v>
      </c>
      <c r="S11" s="97" t="s">
        <v>212</v>
      </c>
      <c r="T11" s="276" t="s">
        <v>414</v>
      </c>
      <c r="U11" s="276" t="s">
        <v>418</v>
      </c>
      <c r="V11" s="348" t="s">
        <v>464</v>
      </c>
      <c r="W11" s="379" t="s">
        <v>471</v>
      </c>
      <c r="X11" s="379" t="s">
        <v>475</v>
      </c>
      <c r="Y11" s="379" t="s">
        <v>491</v>
      </c>
      <c r="Z11" s="379" t="s">
        <v>498</v>
      </c>
      <c r="AA11" s="440" t="s">
        <v>506</v>
      </c>
      <c r="AB11" s="440" t="s">
        <v>525</v>
      </c>
      <c r="AC11" s="440" t="s">
        <v>533</v>
      </c>
      <c r="AD11" s="440" t="s">
        <v>614</v>
      </c>
      <c r="AE11" s="440" t="s">
        <v>639</v>
      </c>
      <c r="AF11" s="440" t="s">
        <v>648</v>
      </c>
      <c r="AG11" s="440" t="s">
        <v>646</v>
      </c>
      <c r="AH11" s="440" t="s">
        <v>614</v>
      </c>
      <c r="AI11" s="601" t="s">
        <v>681</v>
      </c>
    </row>
    <row r="12" spans="4:35" ht="31.5" customHeight="1" x14ac:dyDescent="0.25">
      <c r="D12" s="193" t="s">
        <v>100</v>
      </c>
      <c r="E12" s="97" t="s">
        <v>104</v>
      </c>
      <c r="F12" s="97" t="s">
        <v>108</v>
      </c>
      <c r="G12" s="97" t="s">
        <v>20</v>
      </c>
      <c r="H12" s="97" t="s">
        <v>111</v>
      </c>
      <c r="I12" s="97" t="s">
        <v>111</v>
      </c>
      <c r="J12" s="97" t="s">
        <v>346</v>
      </c>
      <c r="K12" s="97" t="s">
        <v>346</v>
      </c>
      <c r="L12" s="97" t="s">
        <v>346</v>
      </c>
      <c r="M12" s="97" t="s">
        <v>346</v>
      </c>
      <c r="N12" s="97" t="s">
        <v>346</v>
      </c>
      <c r="O12" s="97" t="s">
        <v>176</v>
      </c>
      <c r="P12" s="97" t="s">
        <v>346</v>
      </c>
      <c r="Q12" s="97" t="s">
        <v>346</v>
      </c>
      <c r="R12" s="97" t="s">
        <v>346</v>
      </c>
      <c r="S12" s="97" t="s">
        <v>213</v>
      </c>
      <c r="T12" s="97" t="s">
        <v>346</v>
      </c>
      <c r="U12" s="97" t="s">
        <v>419</v>
      </c>
      <c r="V12" s="348" t="s">
        <v>465</v>
      </c>
      <c r="W12" s="97" t="s">
        <v>346</v>
      </c>
      <c r="X12" s="97" t="s">
        <v>346</v>
      </c>
      <c r="Y12" s="379" t="s">
        <v>492</v>
      </c>
      <c r="Z12" s="97" t="s">
        <v>346</v>
      </c>
      <c r="AA12" s="440" t="s">
        <v>507</v>
      </c>
      <c r="AB12" s="97" t="s">
        <v>346</v>
      </c>
      <c r="AC12" s="97" t="s">
        <v>346</v>
      </c>
      <c r="AD12" s="440" t="s">
        <v>615</v>
      </c>
      <c r="AE12" s="97" t="s">
        <v>346</v>
      </c>
      <c r="AF12" s="97" t="s">
        <v>346</v>
      </c>
      <c r="AG12" s="440" t="s">
        <v>507</v>
      </c>
      <c r="AH12" s="440" t="s">
        <v>676</v>
      </c>
      <c r="AI12" s="601" t="s">
        <v>681</v>
      </c>
    </row>
    <row r="13" spans="4:35" ht="31.5" customHeight="1" x14ac:dyDescent="0.25">
      <c r="D13" s="193" t="s">
        <v>98</v>
      </c>
      <c r="E13" s="97" t="s">
        <v>104</v>
      </c>
      <c r="F13" s="97" t="s">
        <v>109</v>
      </c>
      <c r="G13" s="97" t="s">
        <v>20</v>
      </c>
      <c r="H13" s="97" t="s">
        <v>111</v>
      </c>
      <c r="I13" s="97" t="s">
        <v>112</v>
      </c>
      <c r="J13" s="97" t="s">
        <v>348</v>
      </c>
      <c r="K13" s="97" t="s">
        <v>346</v>
      </c>
      <c r="L13" s="97" t="s">
        <v>346</v>
      </c>
      <c r="M13" s="97" t="s">
        <v>346</v>
      </c>
      <c r="N13" s="97" t="s">
        <v>141</v>
      </c>
      <c r="O13" s="97" t="s">
        <v>177</v>
      </c>
      <c r="P13" s="97" t="s">
        <v>343</v>
      </c>
      <c r="Q13" s="97" t="s">
        <v>172</v>
      </c>
      <c r="R13" s="97" t="s">
        <v>348</v>
      </c>
      <c r="S13" s="97" t="s">
        <v>214</v>
      </c>
      <c r="T13" s="276" t="s">
        <v>415</v>
      </c>
      <c r="U13" s="276" t="s">
        <v>420</v>
      </c>
      <c r="V13" s="348" t="s">
        <v>466</v>
      </c>
      <c r="W13" s="379" t="s">
        <v>472</v>
      </c>
      <c r="X13" s="379" t="s">
        <v>476</v>
      </c>
      <c r="Y13" s="379" t="s">
        <v>493</v>
      </c>
      <c r="Z13" s="379" t="s">
        <v>499</v>
      </c>
      <c r="AA13" s="440" t="s">
        <v>508</v>
      </c>
      <c r="AB13" s="440" t="s">
        <v>526</v>
      </c>
      <c r="AC13" s="440" t="s">
        <v>534</v>
      </c>
      <c r="AD13" s="440" t="s">
        <v>616</v>
      </c>
      <c r="AE13" s="97" t="s">
        <v>346</v>
      </c>
      <c r="AF13" s="440" t="s">
        <v>649</v>
      </c>
      <c r="AG13" s="440" t="s">
        <v>647</v>
      </c>
      <c r="AH13" s="440" t="s">
        <v>677</v>
      </c>
      <c r="AI13" s="601" t="s">
        <v>681</v>
      </c>
    </row>
    <row r="14" spans="4:35" ht="31.5" customHeight="1" x14ac:dyDescent="0.25">
      <c r="D14" s="193" t="s">
        <v>99</v>
      </c>
      <c r="E14" s="97" t="s">
        <v>103</v>
      </c>
      <c r="F14" s="97" t="s">
        <v>209</v>
      </c>
      <c r="G14" s="97" t="s">
        <v>20</v>
      </c>
      <c r="H14" s="97" t="s">
        <v>111</v>
      </c>
      <c r="I14" s="97" t="s">
        <v>111</v>
      </c>
      <c r="J14" s="97" t="s">
        <v>346</v>
      </c>
      <c r="K14" s="97" t="s">
        <v>346</v>
      </c>
      <c r="L14" s="97" t="s">
        <v>346</v>
      </c>
      <c r="M14" s="97" t="s">
        <v>346</v>
      </c>
      <c r="N14" s="97" t="s">
        <v>346</v>
      </c>
      <c r="O14" s="97" t="s">
        <v>346</v>
      </c>
      <c r="P14" s="97" t="s">
        <v>346</v>
      </c>
      <c r="Q14" s="97" t="s">
        <v>346</v>
      </c>
      <c r="R14" s="97" t="s">
        <v>346</v>
      </c>
      <c r="S14" s="97" t="s">
        <v>346</v>
      </c>
      <c r="T14" s="97" t="s">
        <v>346</v>
      </c>
      <c r="U14" s="97" t="s">
        <v>346</v>
      </c>
      <c r="V14" s="97" t="s">
        <v>346</v>
      </c>
      <c r="W14" s="97" t="s">
        <v>346</v>
      </c>
      <c r="X14" s="97" t="s">
        <v>346</v>
      </c>
      <c r="Y14" s="97" t="s">
        <v>346</v>
      </c>
      <c r="Z14" s="97" t="s">
        <v>346</v>
      </c>
      <c r="AA14" s="97" t="s">
        <v>346</v>
      </c>
      <c r="AB14" s="97" t="s">
        <v>346</v>
      </c>
      <c r="AC14" s="97" t="s">
        <v>346</v>
      </c>
      <c r="AD14" s="97" t="s">
        <v>346</v>
      </c>
      <c r="AE14" s="97" t="s">
        <v>346</v>
      </c>
      <c r="AF14" s="97" t="s">
        <v>346</v>
      </c>
      <c r="AG14" s="97" t="s">
        <v>346</v>
      </c>
      <c r="AH14" s="97" t="s">
        <v>346</v>
      </c>
      <c r="AI14" s="601" t="s">
        <v>681</v>
      </c>
    </row>
    <row r="15" spans="4:35" x14ac:dyDescent="0.25">
      <c r="E15" s="10"/>
    </row>
  </sheetData>
  <phoneticPr fontId="0" type="noConversion"/>
  <hyperlinks>
    <hyperlink ref="F9" r:id="rId1" xr:uid="{00000000-0004-0000-1B00-000000000000}"/>
    <hyperlink ref="AE9" r:id="rId2" display="ANALISI EMISSIONE PUNTO SF2_acque meteoriche\analisi acque meteoriche SF2 2023\23.068605.0001_23_000306288.pdf" xr:uid="{00000000-0004-0000-1B00-000001000000}"/>
    <hyperlink ref="AF9" r:id="rId3" display="ANALISI EMISSIONE PUNTO SF2_acque meteoriche\analisi acque meteoriche SF2 2023\23.116016.0001_23_000610479.pdf" xr:uid="{00000000-0004-0000-1B00-000002000000}"/>
    <hyperlink ref="AG9" r:id="rId4" display="ANALISI EMISSIONE PUNTO SF2_acque meteoriche\analisi acque meteoriche SF2 2024\campionamento del 26_03_2024\24.233533.0001_24_000213869.pdf" xr:uid="{00000000-0004-0000-1B00-000003000000}"/>
    <hyperlink ref="AH9" r:id="rId5" display="ANALISI EMISSIONE PUNTO SF2_acque meteoriche\analisi acque meteoriche SF2 2023\23.068605.0001_23_000306288.pdf" xr:uid="{00000000-0004-0000-1B00-000004000000}"/>
    <hyperlink ref="AI10" r:id="rId6" xr:uid="{00000000-0004-0000-1B00-000005000000}"/>
    <hyperlink ref="AI11" r:id="rId7" xr:uid="{00000000-0004-0000-1B00-000006000000}"/>
    <hyperlink ref="AI12:AI14" r:id="rId8" display="in attesa di evento piovoso" xr:uid="{00000000-0004-0000-1B00-000007000000}"/>
    <hyperlink ref="D7" r:id="rId9" xr:uid="{00000000-0004-0000-1B00-000008000000}"/>
  </hyperlinks>
  <pageMargins left="0.75" right="0.75" top="1" bottom="1" header="0.5" footer="0.5"/>
  <pageSetup paperSize="9" orientation="portrait" r:id="rId10"/>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C3:H22"/>
  <sheetViews>
    <sheetView workbookViewId="0">
      <pane xSplit="3" ySplit="6" topLeftCell="D14" activePane="bottomRight" state="frozen"/>
      <selection pane="topRight" activeCell="D1" sqref="D1"/>
      <selection pane="bottomLeft" activeCell="A7" sqref="A7"/>
      <selection pane="bottomRight" activeCell="E25" sqref="E25"/>
    </sheetView>
  </sheetViews>
  <sheetFormatPr defaultRowHeight="13.2" x14ac:dyDescent="0.25"/>
  <cols>
    <col min="2" max="2" width="6.44140625" customWidth="1"/>
    <col min="3" max="3" width="15.33203125" customWidth="1"/>
    <col min="4" max="4" width="37.88671875" customWidth="1"/>
    <col min="5" max="5" width="24.33203125" customWidth="1"/>
    <col min="6" max="6" width="39.109375" customWidth="1"/>
    <col min="7" max="7" width="35.44140625" customWidth="1"/>
    <col min="8" max="8" width="15.88671875" customWidth="1"/>
  </cols>
  <sheetData>
    <row r="3" spans="3:8" ht="13.8" thickBot="1" x14ac:dyDescent="0.3"/>
    <row r="4" spans="3:8" s="12" customFormat="1" ht="38.25" customHeight="1" thickTop="1" thickBot="1" x14ac:dyDescent="0.3">
      <c r="C4" s="173"/>
      <c r="D4" s="1243" t="s">
        <v>302</v>
      </c>
      <c r="E4" s="1244"/>
      <c r="F4" s="222" t="s">
        <v>93</v>
      </c>
    </row>
    <row r="5" spans="3:8" ht="13.8" thickTop="1" x14ac:dyDescent="0.25"/>
    <row r="6" spans="3:8" ht="42" customHeight="1" x14ac:dyDescent="0.25">
      <c r="C6" s="192" t="s">
        <v>396</v>
      </c>
      <c r="D6" s="235"/>
      <c r="E6" s="235"/>
      <c r="F6" s="235"/>
      <c r="G6" s="258" t="s">
        <v>26</v>
      </c>
      <c r="H6" s="259" t="s">
        <v>28</v>
      </c>
    </row>
    <row r="7" spans="3:8" ht="20.25" customHeight="1" x14ac:dyDescent="0.25">
      <c r="C7" s="262">
        <v>2011</v>
      </c>
      <c r="D7" s="202" t="s">
        <v>384</v>
      </c>
      <c r="E7" s="202" t="s">
        <v>385</v>
      </c>
      <c r="F7" s="202" t="s">
        <v>389</v>
      </c>
      <c r="G7" s="97" t="s">
        <v>278</v>
      </c>
      <c r="H7" s="260"/>
    </row>
    <row r="8" spans="3:8" ht="20.25" customHeight="1" x14ac:dyDescent="0.25">
      <c r="C8" s="262">
        <v>2012</v>
      </c>
      <c r="D8" s="202" t="s">
        <v>383</v>
      </c>
      <c r="E8" s="202" t="s">
        <v>386</v>
      </c>
      <c r="F8" s="202" t="s">
        <v>390</v>
      </c>
      <c r="G8" s="97" t="s">
        <v>278</v>
      </c>
      <c r="H8" s="260"/>
    </row>
    <row r="9" spans="3:8" ht="20.25" customHeight="1" x14ac:dyDescent="0.25">
      <c r="C9" s="1245">
        <v>2013</v>
      </c>
      <c r="D9" s="202" t="s">
        <v>382</v>
      </c>
      <c r="E9" s="202" t="s">
        <v>387</v>
      </c>
      <c r="F9" s="202" t="s">
        <v>391</v>
      </c>
      <c r="G9" s="97" t="s">
        <v>278</v>
      </c>
      <c r="H9" s="260"/>
    </row>
    <row r="10" spans="3:8" ht="20.25" customHeight="1" x14ac:dyDescent="0.25">
      <c r="C10" s="1175"/>
      <c r="D10" s="202" t="s">
        <v>381</v>
      </c>
      <c r="E10" s="202" t="s">
        <v>387</v>
      </c>
      <c r="F10" s="202" t="s">
        <v>392</v>
      </c>
      <c r="G10" s="97" t="s">
        <v>278</v>
      </c>
      <c r="H10" s="260"/>
    </row>
    <row r="11" spans="3:8" ht="20.25" customHeight="1" x14ac:dyDescent="0.25">
      <c r="C11" s="263">
        <v>2014</v>
      </c>
      <c r="D11" s="202" t="s">
        <v>380</v>
      </c>
      <c r="E11" s="202" t="s">
        <v>388</v>
      </c>
      <c r="F11" s="202" t="s">
        <v>393</v>
      </c>
      <c r="G11" s="100" t="s">
        <v>27</v>
      </c>
      <c r="H11" s="261" t="s">
        <v>30</v>
      </c>
    </row>
    <row r="12" spans="3:8" ht="20.25" customHeight="1" x14ac:dyDescent="0.25">
      <c r="C12" s="262">
        <v>2015</v>
      </c>
      <c r="D12" s="202" t="s">
        <v>161</v>
      </c>
      <c r="E12" s="202" t="s">
        <v>160</v>
      </c>
      <c r="F12" s="202" t="s">
        <v>117</v>
      </c>
      <c r="G12" s="100" t="s">
        <v>27</v>
      </c>
      <c r="H12" s="261" t="s">
        <v>29</v>
      </c>
    </row>
    <row r="13" spans="3:8" ht="20.25" customHeight="1" x14ac:dyDescent="0.25">
      <c r="C13" s="262">
        <v>2016</v>
      </c>
      <c r="D13" s="202" t="s">
        <v>115</v>
      </c>
      <c r="E13" s="202" t="s">
        <v>116</v>
      </c>
      <c r="F13" s="202" t="s">
        <v>355</v>
      </c>
      <c r="G13" s="100" t="s">
        <v>27</v>
      </c>
      <c r="H13" s="261" t="s">
        <v>354</v>
      </c>
    </row>
    <row r="14" spans="3:8" ht="20.25" customHeight="1" x14ac:dyDescent="0.25">
      <c r="C14" s="262">
        <v>2017</v>
      </c>
      <c r="D14" s="202" t="s">
        <v>163</v>
      </c>
      <c r="E14" s="202" t="s">
        <v>164</v>
      </c>
      <c r="F14" s="202" t="s">
        <v>422</v>
      </c>
      <c r="G14" s="100" t="s">
        <v>27</v>
      </c>
      <c r="H14" s="261" t="s">
        <v>421</v>
      </c>
    </row>
    <row r="15" spans="3:8" ht="20.25" customHeight="1" x14ac:dyDescent="0.25">
      <c r="C15" s="262">
        <v>2018</v>
      </c>
      <c r="D15" s="202" t="s">
        <v>482</v>
      </c>
      <c r="E15" s="202" t="s">
        <v>484</v>
      </c>
      <c r="F15" s="202" t="s">
        <v>486</v>
      </c>
      <c r="G15" s="100" t="s">
        <v>27</v>
      </c>
      <c r="H15" s="404" t="s">
        <v>480</v>
      </c>
    </row>
    <row r="16" spans="3:8" ht="20.25" customHeight="1" x14ac:dyDescent="0.25">
      <c r="C16" s="262">
        <v>2019</v>
      </c>
      <c r="D16" s="202" t="s">
        <v>483</v>
      </c>
      <c r="E16" s="202" t="s">
        <v>485</v>
      </c>
      <c r="F16" s="202" t="s">
        <v>487</v>
      </c>
      <c r="G16" s="100" t="s">
        <v>27</v>
      </c>
      <c r="H16" s="404" t="s">
        <v>481</v>
      </c>
    </row>
    <row r="17" spans="3:8" ht="20.25" customHeight="1" x14ac:dyDescent="0.25">
      <c r="C17" s="262">
        <v>2020</v>
      </c>
      <c r="D17" s="202" t="s">
        <v>489</v>
      </c>
      <c r="E17" s="202" t="s">
        <v>488</v>
      </c>
      <c r="F17" s="202" t="s">
        <v>505</v>
      </c>
      <c r="G17" s="100" t="s">
        <v>27</v>
      </c>
      <c r="H17" s="450" t="s">
        <v>501</v>
      </c>
    </row>
    <row r="18" spans="3:8" ht="20.25" customHeight="1" x14ac:dyDescent="0.25">
      <c r="C18" s="262">
        <v>2021</v>
      </c>
      <c r="D18" s="202" t="s">
        <v>503</v>
      </c>
      <c r="E18" s="202" t="s">
        <v>504</v>
      </c>
      <c r="F18" s="202" t="s">
        <v>608</v>
      </c>
      <c r="G18" s="100" t="s">
        <v>27</v>
      </c>
      <c r="H18" s="450" t="s">
        <v>532</v>
      </c>
    </row>
    <row r="19" spans="3:8" ht="20.25" customHeight="1" x14ac:dyDescent="0.25">
      <c r="C19" s="262">
        <v>2022</v>
      </c>
      <c r="D19" s="202" t="s">
        <v>530</v>
      </c>
      <c r="E19" s="202" t="s">
        <v>531</v>
      </c>
      <c r="F19" s="202" t="s">
        <v>630</v>
      </c>
      <c r="G19" s="100" t="s">
        <v>27</v>
      </c>
      <c r="H19" s="440" t="s">
        <v>631</v>
      </c>
    </row>
    <row r="20" spans="3:8" ht="20.25" customHeight="1" x14ac:dyDescent="0.25">
      <c r="C20" s="262">
        <v>2023</v>
      </c>
      <c r="D20" s="406" t="s">
        <v>636</v>
      </c>
      <c r="E20" s="406" t="s">
        <v>635</v>
      </c>
      <c r="F20" s="486"/>
      <c r="G20" s="486"/>
      <c r="H20" s="440" t="s">
        <v>637</v>
      </c>
    </row>
    <row r="21" spans="3:8" ht="19.95" customHeight="1" x14ac:dyDescent="0.25">
      <c r="C21" s="262">
        <v>2024</v>
      </c>
      <c r="D21" s="27"/>
      <c r="E21" s="27"/>
      <c r="F21" s="27"/>
      <c r="G21" s="27"/>
      <c r="H21" s="27"/>
    </row>
    <row r="22" spans="3:8" ht="19.95" customHeight="1" x14ac:dyDescent="0.25">
      <c r="C22" s="262">
        <v>2025</v>
      </c>
      <c r="D22" s="27"/>
      <c r="E22" s="27"/>
      <c r="F22" s="27"/>
      <c r="G22" s="27"/>
      <c r="H22" s="27"/>
    </row>
  </sheetData>
  <mergeCells count="2">
    <mergeCell ref="D4:E4"/>
    <mergeCell ref="C9:C10"/>
  </mergeCells>
  <phoneticPr fontId="0" type="noConversion"/>
  <hyperlinks>
    <hyperlink ref="E8" r:id="rId1" xr:uid="{00000000-0004-0000-1C00-000000000000}"/>
    <hyperlink ref="F8" r:id="rId2" xr:uid="{00000000-0004-0000-1C00-000001000000}"/>
    <hyperlink ref="E9" r:id="rId3" xr:uid="{00000000-0004-0000-1C00-000002000000}"/>
    <hyperlink ref="E10" r:id="rId4" xr:uid="{00000000-0004-0000-1C00-000003000000}"/>
    <hyperlink ref="D8" r:id="rId5" xr:uid="{00000000-0004-0000-1C00-000004000000}"/>
    <hyperlink ref="D9" r:id="rId6" xr:uid="{00000000-0004-0000-1C00-000005000000}"/>
    <hyperlink ref="D10" r:id="rId7" xr:uid="{00000000-0004-0000-1C00-000006000000}"/>
    <hyperlink ref="D11" r:id="rId8" xr:uid="{00000000-0004-0000-1C00-000007000000}"/>
    <hyperlink ref="E11" r:id="rId9" xr:uid="{00000000-0004-0000-1C00-000008000000}"/>
    <hyperlink ref="E7" r:id="rId10" xr:uid="{00000000-0004-0000-1C00-000009000000}"/>
    <hyperlink ref="D7" r:id="rId11" xr:uid="{00000000-0004-0000-1C00-00000A000000}"/>
    <hyperlink ref="F7" r:id="rId12" xr:uid="{00000000-0004-0000-1C00-00000B000000}"/>
    <hyperlink ref="F4" r:id="rId13" xr:uid="{00000000-0004-0000-1C00-00000C000000}"/>
    <hyperlink ref="F9" r:id="rId14" xr:uid="{00000000-0004-0000-1C00-00000D000000}"/>
    <hyperlink ref="F10" r:id="rId15" xr:uid="{00000000-0004-0000-1C00-00000E000000}"/>
    <hyperlink ref="E12" r:id="rId16" xr:uid="{00000000-0004-0000-1C00-00000F000000}"/>
    <hyperlink ref="F11" r:id="rId17" xr:uid="{00000000-0004-0000-1C00-000010000000}"/>
    <hyperlink ref="D12" r:id="rId18" xr:uid="{00000000-0004-0000-1C00-000011000000}"/>
    <hyperlink ref="D13" r:id="rId19" xr:uid="{00000000-0004-0000-1C00-000012000000}"/>
    <hyperlink ref="E13" r:id="rId20" xr:uid="{00000000-0004-0000-1C00-000013000000}"/>
    <hyperlink ref="F12" r:id="rId21" xr:uid="{00000000-0004-0000-1C00-000014000000}"/>
    <hyperlink ref="G11" r:id="rId22" xr:uid="{00000000-0004-0000-1C00-000015000000}"/>
    <hyperlink ref="G12" r:id="rId23" xr:uid="{00000000-0004-0000-1C00-000016000000}"/>
    <hyperlink ref="E14" r:id="rId24" xr:uid="{00000000-0004-0000-1C00-000017000000}"/>
    <hyperlink ref="D14" r:id="rId25" xr:uid="{00000000-0004-0000-1C00-000018000000}"/>
    <hyperlink ref="G13" r:id="rId26" xr:uid="{00000000-0004-0000-1C00-000019000000}"/>
    <hyperlink ref="F13" r:id="rId27" xr:uid="{00000000-0004-0000-1C00-00001A000000}"/>
    <hyperlink ref="F14" r:id="rId28" xr:uid="{00000000-0004-0000-1C00-00001B000000}"/>
    <hyperlink ref="G14" r:id="rId29" xr:uid="{00000000-0004-0000-1C00-00001C000000}"/>
    <hyperlink ref="G15:G16" r:id="rId30" display="NON SOGGETTA" xr:uid="{00000000-0004-0000-1C00-00001D000000}"/>
    <hyperlink ref="E17" r:id="rId31" xr:uid="{00000000-0004-0000-1C00-00001E000000}"/>
    <hyperlink ref="E16" r:id="rId32" xr:uid="{00000000-0004-0000-1C00-00001F000000}"/>
    <hyperlink ref="E15" r:id="rId33" xr:uid="{00000000-0004-0000-1C00-000020000000}"/>
    <hyperlink ref="D16" r:id="rId34" xr:uid="{00000000-0004-0000-1C00-000021000000}"/>
    <hyperlink ref="D15" r:id="rId35" xr:uid="{00000000-0004-0000-1C00-000022000000}"/>
    <hyperlink ref="F15" r:id="rId36" xr:uid="{00000000-0004-0000-1C00-000023000000}"/>
    <hyperlink ref="F16" r:id="rId37" xr:uid="{00000000-0004-0000-1C00-000024000000}"/>
    <hyperlink ref="G17" r:id="rId38" xr:uid="{00000000-0004-0000-1C00-000025000000}"/>
    <hyperlink ref="F17" r:id="rId39" xr:uid="{00000000-0004-0000-1C00-000026000000}"/>
    <hyperlink ref="D17" r:id="rId40" xr:uid="{00000000-0004-0000-1C00-000027000000}"/>
    <hyperlink ref="D18" r:id="rId41" xr:uid="{00000000-0004-0000-1C00-000028000000}"/>
    <hyperlink ref="D19" r:id="rId42" xr:uid="{00000000-0004-0000-1C00-000029000000}"/>
    <hyperlink ref="E18" r:id="rId43" xr:uid="{00000000-0004-0000-1C00-00002A000000}"/>
    <hyperlink ref="E19" r:id="rId44" xr:uid="{00000000-0004-0000-1C00-00002B000000}"/>
    <hyperlink ref="F18" r:id="rId45" xr:uid="{00000000-0004-0000-1C00-00002C000000}"/>
    <hyperlink ref="G18" r:id="rId46" xr:uid="{00000000-0004-0000-1C00-00002D000000}"/>
    <hyperlink ref="G19" r:id="rId47" xr:uid="{00000000-0004-0000-1C00-00002E000000}"/>
    <hyperlink ref="F19" r:id="rId48" xr:uid="{00000000-0004-0000-1C00-00002F000000}"/>
  </hyperlinks>
  <pageMargins left="0.75" right="0.75" top="1" bottom="1" header="0.5" footer="0.5"/>
  <pageSetup paperSize="9" orientation="portrait" r:id="rId49"/>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B1:G26"/>
  <sheetViews>
    <sheetView topLeftCell="A7" workbookViewId="0">
      <selection activeCell="C32" sqref="C32"/>
    </sheetView>
  </sheetViews>
  <sheetFormatPr defaultRowHeight="13.2" x14ac:dyDescent="0.25"/>
  <cols>
    <col min="1" max="1" width="3.5546875" customWidth="1"/>
    <col min="2" max="2" width="5.44140625" customWidth="1"/>
    <col min="3" max="3" width="60.33203125" customWidth="1"/>
    <col min="4" max="4" width="45" customWidth="1"/>
    <col min="5" max="5" width="54.5546875" customWidth="1"/>
    <col min="6" max="6" width="23.6640625" customWidth="1"/>
    <col min="7" max="7" width="24.33203125" customWidth="1"/>
  </cols>
  <sheetData>
    <row r="1" spans="2:7" ht="10.5" customHeight="1" x14ac:dyDescent="0.25"/>
    <row r="2" spans="2:7" ht="24" customHeight="1" x14ac:dyDescent="0.25">
      <c r="C2" s="484" t="s">
        <v>579</v>
      </c>
      <c r="D2" s="485">
        <f ca="1">NOW()</f>
        <v>46073.374034837965</v>
      </c>
    </row>
    <row r="3" spans="2:7" ht="30" customHeight="1" x14ac:dyDescent="0.25">
      <c r="C3" s="480" t="s">
        <v>574</v>
      </c>
      <c r="D3" s="483" t="s">
        <v>591</v>
      </c>
    </row>
    <row r="4" spans="2:7" s="477" customFormat="1" ht="19.5" customHeight="1" x14ac:dyDescent="0.25">
      <c r="B4" s="480" t="s">
        <v>577</v>
      </c>
      <c r="C4" s="480" t="s">
        <v>539</v>
      </c>
      <c r="D4" s="1249" t="s">
        <v>573</v>
      </c>
      <c r="E4" s="1250"/>
      <c r="F4" s="1251" t="s">
        <v>537</v>
      </c>
      <c r="G4" s="1252"/>
    </row>
    <row r="5" spans="2:7" s="477" customFormat="1" ht="15" customHeight="1" x14ac:dyDescent="0.25">
      <c r="B5" s="480" t="s">
        <v>576</v>
      </c>
      <c r="C5" s="480" t="s">
        <v>575</v>
      </c>
      <c r="D5" s="480" t="s">
        <v>572</v>
      </c>
      <c r="E5" s="480" t="s">
        <v>318</v>
      </c>
      <c r="F5" s="480" t="s">
        <v>572</v>
      </c>
      <c r="G5" s="480" t="s">
        <v>318</v>
      </c>
    </row>
    <row r="6" spans="2:7" x14ac:dyDescent="0.25">
      <c r="B6" s="478" t="s">
        <v>535</v>
      </c>
      <c r="C6" s="406" t="s">
        <v>536</v>
      </c>
      <c r="D6" s="406" t="s">
        <v>538</v>
      </c>
      <c r="E6" s="262" t="s">
        <v>587</v>
      </c>
      <c r="F6" s="406" t="s">
        <v>276</v>
      </c>
      <c r="G6" s="262" t="s">
        <v>587</v>
      </c>
    </row>
    <row r="7" spans="2:7" x14ac:dyDescent="0.25">
      <c r="B7" s="478" t="s">
        <v>540</v>
      </c>
      <c r="C7" s="406" t="s">
        <v>541</v>
      </c>
      <c r="D7" s="406" t="s">
        <v>538</v>
      </c>
      <c r="E7" s="262" t="s">
        <v>587</v>
      </c>
      <c r="F7" s="406" t="s">
        <v>276</v>
      </c>
      <c r="G7" s="262" t="s">
        <v>587</v>
      </c>
    </row>
    <row r="8" spans="2:7" x14ac:dyDescent="0.25">
      <c r="B8" s="479" t="s">
        <v>542</v>
      </c>
      <c r="C8" s="406" t="s">
        <v>543</v>
      </c>
      <c r="D8" s="406" t="s">
        <v>538</v>
      </c>
      <c r="E8" s="262" t="s">
        <v>587</v>
      </c>
      <c r="F8" s="406" t="s">
        <v>276</v>
      </c>
      <c r="G8" s="262" t="s">
        <v>587</v>
      </c>
    </row>
    <row r="9" spans="2:7" x14ac:dyDescent="0.25">
      <c r="B9" s="479" t="s">
        <v>544</v>
      </c>
      <c r="C9" s="406" t="s">
        <v>545</v>
      </c>
      <c r="D9" s="406" t="s">
        <v>546</v>
      </c>
      <c r="E9" s="262" t="s">
        <v>587</v>
      </c>
      <c r="F9" s="406" t="s">
        <v>276</v>
      </c>
      <c r="G9" s="262" t="s">
        <v>587</v>
      </c>
    </row>
    <row r="10" spans="2:7" x14ac:dyDescent="0.25">
      <c r="B10" s="479" t="s">
        <v>547</v>
      </c>
      <c r="C10" s="406" t="s">
        <v>548</v>
      </c>
      <c r="D10" s="406" t="s">
        <v>276</v>
      </c>
      <c r="E10" s="262" t="s">
        <v>587</v>
      </c>
      <c r="F10" s="406" t="s">
        <v>276</v>
      </c>
      <c r="G10" s="262" t="s">
        <v>587</v>
      </c>
    </row>
    <row r="11" spans="2:7" x14ac:dyDescent="0.25">
      <c r="B11" s="479" t="s">
        <v>549</v>
      </c>
      <c r="C11" s="406" t="s">
        <v>550</v>
      </c>
      <c r="D11" s="406" t="s">
        <v>551</v>
      </c>
      <c r="E11" s="262" t="s">
        <v>587</v>
      </c>
      <c r="F11" s="406" t="s">
        <v>276</v>
      </c>
      <c r="G11" s="262" t="s">
        <v>587</v>
      </c>
    </row>
    <row r="12" spans="2:7" x14ac:dyDescent="0.25">
      <c r="B12" s="478" t="s">
        <v>552</v>
      </c>
      <c r="C12" s="406" t="s">
        <v>553</v>
      </c>
      <c r="D12" s="406" t="s">
        <v>554</v>
      </c>
      <c r="E12" s="482" t="s">
        <v>581</v>
      </c>
      <c r="F12" s="406" t="s">
        <v>554</v>
      </c>
      <c r="G12" s="482" t="s">
        <v>582</v>
      </c>
    </row>
    <row r="13" spans="2:7" ht="27.75" customHeight="1" x14ac:dyDescent="0.25">
      <c r="B13" s="479" t="s">
        <v>555</v>
      </c>
      <c r="C13" s="406" t="s">
        <v>556</v>
      </c>
      <c r="D13" s="406" t="s">
        <v>557</v>
      </c>
      <c r="E13" s="262" t="s">
        <v>587</v>
      </c>
      <c r="F13" s="406" t="s">
        <v>276</v>
      </c>
      <c r="G13" s="262" t="s">
        <v>587</v>
      </c>
    </row>
    <row r="14" spans="2:7" x14ac:dyDescent="0.25">
      <c r="B14" s="479" t="s">
        <v>558</v>
      </c>
      <c r="C14" s="406" t="s">
        <v>559</v>
      </c>
      <c r="D14" s="406" t="s">
        <v>278</v>
      </c>
      <c r="E14" s="440" t="s">
        <v>278</v>
      </c>
      <c r="F14" s="406" t="s">
        <v>278</v>
      </c>
      <c r="G14" s="440" t="s">
        <v>278</v>
      </c>
    </row>
    <row r="15" spans="2:7" ht="30.75" customHeight="1" x14ac:dyDescent="0.25">
      <c r="B15" s="479" t="s">
        <v>560</v>
      </c>
      <c r="C15" s="406" t="s">
        <v>562</v>
      </c>
      <c r="D15" s="406" t="s">
        <v>276</v>
      </c>
      <c r="E15" s="262" t="s">
        <v>587</v>
      </c>
      <c r="F15" s="406" t="s">
        <v>561</v>
      </c>
      <c r="G15" s="262" t="s">
        <v>587</v>
      </c>
    </row>
    <row r="16" spans="2:7" x14ac:dyDescent="0.25">
      <c r="B16" s="479" t="s">
        <v>563</v>
      </c>
      <c r="C16" s="406" t="s">
        <v>564</v>
      </c>
      <c r="D16" s="406" t="s">
        <v>565</v>
      </c>
      <c r="E16" s="262" t="s">
        <v>587</v>
      </c>
      <c r="F16" s="406" t="s">
        <v>561</v>
      </c>
      <c r="G16" s="262" t="s">
        <v>587</v>
      </c>
    </row>
    <row r="17" spans="2:7" x14ac:dyDescent="0.25">
      <c r="B17" s="479" t="s">
        <v>566</v>
      </c>
      <c r="C17" s="406" t="s">
        <v>567</v>
      </c>
      <c r="D17" s="406" t="s">
        <v>278</v>
      </c>
      <c r="E17" s="440" t="s">
        <v>278</v>
      </c>
      <c r="F17" s="406" t="s">
        <v>278</v>
      </c>
      <c r="G17" s="440" t="s">
        <v>278</v>
      </c>
    </row>
    <row r="18" spans="2:7" x14ac:dyDescent="0.25">
      <c r="B18" s="479" t="s">
        <v>568</v>
      </c>
      <c r="C18" s="406" t="s">
        <v>569</v>
      </c>
      <c r="D18" s="406" t="s">
        <v>538</v>
      </c>
      <c r="E18" s="262" t="s">
        <v>587</v>
      </c>
      <c r="F18" s="406" t="s">
        <v>561</v>
      </c>
      <c r="G18" s="262" t="s">
        <v>587</v>
      </c>
    </row>
    <row r="19" spans="2:7" x14ac:dyDescent="0.25">
      <c r="B19" s="479" t="s">
        <v>570</v>
      </c>
      <c r="C19" s="406" t="s">
        <v>571</v>
      </c>
      <c r="D19" s="406" t="s">
        <v>276</v>
      </c>
      <c r="E19" s="262" t="s">
        <v>587</v>
      </c>
      <c r="F19" s="406" t="s">
        <v>276</v>
      </c>
      <c r="G19" s="262" t="s">
        <v>587</v>
      </c>
    </row>
    <row r="21" spans="2:7" x14ac:dyDescent="0.25">
      <c r="C21" s="1253" t="s">
        <v>583</v>
      </c>
      <c r="D21" s="1254"/>
      <c r="E21" s="480" t="s">
        <v>318</v>
      </c>
    </row>
    <row r="22" spans="2:7" x14ac:dyDescent="0.25">
      <c r="C22" s="1248" t="s">
        <v>584</v>
      </c>
      <c r="D22" s="1188"/>
      <c r="E22" s="262" t="s">
        <v>587</v>
      </c>
    </row>
    <row r="23" spans="2:7" x14ac:dyDescent="0.25">
      <c r="C23" s="1248" t="s">
        <v>585</v>
      </c>
      <c r="D23" s="1188"/>
      <c r="E23" s="262" t="s">
        <v>587</v>
      </c>
    </row>
    <row r="24" spans="2:7" ht="24" customHeight="1" x14ac:dyDescent="0.25">
      <c r="C24" s="1246" t="s">
        <v>588</v>
      </c>
      <c r="D24" s="1247"/>
      <c r="E24" s="262" t="s">
        <v>587</v>
      </c>
    </row>
    <row r="25" spans="2:7" ht="26.25" customHeight="1" x14ac:dyDescent="0.25">
      <c r="C25" s="1246" t="s">
        <v>589</v>
      </c>
      <c r="D25" s="1247"/>
      <c r="E25" s="262" t="s">
        <v>587</v>
      </c>
    </row>
    <row r="26" spans="2:7" x14ac:dyDescent="0.25">
      <c r="C26" s="1248" t="s">
        <v>586</v>
      </c>
      <c r="D26" s="1188"/>
      <c r="E26" s="262" t="s">
        <v>587</v>
      </c>
    </row>
  </sheetData>
  <mergeCells count="8">
    <mergeCell ref="C25:D25"/>
    <mergeCell ref="C26:D26"/>
    <mergeCell ref="D4:E4"/>
    <mergeCell ref="F4:G4"/>
    <mergeCell ref="C21:D21"/>
    <mergeCell ref="C22:D22"/>
    <mergeCell ref="C23:D23"/>
    <mergeCell ref="C24:D24"/>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B1:G26"/>
  <sheetViews>
    <sheetView topLeftCell="D4" workbookViewId="0">
      <selection activeCell="J27" sqref="J27"/>
    </sheetView>
  </sheetViews>
  <sheetFormatPr defaultRowHeight="13.2" x14ac:dyDescent="0.25"/>
  <cols>
    <col min="1" max="1" width="3.5546875" customWidth="1"/>
    <col min="2" max="2" width="5.44140625" customWidth="1"/>
    <col min="3" max="3" width="60.33203125" customWidth="1"/>
    <col min="4" max="4" width="45" customWidth="1"/>
    <col min="5" max="5" width="54.5546875" customWidth="1"/>
    <col min="6" max="6" width="23.6640625" customWidth="1"/>
    <col min="7" max="7" width="24.33203125" customWidth="1"/>
  </cols>
  <sheetData>
    <row r="1" spans="2:7" ht="10.5" customHeight="1" x14ac:dyDescent="0.25"/>
    <row r="2" spans="2:7" ht="24" customHeight="1" x14ac:dyDescent="0.25">
      <c r="C2" s="484" t="s">
        <v>579</v>
      </c>
      <c r="D2" s="485">
        <f ca="1">NOW()</f>
        <v>46073.374034837965</v>
      </c>
    </row>
    <row r="3" spans="2:7" ht="30" customHeight="1" x14ac:dyDescent="0.25">
      <c r="C3" s="480" t="s">
        <v>574</v>
      </c>
      <c r="D3" s="483" t="s">
        <v>578</v>
      </c>
    </row>
    <row r="4" spans="2:7" s="477" customFormat="1" ht="19.5" customHeight="1" x14ac:dyDescent="0.25">
      <c r="B4" s="480" t="s">
        <v>577</v>
      </c>
      <c r="C4" s="480" t="s">
        <v>539</v>
      </c>
      <c r="D4" s="1249" t="s">
        <v>573</v>
      </c>
      <c r="E4" s="1250"/>
      <c r="F4" s="1251" t="s">
        <v>537</v>
      </c>
      <c r="G4" s="1252"/>
    </row>
    <row r="5" spans="2:7" s="477" customFormat="1" ht="15" customHeight="1" x14ac:dyDescent="0.25">
      <c r="B5" s="480" t="s">
        <v>576</v>
      </c>
      <c r="C5" s="480" t="s">
        <v>575</v>
      </c>
      <c r="D5" s="480" t="s">
        <v>572</v>
      </c>
      <c r="E5" s="480" t="s">
        <v>318</v>
      </c>
      <c r="F5" s="480" t="s">
        <v>572</v>
      </c>
      <c r="G5" s="480" t="s">
        <v>318</v>
      </c>
    </row>
    <row r="6" spans="2:7" x14ac:dyDescent="0.25">
      <c r="B6" s="478" t="s">
        <v>535</v>
      </c>
      <c r="C6" s="406" t="s">
        <v>536</v>
      </c>
      <c r="D6" s="406" t="s">
        <v>538</v>
      </c>
      <c r="E6" s="440" t="s">
        <v>623</v>
      </c>
      <c r="F6" s="406" t="s">
        <v>276</v>
      </c>
      <c r="G6" s="262" t="s">
        <v>587</v>
      </c>
    </row>
    <row r="7" spans="2:7" x14ac:dyDescent="0.25">
      <c r="B7" s="478" t="s">
        <v>540</v>
      </c>
      <c r="C7" s="406" t="s">
        <v>541</v>
      </c>
      <c r="D7" s="406" t="s">
        <v>538</v>
      </c>
      <c r="E7" s="440" t="s">
        <v>623</v>
      </c>
      <c r="F7" s="406" t="s">
        <v>276</v>
      </c>
      <c r="G7" s="262" t="s">
        <v>587</v>
      </c>
    </row>
    <row r="8" spans="2:7" x14ac:dyDescent="0.25">
      <c r="B8" s="479" t="s">
        <v>542</v>
      </c>
      <c r="C8" s="406" t="s">
        <v>543</v>
      </c>
      <c r="D8" s="406" t="s">
        <v>538</v>
      </c>
      <c r="E8" s="440" t="s">
        <v>623</v>
      </c>
      <c r="F8" s="406" t="s">
        <v>276</v>
      </c>
      <c r="G8" s="262" t="s">
        <v>587</v>
      </c>
    </row>
    <row r="9" spans="2:7" x14ac:dyDescent="0.25">
      <c r="B9" s="479" t="s">
        <v>544</v>
      </c>
      <c r="C9" s="406" t="s">
        <v>545</v>
      </c>
      <c r="D9" s="406" t="s">
        <v>546</v>
      </c>
      <c r="E9" s="440" t="s">
        <v>623</v>
      </c>
      <c r="F9" s="406" t="s">
        <v>276</v>
      </c>
      <c r="G9" s="262" t="s">
        <v>587</v>
      </c>
    </row>
    <row r="10" spans="2:7" x14ac:dyDescent="0.25">
      <c r="B10" s="479" t="s">
        <v>547</v>
      </c>
      <c r="C10" s="406" t="s">
        <v>548</v>
      </c>
      <c r="D10" s="406" t="s">
        <v>276</v>
      </c>
      <c r="E10" s="440" t="s">
        <v>623</v>
      </c>
      <c r="F10" s="406" t="s">
        <v>276</v>
      </c>
      <c r="G10" s="262" t="s">
        <v>587</v>
      </c>
    </row>
    <row r="11" spans="2:7" x14ac:dyDescent="0.25">
      <c r="B11" s="479" t="s">
        <v>549</v>
      </c>
      <c r="C11" s="406" t="s">
        <v>550</v>
      </c>
      <c r="D11" s="406" t="s">
        <v>551</v>
      </c>
      <c r="E11" s="440" t="s">
        <v>624</v>
      </c>
      <c r="F11" s="406" t="s">
        <v>276</v>
      </c>
      <c r="G11" s="262" t="s">
        <v>587</v>
      </c>
    </row>
    <row r="12" spans="2:7" x14ac:dyDescent="0.25">
      <c r="B12" s="478" t="s">
        <v>552</v>
      </c>
      <c r="C12" s="406" t="s">
        <v>553</v>
      </c>
      <c r="D12" s="406" t="s">
        <v>554</v>
      </c>
      <c r="E12" s="482" t="s">
        <v>581</v>
      </c>
      <c r="F12" s="406" t="s">
        <v>554</v>
      </c>
      <c r="G12" s="482" t="s">
        <v>582</v>
      </c>
    </row>
    <row r="13" spans="2:7" ht="27.75" customHeight="1" x14ac:dyDescent="0.25">
      <c r="B13" s="479" t="s">
        <v>555</v>
      </c>
      <c r="C13" s="406" t="s">
        <v>556</v>
      </c>
      <c r="D13" s="406" t="s">
        <v>557</v>
      </c>
      <c r="E13" s="379" t="s">
        <v>625</v>
      </c>
      <c r="F13" s="406" t="s">
        <v>276</v>
      </c>
      <c r="G13" s="262" t="s">
        <v>587</v>
      </c>
    </row>
    <row r="14" spans="2:7" x14ac:dyDescent="0.25">
      <c r="B14" s="479" t="s">
        <v>558</v>
      </c>
      <c r="C14" s="406" t="s">
        <v>559</v>
      </c>
      <c r="D14" s="406" t="s">
        <v>278</v>
      </c>
      <c r="E14" s="440" t="s">
        <v>278</v>
      </c>
      <c r="F14" s="406" t="s">
        <v>278</v>
      </c>
      <c r="G14" s="440" t="s">
        <v>278</v>
      </c>
    </row>
    <row r="15" spans="2:7" ht="30.75" customHeight="1" x14ac:dyDescent="0.25">
      <c r="B15" s="479" t="s">
        <v>560</v>
      </c>
      <c r="C15" s="406" t="s">
        <v>562</v>
      </c>
      <c r="D15" s="406" t="s">
        <v>276</v>
      </c>
      <c r="E15" s="379" t="s">
        <v>626</v>
      </c>
      <c r="F15" s="406" t="s">
        <v>561</v>
      </c>
      <c r="G15" s="262" t="s">
        <v>587</v>
      </c>
    </row>
    <row r="16" spans="2:7" x14ac:dyDescent="0.25">
      <c r="B16" s="479" t="s">
        <v>563</v>
      </c>
      <c r="C16" s="406" t="s">
        <v>564</v>
      </c>
      <c r="D16" s="406" t="s">
        <v>565</v>
      </c>
      <c r="E16" s="440" t="s">
        <v>627</v>
      </c>
      <c r="F16" s="406" t="s">
        <v>561</v>
      </c>
      <c r="G16" s="262" t="s">
        <v>587</v>
      </c>
    </row>
    <row r="17" spans="2:7" x14ac:dyDescent="0.25">
      <c r="B17" s="479" t="s">
        <v>566</v>
      </c>
      <c r="C17" s="406" t="s">
        <v>567</v>
      </c>
      <c r="D17" s="406" t="s">
        <v>278</v>
      </c>
      <c r="E17" s="440" t="s">
        <v>278</v>
      </c>
      <c r="F17" s="406" t="s">
        <v>278</v>
      </c>
      <c r="G17" s="440" t="s">
        <v>278</v>
      </c>
    </row>
    <row r="18" spans="2:7" x14ac:dyDescent="0.25">
      <c r="B18" s="479" t="s">
        <v>568</v>
      </c>
      <c r="C18" s="406" t="s">
        <v>569</v>
      </c>
      <c r="D18" s="406" t="s">
        <v>538</v>
      </c>
      <c r="E18" s="440" t="s">
        <v>628</v>
      </c>
      <c r="F18" s="406" t="s">
        <v>561</v>
      </c>
      <c r="G18" s="262" t="s">
        <v>587</v>
      </c>
    </row>
    <row r="19" spans="2:7" x14ac:dyDescent="0.25">
      <c r="B19" s="479" t="s">
        <v>570</v>
      </c>
      <c r="C19" s="406" t="s">
        <v>571</v>
      </c>
      <c r="D19" s="406" t="s">
        <v>276</v>
      </c>
      <c r="E19" s="440" t="s">
        <v>628</v>
      </c>
      <c r="F19" s="406" t="s">
        <v>276</v>
      </c>
      <c r="G19" s="262" t="s">
        <v>587</v>
      </c>
    </row>
    <row r="21" spans="2:7" x14ac:dyDescent="0.25">
      <c r="C21" s="1253" t="s">
        <v>583</v>
      </c>
      <c r="D21" s="1254"/>
      <c r="E21" s="480" t="s">
        <v>318</v>
      </c>
    </row>
    <row r="22" spans="2:7" x14ac:dyDescent="0.25">
      <c r="C22" s="1248" t="s">
        <v>584</v>
      </c>
      <c r="D22" s="1188"/>
      <c r="E22" s="262" t="s">
        <v>587</v>
      </c>
    </row>
    <row r="23" spans="2:7" x14ac:dyDescent="0.25">
      <c r="C23" s="1248" t="s">
        <v>585</v>
      </c>
      <c r="D23" s="1188"/>
      <c r="E23" s="262" t="s">
        <v>587</v>
      </c>
    </row>
    <row r="24" spans="2:7" ht="24" customHeight="1" x14ac:dyDescent="0.25">
      <c r="C24" s="1246" t="s">
        <v>588</v>
      </c>
      <c r="D24" s="1247"/>
      <c r="E24" s="262" t="s">
        <v>587</v>
      </c>
    </row>
    <row r="25" spans="2:7" ht="26.25" customHeight="1" x14ac:dyDescent="0.25">
      <c r="C25" s="1246" t="s">
        <v>589</v>
      </c>
      <c r="D25" s="1247"/>
      <c r="E25" s="260" t="s">
        <v>590</v>
      </c>
    </row>
    <row r="26" spans="2:7" x14ac:dyDescent="0.25">
      <c r="C26" s="1248" t="s">
        <v>586</v>
      </c>
      <c r="D26" s="1188"/>
      <c r="E26" s="262" t="s">
        <v>587</v>
      </c>
    </row>
  </sheetData>
  <mergeCells count="8">
    <mergeCell ref="C26:D26"/>
    <mergeCell ref="C24:D24"/>
    <mergeCell ref="C25:D25"/>
    <mergeCell ref="F4:G4"/>
    <mergeCell ref="D4:E4"/>
    <mergeCell ref="C21:D21"/>
    <mergeCell ref="C22:D22"/>
    <mergeCell ref="C23:D23"/>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B1:G26"/>
  <sheetViews>
    <sheetView topLeftCell="A10" zoomScale="126" zoomScaleNormal="126" workbookViewId="0">
      <selection activeCell="A24" sqref="A24"/>
    </sheetView>
  </sheetViews>
  <sheetFormatPr defaultRowHeight="13.2" x14ac:dyDescent="0.25"/>
  <cols>
    <col min="1" max="1" width="3.5546875" customWidth="1"/>
    <col min="2" max="2" width="5.44140625" customWidth="1"/>
    <col min="3" max="3" width="60.33203125" customWidth="1"/>
    <col min="4" max="4" width="45" customWidth="1"/>
    <col min="5" max="5" width="54.5546875" customWidth="1"/>
    <col min="6" max="6" width="23.6640625" customWidth="1"/>
    <col min="7" max="7" width="24.33203125" customWidth="1"/>
  </cols>
  <sheetData>
    <row r="1" spans="2:7" ht="10.5" customHeight="1" x14ac:dyDescent="0.25"/>
    <row r="2" spans="2:7" ht="24" customHeight="1" x14ac:dyDescent="0.25">
      <c r="C2" s="484" t="s">
        <v>579</v>
      </c>
      <c r="D2" s="485">
        <f ca="1">NOW()</f>
        <v>46073.374034837965</v>
      </c>
    </row>
    <row r="3" spans="2:7" ht="30" customHeight="1" x14ac:dyDescent="0.25">
      <c r="C3" s="480" t="s">
        <v>574</v>
      </c>
      <c r="D3" s="483" t="s">
        <v>629</v>
      </c>
    </row>
    <row r="4" spans="2:7" s="477" customFormat="1" ht="19.5" customHeight="1" x14ac:dyDescent="0.25">
      <c r="B4" s="480" t="s">
        <v>577</v>
      </c>
      <c r="C4" s="480" t="s">
        <v>539</v>
      </c>
      <c r="D4" s="1249" t="s">
        <v>573</v>
      </c>
      <c r="E4" s="1250"/>
      <c r="F4" s="1251" t="s">
        <v>537</v>
      </c>
      <c r="G4" s="1252"/>
    </row>
    <row r="5" spans="2:7" s="477" customFormat="1" ht="15" customHeight="1" x14ac:dyDescent="0.25">
      <c r="B5" s="480" t="s">
        <v>576</v>
      </c>
      <c r="C5" s="480" t="s">
        <v>575</v>
      </c>
      <c r="D5" s="480" t="s">
        <v>572</v>
      </c>
      <c r="E5" s="480" t="s">
        <v>318</v>
      </c>
      <c r="F5" s="480" t="s">
        <v>572</v>
      </c>
      <c r="G5" s="480" t="s">
        <v>318</v>
      </c>
    </row>
    <row r="6" spans="2:7" x14ac:dyDescent="0.25">
      <c r="B6" s="478" t="s">
        <v>535</v>
      </c>
      <c r="C6" s="406" t="s">
        <v>536</v>
      </c>
      <c r="D6" s="406" t="s">
        <v>538</v>
      </c>
      <c r="E6" s="440" t="s">
        <v>669</v>
      </c>
      <c r="F6" s="406" t="s">
        <v>276</v>
      </c>
      <c r="G6" s="481" t="s">
        <v>633</v>
      </c>
    </row>
    <row r="7" spans="2:7" x14ac:dyDescent="0.25">
      <c r="B7" s="478" t="s">
        <v>540</v>
      </c>
      <c r="C7" s="406" t="s">
        <v>541</v>
      </c>
      <c r="D7" s="406" t="s">
        <v>538</v>
      </c>
      <c r="E7" s="440" t="s">
        <v>669</v>
      </c>
      <c r="F7" s="406" t="s">
        <v>276</v>
      </c>
      <c r="G7" s="481" t="s">
        <v>633</v>
      </c>
    </row>
    <row r="8" spans="2:7" x14ac:dyDescent="0.25">
      <c r="B8" s="479" t="s">
        <v>542</v>
      </c>
      <c r="C8" s="406" t="s">
        <v>543</v>
      </c>
      <c r="D8" s="406" t="s">
        <v>538</v>
      </c>
      <c r="E8" s="440" t="s">
        <v>669</v>
      </c>
      <c r="F8" s="406" t="s">
        <v>276</v>
      </c>
      <c r="G8" s="481" t="s">
        <v>633</v>
      </c>
    </row>
    <row r="9" spans="2:7" x14ac:dyDescent="0.25">
      <c r="B9" s="479" t="s">
        <v>544</v>
      </c>
      <c r="C9" s="406" t="s">
        <v>545</v>
      </c>
      <c r="D9" s="406" t="s">
        <v>546</v>
      </c>
      <c r="E9" s="440" t="s">
        <v>669</v>
      </c>
      <c r="F9" s="406" t="s">
        <v>276</v>
      </c>
      <c r="G9" s="481" t="s">
        <v>633</v>
      </c>
    </row>
    <row r="10" spans="2:7" x14ac:dyDescent="0.25">
      <c r="B10" s="479" t="s">
        <v>547</v>
      </c>
      <c r="C10" s="406" t="s">
        <v>548</v>
      </c>
      <c r="D10" s="406" t="s">
        <v>276</v>
      </c>
      <c r="E10" s="481" t="s">
        <v>632</v>
      </c>
      <c r="F10" s="406" t="s">
        <v>276</v>
      </c>
      <c r="G10" s="481" t="s">
        <v>633</v>
      </c>
    </row>
    <row r="11" spans="2:7" x14ac:dyDescent="0.25">
      <c r="B11" s="479" t="s">
        <v>549</v>
      </c>
      <c r="C11" s="406" t="s">
        <v>550</v>
      </c>
      <c r="D11" s="406" t="s">
        <v>551</v>
      </c>
      <c r="E11" s="440" t="s">
        <v>670</v>
      </c>
      <c r="F11" s="406" t="s">
        <v>276</v>
      </c>
      <c r="G11" s="481" t="s">
        <v>633</v>
      </c>
    </row>
    <row r="12" spans="2:7" x14ac:dyDescent="0.25">
      <c r="B12" s="478" t="s">
        <v>552</v>
      </c>
      <c r="C12" s="406" t="s">
        <v>553</v>
      </c>
      <c r="D12" s="406" t="s">
        <v>554</v>
      </c>
      <c r="E12" s="482" t="s">
        <v>581</v>
      </c>
      <c r="F12" s="406" t="s">
        <v>554</v>
      </c>
      <c r="G12" s="482" t="s">
        <v>582</v>
      </c>
    </row>
    <row r="13" spans="2:7" ht="27.75" customHeight="1" x14ac:dyDescent="0.25">
      <c r="B13" s="479" t="s">
        <v>555</v>
      </c>
      <c r="C13" s="406" t="s">
        <v>556</v>
      </c>
      <c r="D13" s="406" t="s">
        <v>557</v>
      </c>
      <c r="E13" s="592" t="s">
        <v>671</v>
      </c>
      <c r="F13" s="406" t="s">
        <v>276</v>
      </c>
      <c r="G13" s="481" t="s">
        <v>633</v>
      </c>
    </row>
    <row r="14" spans="2:7" x14ac:dyDescent="0.25">
      <c r="B14" s="479" t="s">
        <v>558</v>
      </c>
      <c r="C14" s="406" t="s">
        <v>559</v>
      </c>
      <c r="D14" s="406" t="s">
        <v>278</v>
      </c>
      <c r="E14" s="440" t="s">
        <v>278</v>
      </c>
      <c r="F14" s="406" t="s">
        <v>278</v>
      </c>
      <c r="G14" s="440" t="s">
        <v>278</v>
      </c>
    </row>
    <row r="15" spans="2:7" ht="30.75" customHeight="1" x14ac:dyDescent="0.25">
      <c r="B15" s="479" t="s">
        <v>560</v>
      </c>
      <c r="C15" s="406" t="s">
        <v>562</v>
      </c>
      <c r="D15" s="406" t="s">
        <v>276</v>
      </c>
      <c r="E15" s="379" t="s">
        <v>634</v>
      </c>
      <c r="F15" s="406" t="s">
        <v>561</v>
      </c>
      <c r="G15" s="481" t="s">
        <v>633</v>
      </c>
    </row>
    <row r="16" spans="2:7" x14ac:dyDescent="0.25">
      <c r="B16" s="479" t="s">
        <v>563</v>
      </c>
      <c r="C16" s="406" t="s">
        <v>564</v>
      </c>
      <c r="D16" s="406" t="s">
        <v>565</v>
      </c>
      <c r="E16" s="593" t="s">
        <v>672</v>
      </c>
      <c r="F16" s="406" t="s">
        <v>561</v>
      </c>
      <c r="G16" s="481" t="s">
        <v>633</v>
      </c>
    </row>
    <row r="17" spans="2:7" x14ac:dyDescent="0.25">
      <c r="B17" s="479" t="s">
        <v>566</v>
      </c>
      <c r="C17" s="406" t="s">
        <v>567</v>
      </c>
      <c r="D17" s="406" t="s">
        <v>278</v>
      </c>
      <c r="E17" s="593" t="s">
        <v>278</v>
      </c>
      <c r="F17" s="406" t="s">
        <v>278</v>
      </c>
      <c r="G17" s="440" t="s">
        <v>278</v>
      </c>
    </row>
    <row r="18" spans="2:7" x14ac:dyDescent="0.25">
      <c r="B18" s="479" t="s">
        <v>568</v>
      </c>
      <c r="C18" s="406" t="s">
        <v>569</v>
      </c>
      <c r="D18" s="406" t="s">
        <v>538</v>
      </c>
      <c r="E18" s="593" t="s">
        <v>673</v>
      </c>
      <c r="F18" s="406" t="s">
        <v>561</v>
      </c>
      <c r="G18" s="481" t="s">
        <v>633</v>
      </c>
    </row>
    <row r="19" spans="2:7" x14ac:dyDescent="0.25">
      <c r="B19" s="479" t="s">
        <v>570</v>
      </c>
      <c r="C19" s="406" t="s">
        <v>571</v>
      </c>
      <c r="D19" s="406" t="s">
        <v>276</v>
      </c>
      <c r="E19" s="481" t="s">
        <v>580</v>
      </c>
      <c r="F19" s="406" t="s">
        <v>276</v>
      </c>
      <c r="G19" s="481" t="s">
        <v>633</v>
      </c>
    </row>
    <row r="21" spans="2:7" x14ac:dyDescent="0.25">
      <c r="C21" s="1253" t="s">
        <v>583</v>
      </c>
      <c r="D21" s="1254"/>
      <c r="E21" s="480" t="s">
        <v>318</v>
      </c>
    </row>
    <row r="22" spans="2:7" x14ac:dyDescent="0.25">
      <c r="C22" s="1248" t="s">
        <v>584</v>
      </c>
      <c r="D22" s="1188"/>
      <c r="E22" s="262" t="s">
        <v>587</v>
      </c>
    </row>
    <row r="23" spans="2:7" x14ac:dyDescent="0.25">
      <c r="C23" s="1248" t="s">
        <v>585</v>
      </c>
      <c r="D23" s="1188"/>
      <c r="E23" s="486"/>
    </row>
    <row r="24" spans="2:7" ht="24" customHeight="1" x14ac:dyDescent="0.25">
      <c r="C24" s="1246" t="s">
        <v>588</v>
      </c>
      <c r="D24" s="1247"/>
      <c r="E24" s="486"/>
    </row>
    <row r="25" spans="2:7" ht="26.25" customHeight="1" x14ac:dyDescent="0.25">
      <c r="C25" s="1246" t="s">
        <v>589</v>
      </c>
      <c r="D25" s="1247"/>
      <c r="E25" s="260" t="s">
        <v>590</v>
      </c>
    </row>
    <row r="26" spans="2:7" x14ac:dyDescent="0.25">
      <c r="C26" s="1248" t="s">
        <v>586</v>
      </c>
      <c r="D26" s="1188"/>
      <c r="E26" s="418" t="s">
        <v>581</v>
      </c>
    </row>
  </sheetData>
  <mergeCells count="8">
    <mergeCell ref="C25:D25"/>
    <mergeCell ref="C26:D26"/>
    <mergeCell ref="D4:E4"/>
    <mergeCell ref="F4:G4"/>
    <mergeCell ref="C21:D21"/>
    <mergeCell ref="C22:D22"/>
    <mergeCell ref="C23:D23"/>
    <mergeCell ref="C24:D24"/>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CJ32"/>
  <sheetViews>
    <sheetView zoomScale="80" zoomScaleNormal="80" workbookViewId="0">
      <pane xSplit="3" ySplit="1" topLeftCell="R4" activePane="bottomRight" state="frozen"/>
      <selection pane="topRight" activeCell="D1" sqref="D1"/>
      <selection pane="bottomLeft" activeCell="A2" sqref="A2"/>
      <selection pane="bottomRight" activeCell="Y11" sqref="Y11"/>
    </sheetView>
  </sheetViews>
  <sheetFormatPr defaultRowHeight="13.2" x14ac:dyDescent="0.25"/>
  <cols>
    <col min="1" max="1" width="13.33203125" customWidth="1"/>
    <col min="2" max="2" width="60.44140625" customWidth="1"/>
    <col min="3" max="3" width="33.44140625" customWidth="1"/>
    <col min="4" max="4" width="15.5546875" customWidth="1"/>
    <col min="5" max="6" width="17.109375" customWidth="1"/>
    <col min="7" max="13" width="15.5546875" customWidth="1"/>
    <col min="14" max="14" width="15.6640625" customWidth="1"/>
    <col min="15" max="16" width="14.88671875" customWidth="1"/>
    <col min="17" max="17" width="14.6640625" customWidth="1"/>
    <col min="18" max="19" width="14.88671875" customWidth="1"/>
    <col min="20" max="26" width="14.6640625" customWidth="1"/>
    <col min="27" max="27" width="14.88671875" customWidth="1"/>
    <col min="28" max="28" width="12.44140625" customWidth="1"/>
    <col min="29" max="29" width="14.6640625" customWidth="1"/>
    <col min="30" max="59" width="14.88671875" customWidth="1"/>
    <col min="60" max="70" width="7.6640625" customWidth="1"/>
    <col min="71" max="72" width="7.5546875" customWidth="1"/>
    <col min="73" max="73" width="7.6640625" customWidth="1"/>
    <col min="74" max="74" width="14.88671875" customWidth="1"/>
    <col min="75" max="80" width="7.6640625" customWidth="1"/>
    <col min="81" max="81" width="14.88671875" customWidth="1"/>
    <col min="82" max="82" width="8.33203125" customWidth="1"/>
    <col min="83" max="86" width="7.33203125" customWidth="1"/>
    <col min="87" max="87" width="7.6640625" customWidth="1"/>
    <col min="88" max="88" width="14.88671875" customWidth="1"/>
    <col min="89" max="89" width="5.109375" customWidth="1"/>
  </cols>
  <sheetData>
    <row r="1" spans="1:25" ht="19.8" x14ac:dyDescent="0.5">
      <c r="A1" s="1283" t="s">
        <v>220</v>
      </c>
      <c r="B1" s="1222"/>
      <c r="C1" s="1222"/>
      <c r="D1" s="1222"/>
      <c r="E1" s="1222"/>
      <c r="F1" s="1222"/>
      <c r="G1" s="1222"/>
      <c r="H1" s="1222"/>
      <c r="I1" s="1222"/>
      <c r="J1" s="1222"/>
    </row>
    <row r="2" spans="1:25" ht="13.8" thickBot="1" x14ac:dyDescent="0.3"/>
    <row r="3" spans="1:25" ht="16.8" thickBot="1" x14ac:dyDescent="0.45">
      <c r="A3" s="1291" t="s">
        <v>470</v>
      </c>
      <c r="B3" s="1296"/>
      <c r="C3" s="1297"/>
    </row>
    <row r="4" spans="1:25" s="1" customFormat="1" ht="33.6" x14ac:dyDescent="0.4">
      <c r="A4" s="246" t="s">
        <v>9</v>
      </c>
      <c r="B4" s="1300" t="s">
        <v>8</v>
      </c>
      <c r="C4" s="1301"/>
      <c r="D4" s="131" t="s">
        <v>18</v>
      </c>
      <c r="E4" s="7" t="s">
        <v>18</v>
      </c>
      <c r="F4" s="7" t="s">
        <v>18</v>
      </c>
      <c r="G4" s="7" t="s">
        <v>18</v>
      </c>
      <c r="H4" s="7" t="s">
        <v>18</v>
      </c>
      <c r="I4" s="7" t="s">
        <v>18</v>
      </c>
      <c r="J4" s="7" t="s">
        <v>18</v>
      </c>
      <c r="K4" s="7" t="s">
        <v>18</v>
      </c>
      <c r="L4" s="7" t="s">
        <v>18</v>
      </c>
      <c r="M4" s="172" t="s">
        <v>18</v>
      </c>
      <c r="N4" s="7" t="s">
        <v>18</v>
      </c>
      <c r="O4" s="7" t="s">
        <v>18</v>
      </c>
      <c r="P4" s="7" t="s">
        <v>18</v>
      </c>
      <c r="Q4" s="7" t="s">
        <v>18</v>
      </c>
      <c r="R4" s="7" t="s">
        <v>18</v>
      </c>
      <c r="S4" s="7" t="s">
        <v>18</v>
      </c>
      <c r="T4" s="7" t="s">
        <v>18</v>
      </c>
      <c r="U4" s="7" t="s">
        <v>18</v>
      </c>
      <c r="V4" s="7" t="s">
        <v>18</v>
      </c>
      <c r="W4" s="7" t="s">
        <v>18</v>
      </c>
      <c r="X4" s="7" t="s">
        <v>18</v>
      </c>
      <c r="Y4" s="7" t="s">
        <v>18</v>
      </c>
    </row>
    <row r="5" spans="1:25" s="1" customFormat="1" ht="16.2" x14ac:dyDescent="0.4">
      <c r="A5" s="247" t="s">
        <v>12</v>
      </c>
      <c r="B5" s="1302" t="s">
        <v>19</v>
      </c>
      <c r="C5" s="1303"/>
      <c r="D5" s="28">
        <v>38261</v>
      </c>
      <c r="E5" s="20">
        <v>38628</v>
      </c>
      <c r="F5" s="20">
        <v>38874</v>
      </c>
      <c r="G5" s="20">
        <v>39162</v>
      </c>
      <c r="H5" s="20">
        <v>39379</v>
      </c>
      <c r="I5" s="20">
        <v>39744</v>
      </c>
      <c r="J5" s="20">
        <v>40105</v>
      </c>
      <c r="K5" s="20">
        <v>40477</v>
      </c>
      <c r="L5" s="20">
        <v>40840</v>
      </c>
      <c r="M5" s="20">
        <v>41229</v>
      </c>
      <c r="N5" s="20">
        <v>41638</v>
      </c>
      <c r="O5" s="20">
        <v>41984</v>
      </c>
      <c r="P5" s="15">
        <v>42361</v>
      </c>
      <c r="Q5" s="15">
        <v>42731</v>
      </c>
      <c r="R5" s="15">
        <v>43027</v>
      </c>
      <c r="S5" s="377">
        <v>43390</v>
      </c>
      <c r="T5" s="377">
        <v>43769</v>
      </c>
      <c r="U5" s="377">
        <v>44130</v>
      </c>
      <c r="V5" s="377">
        <v>44487</v>
      </c>
      <c r="W5" s="377">
        <v>44854</v>
      </c>
      <c r="X5" s="550">
        <v>45265</v>
      </c>
      <c r="Y5" s="494" t="s">
        <v>651</v>
      </c>
    </row>
    <row r="6" spans="1:25" s="1" customFormat="1" ht="33" thickBot="1" x14ac:dyDescent="0.45">
      <c r="A6" s="248" t="s">
        <v>226</v>
      </c>
      <c r="B6" s="1294" t="s">
        <v>19</v>
      </c>
      <c r="C6" s="1295"/>
      <c r="D6" s="29">
        <v>38261</v>
      </c>
      <c r="E6" s="15">
        <v>38628</v>
      </c>
      <c r="F6" s="15">
        <v>38874</v>
      </c>
      <c r="G6" s="15">
        <v>39162</v>
      </c>
      <c r="H6" s="15">
        <v>39379</v>
      </c>
      <c r="I6" s="15">
        <v>39744</v>
      </c>
      <c r="J6" s="15">
        <v>40105</v>
      </c>
      <c r="K6" s="15">
        <v>40477</v>
      </c>
      <c r="L6" s="15">
        <v>40840</v>
      </c>
      <c r="M6" s="15">
        <v>41229</v>
      </c>
      <c r="N6" s="15">
        <v>41638</v>
      </c>
      <c r="O6" s="15">
        <v>41984</v>
      </c>
      <c r="P6" s="15">
        <v>42361</v>
      </c>
      <c r="Q6" s="15">
        <v>42731</v>
      </c>
      <c r="R6" s="15">
        <v>43027</v>
      </c>
      <c r="S6" s="15">
        <v>43390</v>
      </c>
      <c r="T6" s="377">
        <v>43769</v>
      </c>
      <c r="U6" s="377">
        <v>44130</v>
      </c>
      <c r="V6" s="377">
        <v>44487</v>
      </c>
      <c r="W6" s="377">
        <v>44854</v>
      </c>
      <c r="X6" s="550">
        <v>45265</v>
      </c>
      <c r="Y6" s="494" t="s">
        <v>651</v>
      </c>
    </row>
    <row r="7" spans="1:25" ht="20.25" customHeight="1" thickBot="1" x14ac:dyDescent="0.3"/>
    <row r="8" spans="1:25" ht="14.4" thickBot="1" x14ac:dyDescent="0.3">
      <c r="A8" s="1288" t="s">
        <v>469</v>
      </c>
      <c r="B8" s="1289"/>
      <c r="C8" s="1290"/>
    </row>
    <row r="9" spans="1:25" ht="26.4" x14ac:dyDescent="0.25">
      <c r="A9" s="522" t="s">
        <v>9</v>
      </c>
      <c r="B9" s="1306" t="s">
        <v>8</v>
      </c>
      <c r="C9" s="1307"/>
      <c r="D9" s="131" t="s">
        <v>18</v>
      </c>
      <c r="E9" s="7" t="s">
        <v>18</v>
      </c>
      <c r="F9" s="7" t="s">
        <v>18</v>
      </c>
      <c r="G9" s="7" t="s">
        <v>18</v>
      </c>
      <c r="H9" s="7" t="s">
        <v>18</v>
      </c>
      <c r="I9" s="7" t="s">
        <v>18</v>
      </c>
      <c r="J9" s="7" t="s">
        <v>18</v>
      </c>
      <c r="K9" s="7" t="s">
        <v>18</v>
      </c>
      <c r="L9" s="7" t="s">
        <v>18</v>
      </c>
      <c r="M9" s="172" t="s">
        <v>18</v>
      </c>
      <c r="N9" s="7" t="s">
        <v>18</v>
      </c>
      <c r="O9" s="7" t="s">
        <v>18</v>
      </c>
      <c r="P9" s="7" t="s">
        <v>18</v>
      </c>
      <c r="Q9" s="7" t="s">
        <v>18</v>
      </c>
      <c r="R9" s="7" t="s">
        <v>18</v>
      </c>
      <c r="S9" s="7" t="s">
        <v>18</v>
      </c>
      <c r="T9" s="7" t="s">
        <v>18</v>
      </c>
      <c r="U9" s="7" t="s">
        <v>18</v>
      </c>
      <c r="V9" s="7" t="s">
        <v>18</v>
      </c>
      <c r="W9" s="7" t="s">
        <v>18</v>
      </c>
    </row>
    <row r="10" spans="1:25" ht="16.2" x14ac:dyDescent="0.4">
      <c r="A10" s="523" t="s">
        <v>12</v>
      </c>
      <c r="B10" s="1308" t="s">
        <v>19</v>
      </c>
      <c r="C10" s="1309"/>
      <c r="D10" s="28">
        <v>38261</v>
      </c>
      <c r="E10" s="20">
        <v>38628</v>
      </c>
      <c r="F10" s="20">
        <v>38874</v>
      </c>
      <c r="G10" s="20">
        <v>39558</v>
      </c>
      <c r="H10" s="20">
        <v>39379</v>
      </c>
      <c r="I10" s="20">
        <v>39744</v>
      </c>
      <c r="J10" s="20">
        <v>40130</v>
      </c>
      <c r="K10" s="20">
        <v>40477</v>
      </c>
      <c r="L10" s="20">
        <v>40840</v>
      </c>
      <c r="M10" s="20">
        <v>41229</v>
      </c>
      <c r="N10" s="20">
        <v>41638</v>
      </c>
      <c r="O10" s="20">
        <v>41984</v>
      </c>
      <c r="P10" s="15">
        <v>42361</v>
      </c>
      <c r="Q10" s="15">
        <v>42731</v>
      </c>
      <c r="R10" s="15">
        <v>43026</v>
      </c>
      <c r="S10" s="377">
        <v>43390</v>
      </c>
      <c r="T10" s="377">
        <v>43769</v>
      </c>
      <c r="U10" s="377">
        <v>44130</v>
      </c>
      <c r="V10" s="377">
        <v>44491</v>
      </c>
      <c r="W10" s="549" t="s">
        <v>278</v>
      </c>
    </row>
    <row r="11" spans="1:25" ht="28.8" thickBot="1" x14ac:dyDescent="0.45">
      <c r="A11" s="524" t="s">
        <v>226</v>
      </c>
      <c r="B11" s="1304" t="s">
        <v>19</v>
      </c>
      <c r="C11" s="1305"/>
      <c r="D11" s="29">
        <v>38261</v>
      </c>
      <c r="E11" s="15">
        <v>38628</v>
      </c>
      <c r="F11" s="15">
        <v>38874</v>
      </c>
      <c r="G11" s="15">
        <v>39558</v>
      </c>
      <c r="H11" s="15">
        <v>39379</v>
      </c>
      <c r="I11" s="15">
        <v>39744</v>
      </c>
      <c r="J11" s="15">
        <v>40130</v>
      </c>
      <c r="K11" s="15">
        <v>40477</v>
      </c>
      <c r="L11" s="15">
        <v>40840</v>
      </c>
      <c r="M11" s="15">
        <v>41229</v>
      </c>
      <c r="N11" s="15">
        <v>41638</v>
      </c>
      <c r="O11" s="15">
        <v>41984</v>
      </c>
      <c r="P11" s="15">
        <v>42361</v>
      </c>
      <c r="Q11" s="15">
        <v>42731</v>
      </c>
      <c r="R11" s="15">
        <v>43026</v>
      </c>
      <c r="S11" s="15">
        <v>43390</v>
      </c>
      <c r="T11" s="377">
        <v>43769</v>
      </c>
      <c r="U11" s="377">
        <v>44130</v>
      </c>
      <c r="V11" s="377">
        <v>44491</v>
      </c>
      <c r="W11" s="549" t="s">
        <v>278</v>
      </c>
    </row>
    <row r="12" spans="1:25" ht="18.75" customHeight="1" thickBot="1" x14ac:dyDescent="0.45">
      <c r="A12" s="517"/>
      <c r="B12" s="46"/>
      <c r="C12" s="5"/>
      <c r="D12" s="146"/>
      <c r="E12" s="146"/>
      <c r="F12" s="146"/>
      <c r="G12" s="146"/>
      <c r="H12" s="146"/>
      <c r="I12" s="146"/>
      <c r="J12" s="146"/>
      <c r="K12" s="146"/>
      <c r="L12" s="146"/>
      <c r="M12" s="146"/>
      <c r="N12" s="146"/>
      <c r="O12" s="146"/>
      <c r="P12" s="146"/>
      <c r="Q12" s="146"/>
      <c r="R12" s="146"/>
      <c r="S12" s="146"/>
      <c r="T12" s="518"/>
      <c r="U12" s="518"/>
      <c r="V12" s="518"/>
    </row>
    <row r="13" spans="1:25" ht="16.8" thickBot="1" x14ac:dyDescent="0.45">
      <c r="A13" s="1291" t="s">
        <v>618</v>
      </c>
      <c r="B13" s="1292"/>
      <c r="C13" s="1293"/>
      <c r="D13" s="146"/>
      <c r="E13" s="146"/>
      <c r="F13" s="146"/>
      <c r="G13" s="146"/>
      <c r="H13" s="146"/>
      <c r="I13" s="146"/>
      <c r="J13" s="146"/>
      <c r="K13" s="146"/>
      <c r="L13" s="146"/>
      <c r="M13" s="146"/>
      <c r="N13" s="146"/>
      <c r="O13" s="146"/>
      <c r="P13" s="146"/>
      <c r="Q13" s="146"/>
      <c r="R13" s="146"/>
      <c r="S13" s="146"/>
      <c r="T13" s="518"/>
      <c r="U13" s="518"/>
      <c r="V13" s="518"/>
    </row>
    <row r="14" spans="1:25" ht="33.6" x14ac:dyDescent="0.4">
      <c r="A14" s="245" t="s">
        <v>9</v>
      </c>
      <c r="B14" s="1298" t="s">
        <v>8</v>
      </c>
      <c r="C14" s="1299"/>
      <c r="D14" s="131" t="s">
        <v>18</v>
      </c>
      <c r="E14" s="7" t="s">
        <v>18</v>
      </c>
      <c r="F14" s="7" t="s">
        <v>18</v>
      </c>
      <c r="G14" s="146"/>
      <c r="H14" s="146"/>
      <c r="I14" s="146"/>
      <c r="J14" s="146"/>
      <c r="K14" s="146"/>
      <c r="L14" s="146"/>
      <c r="M14" s="146"/>
      <c r="N14" s="146"/>
      <c r="O14" s="146"/>
      <c r="P14" s="146"/>
      <c r="Q14" s="146"/>
      <c r="R14" s="146"/>
      <c r="S14" s="146"/>
      <c r="T14" s="518"/>
      <c r="U14" s="518"/>
      <c r="V14" s="518"/>
    </row>
    <row r="15" spans="1:25" ht="16.2" x14ac:dyDescent="0.4">
      <c r="A15" s="30" t="s">
        <v>12</v>
      </c>
      <c r="B15" s="1310" t="s">
        <v>19</v>
      </c>
      <c r="C15" s="1303"/>
      <c r="D15" s="28">
        <v>44922</v>
      </c>
      <c r="E15" s="550">
        <v>45265</v>
      </c>
      <c r="F15" s="494" t="s">
        <v>650</v>
      </c>
      <c r="G15" s="146"/>
      <c r="H15" s="146"/>
      <c r="I15" s="146"/>
      <c r="J15" s="146"/>
      <c r="K15" s="146"/>
      <c r="L15" s="146"/>
      <c r="M15" s="146"/>
      <c r="N15" s="146"/>
      <c r="O15" s="146"/>
      <c r="P15" s="146"/>
      <c r="Q15" s="146"/>
      <c r="R15" s="146"/>
      <c r="S15" s="146"/>
      <c r="T15" s="518"/>
      <c r="U15" s="518"/>
      <c r="V15" s="518"/>
    </row>
    <row r="16" spans="1:25" ht="20.25" customHeight="1" thickBot="1" x14ac:dyDescent="0.45">
      <c r="A16" s="31" t="s">
        <v>226</v>
      </c>
      <c r="B16" s="1311" t="s">
        <v>19</v>
      </c>
      <c r="C16" s="1295"/>
      <c r="D16" s="28">
        <v>44922</v>
      </c>
      <c r="E16" s="550">
        <v>45265</v>
      </c>
      <c r="F16" s="494" t="s">
        <v>650</v>
      </c>
    </row>
    <row r="17" spans="1:88" ht="20.25" customHeight="1" thickBot="1" x14ac:dyDescent="0.45">
      <c r="A17" s="519"/>
      <c r="B17" s="520"/>
      <c r="C17" s="521"/>
    </row>
    <row r="18" spans="1:88" ht="16.8" thickBot="1" x14ac:dyDescent="0.45">
      <c r="A18" s="1291" t="s">
        <v>468</v>
      </c>
      <c r="B18" s="1292"/>
      <c r="C18" s="1293"/>
    </row>
    <row r="19" spans="1:88" ht="33.6" x14ac:dyDescent="0.25">
      <c r="A19" s="245" t="s">
        <v>9</v>
      </c>
      <c r="B19" s="1298" t="s">
        <v>8</v>
      </c>
      <c r="C19" s="1299"/>
      <c r="D19" s="131" t="s">
        <v>18</v>
      </c>
      <c r="E19" s="7" t="s">
        <v>18</v>
      </c>
      <c r="F19" s="7" t="s">
        <v>18</v>
      </c>
      <c r="G19" s="7" t="s">
        <v>18</v>
      </c>
      <c r="H19" s="7" t="s">
        <v>18</v>
      </c>
      <c r="I19" s="7" t="s">
        <v>18</v>
      </c>
      <c r="J19" s="7" t="s">
        <v>18</v>
      </c>
      <c r="K19" s="7" t="s">
        <v>18</v>
      </c>
      <c r="L19" s="7" t="s">
        <v>18</v>
      </c>
      <c r="M19" s="172" t="s">
        <v>18</v>
      </c>
      <c r="N19" s="7" t="s">
        <v>18</v>
      </c>
      <c r="O19" s="7" t="s">
        <v>18</v>
      </c>
      <c r="P19" s="7" t="s">
        <v>18</v>
      </c>
      <c r="Q19" s="7" t="s">
        <v>18</v>
      </c>
      <c r="R19" s="7" t="s">
        <v>18</v>
      </c>
      <c r="S19" s="7" t="s">
        <v>18</v>
      </c>
      <c r="T19" s="7" t="s">
        <v>18</v>
      </c>
      <c r="U19" s="7" t="s">
        <v>18</v>
      </c>
      <c r="V19" s="7" t="s">
        <v>18</v>
      </c>
      <c r="W19" s="7" t="s">
        <v>18</v>
      </c>
      <c r="X19" s="7" t="s">
        <v>18</v>
      </c>
      <c r="Y19" s="7" t="s">
        <v>18</v>
      </c>
    </row>
    <row r="20" spans="1:88" ht="16.2" x14ac:dyDescent="0.4">
      <c r="A20" s="30" t="s">
        <v>12</v>
      </c>
      <c r="B20" s="1310" t="s">
        <v>20</v>
      </c>
      <c r="C20" s="1303"/>
      <c r="D20" s="28" t="s">
        <v>81</v>
      </c>
      <c r="E20" s="28" t="s">
        <v>81</v>
      </c>
      <c r="F20" s="28" t="s">
        <v>81</v>
      </c>
      <c r="G20" s="28" t="s">
        <v>81</v>
      </c>
      <c r="H20" s="20">
        <v>39379</v>
      </c>
      <c r="I20" s="20">
        <v>39744</v>
      </c>
      <c r="J20" s="20">
        <v>40130</v>
      </c>
      <c r="K20" s="20">
        <v>40477</v>
      </c>
      <c r="L20" s="20">
        <v>40840</v>
      </c>
      <c r="M20" s="20">
        <v>41229</v>
      </c>
      <c r="N20" s="20">
        <v>41638</v>
      </c>
      <c r="O20" s="20">
        <v>41984</v>
      </c>
      <c r="P20" s="15">
        <v>42366</v>
      </c>
      <c r="Q20" s="15">
        <v>42731</v>
      </c>
      <c r="R20" s="15">
        <v>43066</v>
      </c>
      <c r="S20" s="377">
        <v>43410</v>
      </c>
      <c r="T20" s="377">
        <v>43769</v>
      </c>
      <c r="U20" s="377">
        <v>44130</v>
      </c>
      <c r="V20" s="496" t="s">
        <v>610</v>
      </c>
      <c r="W20" s="496" t="s">
        <v>619</v>
      </c>
      <c r="X20" s="496" t="s">
        <v>653</v>
      </c>
      <c r="Y20" s="496" t="s">
        <v>652</v>
      </c>
    </row>
    <row r="21" spans="1:88" ht="33" thickBot="1" x14ac:dyDescent="0.45">
      <c r="A21" s="31" t="s">
        <v>226</v>
      </c>
      <c r="B21" s="1311" t="s">
        <v>20</v>
      </c>
      <c r="C21" s="1295"/>
      <c r="D21" s="28" t="s">
        <v>81</v>
      </c>
      <c r="E21" s="28" t="s">
        <v>81</v>
      </c>
      <c r="F21" s="28" t="s">
        <v>81</v>
      </c>
      <c r="G21" s="28" t="s">
        <v>81</v>
      </c>
      <c r="H21" s="15">
        <v>39379</v>
      </c>
      <c r="I21" s="15">
        <v>39744</v>
      </c>
      <c r="J21" s="15">
        <v>40130</v>
      </c>
      <c r="K21" s="15">
        <v>40477</v>
      </c>
      <c r="L21" s="15">
        <v>40840</v>
      </c>
      <c r="M21" s="15">
        <v>41229</v>
      </c>
      <c r="N21" s="15">
        <v>41638</v>
      </c>
      <c r="O21" s="15">
        <v>41984</v>
      </c>
      <c r="P21" s="15">
        <v>42366</v>
      </c>
      <c r="Q21" s="15">
        <v>42731</v>
      </c>
      <c r="R21" s="15">
        <v>43066</v>
      </c>
      <c r="S21" s="377">
        <v>43410</v>
      </c>
      <c r="T21" s="377">
        <v>43769</v>
      </c>
      <c r="U21" s="377">
        <v>44130</v>
      </c>
      <c r="V21" s="496" t="s">
        <v>610</v>
      </c>
      <c r="W21" s="496" t="s">
        <v>620</v>
      </c>
      <c r="X21" s="496" t="s">
        <v>653</v>
      </c>
      <c r="Y21" s="496" t="s">
        <v>652</v>
      </c>
    </row>
    <row r="23" spans="1:88" ht="12" customHeight="1" x14ac:dyDescent="0.25"/>
    <row r="24" spans="1:88" ht="19.8" x14ac:dyDescent="0.5">
      <c r="A24" s="1283" t="s">
        <v>219</v>
      </c>
      <c r="B24" s="1222"/>
      <c r="C24" s="1222"/>
      <c r="D24" s="1222"/>
      <c r="E24" s="1222"/>
      <c r="F24" s="1222"/>
      <c r="G24" s="1222"/>
      <c r="H24" s="1222"/>
      <c r="I24" s="1222"/>
      <c r="J24" s="1222"/>
      <c r="K24" s="1222"/>
    </row>
    <row r="25" spans="1:88" ht="17.399999999999999" thickBot="1" x14ac:dyDescent="0.5">
      <c r="A25" s="6"/>
    </row>
    <row r="26" spans="1:88" ht="16.8" x14ac:dyDescent="0.4">
      <c r="A26" s="1284" t="s">
        <v>10</v>
      </c>
      <c r="B26" s="1286" t="s">
        <v>11</v>
      </c>
      <c r="C26" s="1314" t="s">
        <v>315</v>
      </c>
      <c r="D26" s="1263" t="s">
        <v>224</v>
      </c>
      <c r="E26" s="1265"/>
      <c r="F26" s="1267"/>
      <c r="G26" s="1263" t="s">
        <v>225</v>
      </c>
      <c r="H26" s="1265"/>
      <c r="I26" s="1267"/>
      <c r="J26" s="1263" t="s">
        <v>2</v>
      </c>
      <c r="K26" s="1265"/>
      <c r="L26" s="1267"/>
      <c r="M26" s="1263" t="s">
        <v>15</v>
      </c>
      <c r="N26" s="1265"/>
      <c r="O26" s="1267"/>
      <c r="P26" s="1263" t="s">
        <v>16</v>
      </c>
      <c r="Q26" s="1265"/>
      <c r="R26" s="1267"/>
      <c r="S26" s="1263" t="s">
        <v>17</v>
      </c>
      <c r="T26" s="1265"/>
      <c r="U26" s="1267"/>
      <c r="V26" s="1263" t="s">
        <v>325</v>
      </c>
      <c r="W26" s="1265"/>
      <c r="X26" s="1267"/>
      <c r="Y26" s="1263" t="s">
        <v>151</v>
      </c>
      <c r="Z26" s="1265"/>
      <c r="AA26" s="1267"/>
      <c r="AB26" s="1263" t="s">
        <v>260</v>
      </c>
      <c r="AC26" s="1265"/>
      <c r="AD26" s="1267"/>
      <c r="AE26" s="1263" t="s">
        <v>230</v>
      </c>
      <c r="AF26" s="1265"/>
      <c r="AG26" s="1267"/>
      <c r="AH26" s="1263" t="s">
        <v>361</v>
      </c>
      <c r="AI26" s="1265"/>
      <c r="AJ26" s="1267"/>
      <c r="AK26" s="1263" t="s">
        <v>362</v>
      </c>
      <c r="AL26" s="1265"/>
      <c r="AM26" s="1267"/>
      <c r="AN26" s="1278" t="s">
        <v>363</v>
      </c>
      <c r="AO26" s="1279"/>
      <c r="AP26" s="1279"/>
      <c r="AQ26" s="1280"/>
      <c r="AR26" s="1263" t="s">
        <v>186</v>
      </c>
      <c r="AS26" s="1265"/>
      <c r="AT26" s="1266"/>
      <c r="AU26" s="1267"/>
      <c r="AV26" s="1263" t="s">
        <v>114</v>
      </c>
      <c r="AW26" s="1265"/>
      <c r="AX26" s="1266"/>
      <c r="AY26" s="1267"/>
      <c r="AZ26" s="1263" t="s">
        <v>461</v>
      </c>
      <c r="BA26" s="1265"/>
      <c r="BB26" s="1266"/>
      <c r="BC26" s="1267"/>
      <c r="BD26" s="1263" t="s">
        <v>477</v>
      </c>
      <c r="BE26" s="1265"/>
      <c r="BF26" s="1266"/>
      <c r="BG26" s="1267"/>
      <c r="BH26" s="1278" t="s">
        <v>500</v>
      </c>
      <c r="BI26" s="1281"/>
      <c r="BJ26" s="1281"/>
      <c r="BK26" s="1281"/>
      <c r="BL26" s="1281"/>
      <c r="BM26" s="1281"/>
      <c r="BN26" s="1281"/>
      <c r="BO26" s="1280"/>
      <c r="BP26" s="1278" t="s">
        <v>529</v>
      </c>
      <c r="BQ26" s="1281"/>
      <c r="BR26" s="1281"/>
      <c r="BS26" s="1281"/>
      <c r="BT26" s="1281"/>
      <c r="BU26" s="1281"/>
      <c r="BV26" s="1280"/>
      <c r="BW26" s="1263" t="s">
        <v>609</v>
      </c>
      <c r="BX26" s="1264"/>
      <c r="BY26" s="1264"/>
      <c r="BZ26" s="1265"/>
      <c r="CA26" s="1266"/>
      <c r="CB26" s="1266"/>
      <c r="CC26" s="1267"/>
      <c r="CD26" s="1263" t="s">
        <v>643</v>
      </c>
      <c r="CE26" s="1264"/>
      <c r="CF26" s="1264"/>
      <c r="CG26" s="1265"/>
      <c r="CH26" s="1266"/>
      <c r="CI26" s="1266"/>
      <c r="CJ26" s="1267"/>
    </row>
    <row r="27" spans="1:88" s="12" customFormat="1" ht="64.5" customHeight="1" thickBot="1" x14ac:dyDescent="0.3">
      <c r="A27" s="1285"/>
      <c r="B27" s="1287"/>
      <c r="C27" s="1315"/>
      <c r="D27" s="110" t="s">
        <v>222</v>
      </c>
      <c r="E27" s="11" t="s">
        <v>227</v>
      </c>
      <c r="F27" s="124" t="s">
        <v>223</v>
      </c>
      <c r="G27" s="110" t="s">
        <v>222</v>
      </c>
      <c r="H27" s="11" t="s">
        <v>227</v>
      </c>
      <c r="I27" s="124" t="s">
        <v>223</v>
      </c>
      <c r="J27" s="110" t="s">
        <v>222</v>
      </c>
      <c r="K27" s="11" t="s">
        <v>227</v>
      </c>
      <c r="L27" s="124" t="s">
        <v>223</v>
      </c>
      <c r="M27" s="110" t="s">
        <v>222</v>
      </c>
      <c r="N27" s="11" t="s">
        <v>227</v>
      </c>
      <c r="O27" s="124" t="s">
        <v>223</v>
      </c>
      <c r="P27" s="110" t="s">
        <v>222</v>
      </c>
      <c r="Q27" s="11" t="s">
        <v>227</v>
      </c>
      <c r="R27" s="124" t="s">
        <v>223</v>
      </c>
      <c r="S27" s="110" t="s">
        <v>222</v>
      </c>
      <c r="T27" s="11" t="s">
        <v>227</v>
      </c>
      <c r="U27" s="124" t="s">
        <v>223</v>
      </c>
      <c r="V27" s="110" t="s">
        <v>222</v>
      </c>
      <c r="W27" s="11" t="s">
        <v>227</v>
      </c>
      <c r="X27" s="124" t="s">
        <v>223</v>
      </c>
      <c r="Y27" s="110" t="s">
        <v>222</v>
      </c>
      <c r="Z27" s="11" t="s">
        <v>227</v>
      </c>
      <c r="AA27" s="124" t="s">
        <v>223</v>
      </c>
      <c r="AB27" s="110" t="s">
        <v>222</v>
      </c>
      <c r="AC27" s="11" t="s">
        <v>227</v>
      </c>
      <c r="AD27" s="124" t="s">
        <v>223</v>
      </c>
      <c r="AE27" s="110" t="s">
        <v>222</v>
      </c>
      <c r="AF27" s="11" t="s">
        <v>227</v>
      </c>
      <c r="AG27" s="124" t="s">
        <v>223</v>
      </c>
      <c r="AH27" s="110" t="s">
        <v>222</v>
      </c>
      <c r="AI27" s="11" t="s">
        <v>227</v>
      </c>
      <c r="AJ27" s="124" t="s">
        <v>223</v>
      </c>
      <c r="AK27" s="110" t="s">
        <v>222</v>
      </c>
      <c r="AL27" s="11" t="s">
        <v>227</v>
      </c>
      <c r="AM27" s="124" t="s">
        <v>223</v>
      </c>
      <c r="AN27" s="110" t="s">
        <v>222</v>
      </c>
      <c r="AO27" s="11" t="s">
        <v>227</v>
      </c>
      <c r="AP27" s="266" t="s">
        <v>223</v>
      </c>
      <c r="AQ27" s="124" t="s">
        <v>146</v>
      </c>
      <c r="AR27" s="110" t="s">
        <v>222</v>
      </c>
      <c r="AS27" s="11" t="s">
        <v>227</v>
      </c>
      <c r="AT27" s="266" t="s">
        <v>223</v>
      </c>
      <c r="AU27" s="124" t="s">
        <v>146</v>
      </c>
      <c r="AV27" s="110" t="s">
        <v>222</v>
      </c>
      <c r="AW27" s="11" t="s">
        <v>227</v>
      </c>
      <c r="AX27" s="266" t="s">
        <v>223</v>
      </c>
      <c r="AY27" s="124" t="s">
        <v>146</v>
      </c>
      <c r="AZ27" s="110" t="s">
        <v>222</v>
      </c>
      <c r="BA27" s="11" t="s">
        <v>227</v>
      </c>
      <c r="BB27" s="266" t="s">
        <v>223</v>
      </c>
      <c r="BC27" s="124" t="s">
        <v>146</v>
      </c>
      <c r="BD27" s="110" t="s">
        <v>222</v>
      </c>
      <c r="BE27" s="11" t="s">
        <v>227</v>
      </c>
      <c r="BF27" s="266" t="s">
        <v>223</v>
      </c>
      <c r="BG27" s="124" t="s">
        <v>146</v>
      </c>
      <c r="BH27" s="1268" t="s">
        <v>222</v>
      </c>
      <c r="BI27" s="1261"/>
      <c r="BJ27" s="1269" t="s">
        <v>227</v>
      </c>
      <c r="BK27" s="1261"/>
      <c r="BL27" s="1270" t="s">
        <v>223</v>
      </c>
      <c r="BM27" s="1261"/>
      <c r="BN27" s="1270" t="s">
        <v>146</v>
      </c>
      <c r="BO27" s="1277"/>
      <c r="BP27" s="1268" t="s">
        <v>222</v>
      </c>
      <c r="BQ27" s="1261"/>
      <c r="BR27" s="1269" t="s">
        <v>227</v>
      </c>
      <c r="BS27" s="1261"/>
      <c r="BT27" s="1270" t="s">
        <v>223</v>
      </c>
      <c r="BU27" s="1261"/>
      <c r="BV27" s="124" t="s">
        <v>146</v>
      </c>
      <c r="BW27" s="1268" t="s">
        <v>222</v>
      </c>
      <c r="BX27" s="1259"/>
      <c r="BY27" s="1269" t="s">
        <v>227</v>
      </c>
      <c r="BZ27" s="1261"/>
      <c r="CA27" s="1270" t="s">
        <v>223</v>
      </c>
      <c r="CB27" s="1259"/>
      <c r="CC27" s="124" t="s">
        <v>146</v>
      </c>
      <c r="CD27" s="1268" t="s">
        <v>222</v>
      </c>
      <c r="CE27" s="1259"/>
      <c r="CF27" s="1269" t="s">
        <v>227</v>
      </c>
      <c r="CG27" s="1261"/>
      <c r="CH27" s="1270" t="s">
        <v>223</v>
      </c>
      <c r="CI27" s="1259"/>
      <c r="CJ27" s="124" t="s">
        <v>146</v>
      </c>
    </row>
    <row r="28" spans="1:88" s="12" customFormat="1" ht="24.9" customHeight="1" x14ac:dyDescent="0.25">
      <c r="A28" s="1312">
        <v>1</v>
      </c>
      <c r="B28" s="114" t="s">
        <v>142</v>
      </c>
      <c r="C28" s="249" t="s">
        <v>228</v>
      </c>
      <c r="D28" s="115">
        <v>5.8</v>
      </c>
      <c r="E28" s="116">
        <v>10</v>
      </c>
      <c r="F28" s="114">
        <v>93.6</v>
      </c>
      <c r="G28" s="115">
        <v>7.4</v>
      </c>
      <c r="H28" s="116">
        <v>15</v>
      </c>
      <c r="I28" s="114">
        <v>92.3</v>
      </c>
      <c r="J28" s="117">
        <v>6.1</v>
      </c>
      <c r="K28" s="118">
        <v>1</v>
      </c>
      <c r="L28" s="119">
        <v>93.7</v>
      </c>
      <c r="M28" s="115">
        <v>4.3</v>
      </c>
      <c r="N28" s="116">
        <v>0</v>
      </c>
      <c r="O28" s="114">
        <v>91.9</v>
      </c>
      <c r="P28" s="115">
        <v>5</v>
      </c>
      <c r="Q28" s="116">
        <v>7</v>
      </c>
      <c r="R28" s="114">
        <v>92.2</v>
      </c>
      <c r="S28" s="115">
        <v>5.6</v>
      </c>
      <c r="T28" s="116">
        <v>0</v>
      </c>
      <c r="U28" s="114">
        <v>92.3</v>
      </c>
      <c r="V28" s="115">
        <v>5.2</v>
      </c>
      <c r="W28" s="116">
        <v>0</v>
      </c>
      <c r="X28" s="114">
        <v>92.3</v>
      </c>
      <c r="Y28" s="115">
        <v>4.3</v>
      </c>
      <c r="Z28" s="116">
        <v>1</v>
      </c>
      <c r="AA28" s="114">
        <v>92.5</v>
      </c>
      <c r="AB28" s="115">
        <v>4</v>
      </c>
      <c r="AC28" s="116">
        <v>9</v>
      </c>
      <c r="AD28" s="114">
        <v>92.6</v>
      </c>
      <c r="AE28" s="115">
        <v>3.8</v>
      </c>
      <c r="AF28" s="116">
        <v>7</v>
      </c>
      <c r="AG28" s="114">
        <v>91.9</v>
      </c>
      <c r="AH28" s="115">
        <v>4.3</v>
      </c>
      <c r="AI28" s="116">
        <v>23</v>
      </c>
      <c r="AJ28" s="114">
        <v>92.9</v>
      </c>
      <c r="AK28" s="115">
        <v>3.5</v>
      </c>
      <c r="AL28" s="116">
        <v>17</v>
      </c>
      <c r="AM28" s="257" t="s">
        <v>159</v>
      </c>
      <c r="AN28" s="115">
        <v>4.2</v>
      </c>
      <c r="AO28" s="116">
        <v>23</v>
      </c>
      <c r="AP28" s="269">
        <v>91.3</v>
      </c>
      <c r="AQ28" s="114" t="s">
        <v>228</v>
      </c>
      <c r="AR28" s="115">
        <v>5.2</v>
      </c>
      <c r="AS28" s="116">
        <v>7</v>
      </c>
      <c r="AT28" s="269">
        <v>93</v>
      </c>
      <c r="AU28" s="114" t="s">
        <v>228</v>
      </c>
      <c r="AV28" s="115">
        <v>5</v>
      </c>
      <c r="AW28" s="116">
        <v>15</v>
      </c>
      <c r="AX28" s="269">
        <v>93.7</v>
      </c>
      <c r="AY28" s="114" t="s">
        <v>228</v>
      </c>
      <c r="AZ28" s="115">
        <v>5.7</v>
      </c>
      <c r="BA28" s="116">
        <v>6</v>
      </c>
      <c r="BB28" s="269">
        <v>92.6</v>
      </c>
      <c r="BC28" s="114" t="s">
        <v>228</v>
      </c>
      <c r="BD28" s="115">
        <v>5.6</v>
      </c>
      <c r="BE28" s="116">
        <v>2</v>
      </c>
      <c r="BF28" s="269">
        <v>92.3</v>
      </c>
      <c r="BG28" s="114" t="s">
        <v>228</v>
      </c>
      <c r="BH28" s="1271">
        <v>6.1</v>
      </c>
      <c r="BI28" s="1274"/>
      <c r="BJ28" s="1273">
        <v>0</v>
      </c>
      <c r="BK28" s="1274"/>
      <c r="BL28" s="1273">
        <v>93.2</v>
      </c>
      <c r="BM28" s="1274"/>
      <c r="BN28" s="1273" t="s">
        <v>228</v>
      </c>
      <c r="BO28" s="1282"/>
      <c r="BP28" s="1271">
        <v>10.1</v>
      </c>
      <c r="BQ28" s="1274"/>
      <c r="BR28" s="1273">
        <v>32</v>
      </c>
      <c r="BS28" s="1274"/>
      <c r="BT28" s="1273">
        <v>90</v>
      </c>
      <c r="BU28" s="1274"/>
      <c r="BV28" s="424" t="s">
        <v>228</v>
      </c>
      <c r="BW28" s="1271">
        <v>4.5999999999999996</v>
      </c>
      <c r="BX28" s="1272"/>
      <c r="BY28" s="1273">
        <v>70</v>
      </c>
      <c r="BZ28" s="1274"/>
      <c r="CA28" s="1273">
        <v>100</v>
      </c>
      <c r="CB28" s="1272"/>
      <c r="CC28" s="424" t="s">
        <v>228</v>
      </c>
      <c r="CD28" s="1271"/>
      <c r="CE28" s="1272"/>
      <c r="CF28" s="1273"/>
      <c r="CG28" s="1274"/>
      <c r="CH28" s="1273"/>
      <c r="CI28" s="1272"/>
      <c r="CJ28" s="424"/>
    </row>
    <row r="29" spans="1:88" s="12" customFormat="1" ht="24.9" customHeight="1" thickBot="1" x14ac:dyDescent="0.3">
      <c r="A29" s="1313"/>
      <c r="B29" s="32" t="s">
        <v>143</v>
      </c>
      <c r="C29" s="240" t="s">
        <v>278</v>
      </c>
      <c r="D29" s="92" t="s">
        <v>278</v>
      </c>
      <c r="E29" s="120" t="s">
        <v>278</v>
      </c>
      <c r="F29" s="32" t="s">
        <v>278</v>
      </c>
      <c r="G29" s="92">
        <v>11.3</v>
      </c>
      <c r="H29" s="120">
        <v>0</v>
      </c>
      <c r="I29" s="32">
        <v>88.3</v>
      </c>
      <c r="J29" s="121">
        <v>9.1999999999999993</v>
      </c>
      <c r="K29" s="122">
        <v>0</v>
      </c>
      <c r="L29" s="123">
        <v>89</v>
      </c>
      <c r="M29" s="92">
        <v>10.8</v>
      </c>
      <c r="N29" s="120">
        <v>0</v>
      </c>
      <c r="O29" s="32">
        <v>83.5</v>
      </c>
      <c r="P29" s="92">
        <v>10.5</v>
      </c>
      <c r="Q29" s="120">
        <v>1</v>
      </c>
      <c r="R29" s="32">
        <v>85.6</v>
      </c>
      <c r="S29" s="92">
        <v>11.1</v>
      </c>
      <c r="T29" s="120">
        <v>0</v>
      </c>
      <c r="U29" s="32">
        <v>84.2</v>
      </c>
      <c r="V29" s="92">
        <v>10.8</v>
      </c>
      <c r="W29" s="120">
        <v>3</v>
      </c>
      <c r="X29" s="32">
        <v>84.4</v>
      </c>
      <c r="Y29" s="92">
        <v>10.6</v>
      </c>
      <c r="Z29" s="120">
        <v>2</v>
      </c>
      <c r="AA29" s="32">
        <v>84.7</v>
      </c>
      <c r="AB29" s="92">
        <v>10.7</v>
      </c>
      <c r="AC29" s="120">
        <v>10</v>
      </c>
      <c r="AD29" s="32">
        <v>83</v>
      </c>
      <c r="AE29" s="92">
        <v>10.8</v>
      </c>
      <c r="AF29" s="120">
        <v>0</v>
      </c>
      <c r="AG29" s="32">
        <v>82.7</v>
      </c>
      <c r="AH29" s="92">
        <v>5.3</v>
      </c>
      <c r="AI29" s="120">
        <v>24</v>
      </c>
      <c r="AJ29" s="32">
        <v>90.9</v>
      </c>
      <c r="AK29" s="92" t="s">
        <v>278</v>
      </c>
      <c r="AL29" s="120" t="s">
        <v>278</v>
      </c>
      <c r="AM29" s="32" t="s">
        <v>278</v>
      </c>
      <c r="AN29" s="92" t="s">
        <v>278</v>
      </c>
      <c r="AO29" s="120" t="s">
        <v>278</v>
      </c>
      <c r="AP29" s="270" t="s">
        <v>278</v>
      </c>
      <c r="AQ29" s="32" t="s">
        <v>278</v>
      </c>
      <c r="AR29" s="92" t="s">
        <v>278</v>
      </c>
      <c r="AS29" s="120" t="s">
        <v>278</v>
      </c>
      <c r="AT29" s="120" t="s">
        <v>278</v>
      </c>
      <c r="AU29" s="32" t="s">
        <v>278</v>
      </c>
      <c r="AV29" s="92" t="s">
        <v>278</v>
      </c>
      <c r="AW29" s="120" t="s">
        <v>278</v>
      </c>
      <c r="AX29" s="120" t="s">
        <v>278</v>
      </c>
      <c r="AY29" s="32" t="s">
        <v>278</v>
      </c>
      <c r="AZ29" s="92" t="s">
        <v>278</v>
      </c>
      <c r="BA29" s="120" t="s">
        <v>278</v>
      </c>
      <c r="BB29" s="120" t="s">
        <v>278</v>
      </c>
      <c r="BC29" s="32" t="s">
        <v>278</v>
      </c>
      <c r="BD29" s="92" t="s">
        <v>278</v>
      </c>
      <c r="BE29" s="120" t="s">
        <v>278</v>
      </c>
      <c r="BF29" s="120" t="s">
        <v>278</v>
      </c>
      <c r="BG29" s="32" t="s">
        <v>278</v>
      </c>
      <c r="BH29" s="1268" t="s">
        <v>278</v>
      </c>
      <c r="BI29" s="1261"/>
      <c r="BJ29" s="1269" t="s">
        <v>278</v>
      </c>
      <c r="BK29" s="1261"/>
      <c r="BL29" s="1269" t="s">
        <v>278</v>
      </c>
      <c r="BM29" s="1261"/>
      <c r="BN29" s="1269" t="s">
        <v>278</v>
      </c>
      <c r="BO29" s="1276"/>
      <c r="BP29" s="1268" t="s">
        <v>278</v>
      </c>
      <c r="BQ29" s="1261"/>
      <c r="BR29" s="1269" t="s">
        <v>278</v>
      </c>
      <c r="BS29" s="1261"/>
      <c r="BT29" s="1269" t="s">
        <v>278</v>
      </c>
      <c r="BU29" s="1261"/>
      <c r="BV29" s="32" t="s">
        <v>278</v>
      </c>
      <c r="BW29" s="1258" t="s">
        <v>278</v>
      </c>
      <c r="BX29" s="1259"/>
      <c r="BY29" s="1260" t="s">
        <v>278</v>
      </c>
      <c r="BZ29" s="1261"/>
      <c r="CA29" s="1260" t="s">
        <v>278</v>
      </c>
      <c r="CB29" s="1259"/>
      <c r="CC29" s="493" t="s">
        <v>278</v>
      </c>
      <c r="CD29" s="1258" t="s">
        <v>278</v>
      </c>
      <c r="CE29" s="1259"/>
      <c r="CF29" s="1260" t="s">
        <v>278</v>
      </c>
      <c r="CG29" s="1261"/>
      <c r="CH29" s="1260" t="s">
        <v>278</v>
      </c>
      <c r="CI29" s="1259"/>
      <c r="CJ29" s="493" t="s">
        <v>278</v>
      </c>
    </row>
    <row r="30" spans="1:88" s="12" customFormat="1" ht="24.9" customHeight="1" thickBot="1" x14ac:dyDescent="0.3">
      <c r="A30" s="515">
        <v>2</v>
      </c>
      <c r="B30" s="513" t="s">
        <v>137</v>
      </c>
      <c r="C30" s="514" t="s">
        <v>228</v>
      </c>
      <c r="D30" s="125">
        <v>12.8</v>
      </c>
      <c r="E30" s="127">
        <v>33</v>
      </c>
      <c r="F30" s="126">
        <v>93.8</v>
      </c>
      <c r="G30" s="125">
        <v>15.5</v>
      </c>
      <c r="H30" s="127">
        <v>15</v>
      </c>
      <c r="I30" s="126">
        <v>93.1</v>
      </c>
      <c r="J30" s="128">
        <v>14.1</v>
      </c>
      <c r="K30" s="129">
        <v>10</v>
      </c>
      <c r="L30" s="130">
        <v>93.6</v>
      </c>
      <c r="M30" s="125">
        <v>15.6</v>
      </c>
      <c r="N30" s="127">
        <v>3</v>
      </c>
      <c r="O30" s="126">
        <v>91.8</v>
      </c>
      <c r="P30" s="125">
        <v>14.5</v>
      </c>
      <c r="Q30" s="127">
        <v>8</v>
      </c>
      <c r="R30" s="126">
        <v>92.9</v>
      </c>
      <c r="S30" s="125">
        <v>15.4</v>
      </c>
      <c r="T30" s="127">
        <v>3</v>
      </c>
      <c r="U30" s="126">
        <v>92</v>
      </c>
      <c r="V30" s="125">
        <v>14.9</v>
      </c>
      <c r="W30" s="127">
        <v>1</v>
      </c>
      <c r="X30" s="126">
        <v>93</v>
      </c>
      <c r="Y30" s="125">
        <v>14.8</v>
      </c>
      <c r="Z30" s="127">
        <v>1</v>
      </c>
      <c r="AA30" s="126">
        <v>92.1</v>
      </c>
      <c r="AB30" s="125">
        <v>14.3</v>
      </c>
      <c r="AC30" s="127">
        <v>19</v>
      </c>
      <c r="AD30" s="126">
        <v>93.1</v>
      </c>
      <c r="AE30" s="125">
        <v>14.8</v>
      </c>
      <c r="AF30" s="127">
        <v>5</v>
      </c>
      <c r="AG30" s="126">
        <v>91.1</v>
      </c>
      <c r="AH30" s="125">
        <v>15.7</v>
      </c>
      <c r="AI30" s="127">
        <v>1</v>
      </c>
      <c r="AJ30" s="126">
        <v>92.2</v>
      </c>
      <c r="AK30" s="125">
        <v>15.2</v>
      </c>
      <c r="AL30" s="127">
        <v>47</v>
      </c>
      <c r="AM30" s="255" t="s">
        <v>157</v>
      </c>
      <c r="AN30" s="125">
        <v>14.8</v>
      </c>
      <c r="AO30" s="127">
        <v>78</v>
      </c>
      <c r="AP30" s="271">
        <v>92.4</v>
      </c>
      <c r="AQ30" s="126" t="s">
        <v>228</v>
      </c>
      <c r="AR30" s="125">
        <v>13.6</v>
      </c>
      <c r="AS30" s="127">
        <v>49</v>
      </c>
      <c r="AT30" s="271">
        <v>95.1</v>
      </c>
      <c r="AU30" s="126" t="s">
        <v>228</v>
      </c>
      <c r="AV30" s="125">
        <v>14.2</v>
      </c>
      <c r="AW30" s="127">
        <v>41</v>
      </c>
      <c r="AX30" s="271">
        <v>95.6</v>
      </c>
      <c r="AY30" s="126" t="s">
        <v>228</v>
      </c>
      <c r="AZ30" s="125">
        <v>14.3</v>
      </c>
      <c r="BA30" s="127">
        <v>23</v>
      </c>
      <c r="BB30" s="271">
        <v>94.8</v>
      </c>
      <c r="BC30" s="126" t="s">
        <v>228</v>
      </c>
      <c r="BD30" s="125">
        <v>14.7</v>
      </c>
      <c r="BE30" s="127">
        <v>206</v>
      </c>
      <c r="BF30" s="271">
        <v>94.1</v>
      </c>
      <c r="BG30" s="126" t="s">
        <v>228</v>
      </c>
      <c r="BH30" s="1255">
        <v>15.8</v>
      </c>
      <c r="BI30" s="1256"/>
      <c r="BJ30" s="1257">
        <v>192</v>
      </c>
      <c r="BK30" s="1256"/>
      <c r="BL30" s="1257">
        <v>95.3</v>
      </c>
      <c r="BM30" s="1256"/>
      <c r="BN30" s="1257" t="s">
        <v>228</v>
      </c>
      <c r="BO30" s="1275"/>
      <c r="BP30" s="1255" t="s">
        <v>278</v>
      </c>
      <c r="BQ30" s="1256"/>
      <c r="BR30" s="1257" t="s">
        <v>278</v>
      </c>
      <c r="BS30" s="1256"/>
      <c r="BT30" s="1257" t="s">
        <v>278</v>
      </c>
      <c r="BU30" s="1256"/>
      <c r="BV30" s="426" t="s">
        <v>278</v>
      </c>
      <c r="BW30" s="1255" t="s">
        <v>278</v>
      </c>
      <c r="BX30" s="1262"/>
      <c r="BY30" s="1257" t="s">
        <v>278</v>
      </c>
      <c r="BZ30" s="1256"/>
      <c r="CA30" s="1257" t="s">
        <v>278</v>
      </c>
      <c r="CB30" s="1262"/>
      <c r="CC30" s="426" t="s">
        <v>278</v>
      </c>
      <c r="CD30" s="1255"/>
      <c r="CE30" s="1262"/>
      <c r="CF30" s="1257"/>
      <c r="CG30" s="1256"/>
      <c r="CH30" s="1257"/>
      <c r="CI30" s="1262"/>
      <c r="CJ30" s="426"/>
    </row>
    <row r="31" spans="1:88" s="12" customFormat="1" ht="24.9" customHeight="1" thickBot="1" x14ac:dyDescent="0.3">
      <c r="A31" s="509">
        <v>2</v>
      </c>
      <c r="B31" s="512" t="s">
        <v>617</v>
      </c>
      <c r="C31" s="510" t="s">
        <v>228</v>
      </c>
      <c r="D31" s="509" t="s">
        <v>278</v>
      </c>
      <c r="E31" s="511" t="s">
        <v>278</v>
      </c>
      <c r="F31" s="272" t="s">
        <v>278</v>
      </c>
      <c r="G31" s="509" t="s">
        <v>278</v>
      </c>
      <c r="H31" s="511" t="s">
        <v>278</v>
      </c>
      <c r="I31" s="272" t="s">
        <v>278</v>
      </c>
      <c r="J31" s="509" t="s">
        <v>278</v>
      </c>
      <c r="K31" s="511" t="s">
        <v>278</v>
      </c>
      <c r="L31" s="272" t="s">
        <v>278</v>
      </c>
      <c r="M31" s="509" t="s">
        <v>278</v>
      </c>
      <c r="N31" s="511" t="s">
        <v>278</v>
      </c>
      <c r="O31" s="272" t="s">
        <v>278</v>
      </c>
      <c r="P31" s="509" t="s">
        <v>278</v>
      </c>
      <c r="Q31" s="511" t="s">
        <v>278</v>
      </c>
      <c r="R31" s="272" t="s">
        <v>278</v>
      </c>
      <c r="S31" s="509" t="s">
        <v>278</v>
      </c>
      <c r="T31" s="511" t="s">
        <v>278</v>
      </c>
      <c r="U31" s="272" t="s">
        <v>278</v>
      </c>
      <c r="V31" s="509" t="s">
        <v>278</v>
      </c>
      <c r="W31" s="511" t="s">
        <v>278</v>
      </c>
      <c r="X31" s="272" t="s">
        <v>278</v>
      </c>
      <c r="Y31" s="509" t="s">
        <v>278</v>
      </c>
      <c r="Z31" s="511" t="s">
        <v>278</v>
      </c>
      <c r="AA31" s="272" t="s">
        <v>278</v>
      </c>
      <c r="AB31" s="509" t="s">
        <v>278</v>
      </c>
      <c r="AC31" s="511" t="s">
        <v>278</v>
      </c>
      <c r="AD31" s="272" t="s">
        <v>278</v>
      </c>
      <c r="AE31" s="509" t="s">
        <v>278</v>
      </c>
      <c r="AF31" s="511" t="s">
        <v>278</v>
      </c>
      <c r="AG31" s="272" t="s">
        <v>278</v>
      </c>
      <c r="AH31" s="509" t="s">
        <v>278</v>
      </c>
      <c r="AI31" s="511" t="s">
        <v>278</v>
      </c>
      <c r="AJ31" s="272" t="s">
        <v>278</v>
      </c>
      <c r="AK31" s="509" t="s">
        <v>278</v>
      </c>
      <c r="AL31" s="511" t="s">
        <v>278</v>
      </c>
      <c r="AM31" s="272" t="s">
        <v>278</v>
      </c>
      <c r="AN31" s="125" t="s">
        <v>278</v>
      </c>
      <c r="AO31" s="127" t="s">
        <v>278</v>
      </c>
      <c r="AP31" s="271" t="s">
        <v>278</v>
      </c>
      <c r="AQ31" s="272" t="s">
        <v>278</v>
      </c>
      <c r="AR31" s="125" t="s">
        <v>278</v>
      </c>
      <c r="AS31" s="127" t="s">
        <v>278</v>
      </c>
      <c r="AT31" s="271" t="s">
        <v>278</v>
      </c>
      <c r="AU31" s="272" t="s">
        <v>278</v>
      </c>
      <c r="AV31" s="125" t="s">
        <v>278</v>
      </c>
      <c r="AW31" s="127" t="s">
        <v>278</v>
      </c>
      <c r="AX31" s="271" t="s">
        <v>278</v>
      </c>
      <c r="AY31" s="272" t="s">
        <v>278</v>
      </c>
      <c r="AZ31" s="125" t="s">
        <v>278</v>
      </c>
      <c r="BA31" s="127" t="s">
        <v>278</v>
      </c>
      <c r="BB31" s="271" t="s">
        <v>278</v>
      </c>
      <c r="BC31" s="272" t="s">
        <v>278</v>
      </c>
      <c r="BD31" s="125" t="s">
        <v>278</v>
      </c>
      <c r="BE31" s="127" t="s">
        <v>278</v>
      </c>
      <c r="BF31" s="271" t="s">
        <v>278</v>
      </c>
      <c r="BG31" s="272" t="s">
        <v>278</v>
      </c>
      <c r="BH31" s="1255" t="s">
        <v>278</v>
      </c>
      <c r="BI31" s="1256"/>
      <c r="BJ31" s="1257" t="s">
        <v>278</v>
      </c>
      <c r="BK31" s="1256"/>
      <c r="BL31" s="1257" t="s">
        <v>278</v>
      </c>
      <c r="BM31" s="1256"/>
      <c r="BN31" s="1257" t="s">
        <v>278</v>
      </c>
      <c r="BO31" s="1275"/>
      <c r="BP31" s="1255">
        <v>4.0999999999999996</v>
      </c>
      <c r="BQ31" s="1256"/>
      <c r="BR31" s="1257">
        <v>108</v>
      </c>
      <c r="BS31" s="1256"/>
      <c r="BT31" s="1257">
        <v>100</v>
      </c>
      <c r="BU31" s="1256"/>
      <c r="BV31" s="426" t="s">
        <v>228</v>
      </c>
      <c r="BW31" s="1255">
        <v>4.4000000000000004</v>
      </c>
      <c r="BX31" s="1256"/>
      <c r="BY31" s="1257">
        <v>84</v>
      </c>
      <c r="BZ31" s="1256"/>
      <c r="CA31" s="1257">
        <v>100</v>
      </c>
      <c r="CB31" s="1256"/>
      <c r="CC31" s="426" t="s">
        <v>228</v>
      </c>
      <c r="CD31" s="1255"/>
      <c r="CE31" s="1256"/>
      <c r="CF31" s="1257"/>
      <c r="CG31" s="1256"/>
      <c r="CH31" s="1257"/>
      <c r="CI31" s="1256"/>
      <c r="CJ31" s="426"/>
    </row>
    <row r="32" spans="1:88" ht="24.75" customHeight="1" thickBot="1" x14ac:dyDescent="0.3">
      <c r="A32" s="111">
        <v>3</v>
      </c>
      <c r="B32" s="112" t="s">
        <v>138</v>
      </c>
      <c r="C32" s="241" t="s">
        <v>278</v>
      </c>
      <c r="D32" s="111">
        <v>0</v>
      </c>
      <c r="E32" s="113" t="s">
        <v>278</v>
      </c>
      <c r="F32" s="112" t="s">
        <v>278</v>
      </c>
      <c r="G32" s="111" t="s">
        <v>278</v>
      </c>
      <c r="H32" s="113" t="s">
        <v>278</v>
      </c>
      <c r="I32" s="112" t="s">
        <v>278</v>
      </c>
      <c r="J32" s="111" t="s">
        <v>278</v>
      </c>
      <c r="K32" s="113" t="s">
        <v>278</v>
      </c>
      <c r="L32" s="112" t="s">
        <v>278</v>
      </c>
      <c r="M32" s="111">
        <v>6.1</v>
      </c>
      <c r="N32" s="113">
        <v>0</v>
      </c>
      <c r="O32" s="112">
        <v>93.2</v>
      </c>
      <c r="P32" s="111">
        <v>10.4</v>
      </c>
      <c r="Q32" s="113">
        <v>11</v>
      </c>
      <c r="R32" s="112">
        <v>92.4</v>
      </c>
      <c r="S32" s="111">
        <v>15.6</v>
      </c>
      <c r="T32" s="113">
        <v>4</v>
      </c>
      <c r="U32" s="112">
        <v>92</v>
      </c>
      <c r="V32" s="111">
        <v>11</v>
      </c>
      <c r="W32" s="113">
        <v>0</v>
      </c>
      <c r="X32" s="112">
        <v>93.4</v>
      </c>
      <c r="Y32" s="111">
        <v>5.2</v>
      </c>
      <c r="Z32" s="113">
        <v>2</v>
      </c>
      <c r="AA32" s="112">
        <v>93.3</v>
      </c>
      <c r="AB32" s="111">
        <v>8.3000000000000007</v>
      </c>
      <c r="AC32" s="113">
        <v>0</v>
      </c>
      <c r="AD32" s="112">
        <v>94.4</v>
      </c>
      <c r="AE32" s="111">
        <v>2.9</v>
      </c>
      <c r="AF32" s="113">
        <v>0</v>
      </c>
      <c r="AG32" s="112">
        <v>94.8</v>
      </c>
      <c r="AH32" s="111">
        <v>5.3</v>
      </c>
      <c r="AI32" s="113">
        <v>52</v>
      </c>
      <c r="AJ32" s="112">
        <v>93.5</v>
      </c>
      <c r="AK32" s="111">
        <v>6</v>
      </c>
      <c r="AL32" s="113">
        <v>24</v>
      </c>
      <c r="AM32" s="256" t="s">
        <v>158</v>
      </c>
      <c r="AN32" s="125">
        <v>5.4</v>
      </c>
      <c r="AO32" s="127">
        <v>22</v>
      </c>
      <c r="AP32" s="271">
        <v>93.9</v>
      </c>
      <c r="AQ32" s="272" t="s">
        <v>278</v>
      </c>
      <c r="AR32" s="111">
        <v>5</v>
      </c>
      <c r="AS32" s="113">
        <v>0</v>
      </c>
      <c r="AT32" s="273">
        <v>94.9</v>
      </c>
      <c r="AU32" s="275" t="s">
        <v>278</v>
      </c>
      <c r="AV32" s="111">
        <v>5.2</v>
      </c>
      <c r="AW32" s="113">
        <v>6</v>
      </c>
      <c r="AX32" s="273">
        <v>98.4</v>
      </c>
      <c r="AY32" s="126" t="s">
        <v>228</v>
      </c>
      <c r="AZ32" s="271">
        <v>6.6</v>
      </c>
      <c r="BA32" s="271">
        <v>20</v>
      </c>
      <c r="BB32" s="127">
        <v>94.6</v>
      </c>
      <c r="BC32" s="423" t="s">
        <v>228</v>
      </c>
      <c r="BD32" s="271">
        <v>6.7</v>
      </c>
      <c r="BE32" s="271">
        <v>0</v>
      </c>
      <c r="BF32" s="127">
        <v>96</v>
      </c>
      <c r="BG32" s="423" t="s">
        <v>228</v>
      </c>
      <c r="BH32" s="495">
        <v>4.2</v>
      </c>
      <c r="BI32" s="376">
        <v>5.9</v>
      </c>
      <c r="BJ32" s="376">
        <v>0</v>
      </c>
      <c r="BK32" s="376">
        <v>0</v>
      </c>
      <c r="BL32" s="376">
        <v>96.4</v>
      </c>
      <c r="BM32" s="425">
        <v>97.2</v>
      </c>
      <c r="BN32" s="1257" t="s">
        <v>228</v>
      </c>
      <c r="BO32" s="1275"/>
      <c r="BP32" s="516">
        <v>3.5</v>
      </c>
      <c r="BQ32" s="376">
        <v>3.7</v>
      </c>
      <c r="BR32" s="425">
        <v>25</v>
      </c>
      <c r="BS32" s="376">
        <v>40</v>
      </c>
      <c r="BT32" s="376">
        <v>97.2</v>
      </c>
      <c r="BU32" s="425">
        <v>98.6</v>
      </c>
      <c r="BV32" s="427" t="s">
        <v>228</v>
      </c>
      <c r="BW32" s="376">
        <v>5.9</v>
      </c>
      <c r="BX32" s="376">
        <v>5.8</v>
      </c>
      <c r="BY32" s="425">
        <v>33</v>
      </c>
      <c r="BZ32" s="376">
        <v>38</v>
      </c>
      <c r="CA32" s="376">
        <v>96.8</v>
      </c>
      <c r="CB32" s="376">
        <v>97</v>
      </c>
      <c r="CC32" s="426" t="s">
        <v>228</v>
      </c>
      <c r="CD32" s="376">
        <v>5.5</v>
      </c>
      <c r="CE32" s="376"/>
      <c r="CF32" s="425">
        <v>32</v>
      </c>
      <c r="CG32" s="376"/>
      <c r="CH32" s="376">
        <v>97.8</v>
      </c>
      <c r="CI32" s="376"/>
      <c r="CJ32" s="426" t="s">
        <v>228</v>
      </c>
    </row>
  </sheetData>
  <mergeCells count="109">
    <mergeCell ref="A28:A29"/>
    <mergeCell ref="C26:C27"/>
    <mergeCell ref="B20:C20"/>
    <mergeCell ref="A24:K24"/>
    <mergeCell ref="B21:C21"/>
    <mergeCell ref="J26:L26"/>
    <mergeCell ref="BD26:BG26"/>
    <mergeCell ref="AB26:AD26"/>
    <mergeCell ref="AE26:AG26"/>
    <mergeCell ref="V26:X26"/>
    <mergeCell ref="S26:U26"/>
    <mergeCell ref="M26:O26"/>
    <mergeCell ref="P26:R26"/>
    <mergeCell ref="A1:J1"/>
    <mergeCell ref="D26:F26"/>
    <mergeCell ref="A26:A27"/>
    <mergeCell ref="B26:B27"/>
    <mergeCell ref="G26:I26"/>
    <mergeCell ref="A8:C8"/>
    <mergeCell ref="A18:C18"/>
    <mergeCell ref="B6:C6"/>
    <mergeCell ref="A3:C3"/>
    <mergeCell ref="B19:C19"/>
    <mergeCell ref="B4:C4"/>
    <mergeCell ref="B5:C5"/>
    <mergeCell ref="B11:C11"/>
    <mergeCell ref="A13:C13"/>
    <mergeCell ref="B9:C9"/>
    <mergeCell ref="B10:C10"/>
    <mergeCell ref="B14:C14"/>
    <mergeCell ref="B15:C15"/>
    <mergeCell ref="B16:C16"/>
    <mergeCell ref="BN30:BO30"/>
    <mergeCell ref="BN32:BO32"/>
    <mergeCell ref="BW26:CC26"/>
    <mergeCell ref="BH27:BI27"/>
    <mergeCell ref="BH28:BI28"/>
    <mergeCell ref="BH29:BI29"/>
    <mergeCell ref="BH30:BI30"/>
    <mergeCell ref="BJ27:BK27"/>
    <mergeCell ref="BJ28:BK28"/>
    <mergeCell ref="BJ29:BK29"/>
    <mergeCell ref="BJ30:BK30"/>
    <mergeCell ref="BL28:BM28"/>
    <mergeCell ref="BL29:BM29"/>
    <mergeCell ref="BL30:BM30"/>
    <mergeCell ref="BH26:BO26"/>
    <mergeCell ref="BN28:BO28"/>
    <mergeCell ref="BL27:BM27"/>
    <mergeCell ref="BP28:BQ28"/>
    <mergeCell ref="BP29:BQ29"/>
    <mergeCell ref="BP30:BQ30"/>
    <mergeCell ref="BP31:BQ31"/>
    <mergeCell ref="BR31:BS31"/>
    <mergeCell ref="BR28:BS28"/>
    <mergeCell ref="BP26:BV26"/>
    <mergeCell ref="BP27:BQ27"/>
    <mergeCell ref="BR27:BS27"/>
    <mergeCell ref="BT27:BU27"/>
    <mergeCell ref="BN27:BO27"/>
    <mergeCell ref="Y26:AA26"/>
    <mergeCell ref="AN26:AQ26"/>
    <mergeCell ref="AZ26:BC26"/>
    <mergeCell ref="AV26:AY26"/>
    <mergeCell ref="AR26:AU26"/>
    <mergeCell ref="AK26:AM26"/>
    <mergeCell ref="AH26:AJ26"/>
    <mergeCell ref="BH31:BI31"/>
    <mergeCell ref="BJ31:BK31"/>
    <mergeCell ref="BL31:BM31"/>
    <mergeCell ref="BN31:BO31"/>
    <mergeCell ref="CA29:CB29"/>
    <mergeCell ref="CA30:CB30"/>
    <mergeCell ref="CA31:CB31"/>
    <mergeCell ref="BY27:BZ27"/>
    <mergeCell ref="BY29:BZ29"/>
    <mergeCell ref="BY28:BZ28"/>
    <mergeCell ref="BY30:BZ30"/>
    <mergeCell ref="BY31:BZ31"/>
    <mergeCell ref="BT28:BU28"/>
    <mergeCell ref="BT29:BU29"/>
    <mergeCell ref="BT30:BU30"/>
    <mergeCell ref="BT31:BU31"/>
    <mergeCell ref="BW27:BX27"/>
    <mergeCell ref="BW28:BX28"/>
    <mergeCell ref="BW29:BX29"/>
    <mergeCell ref="BW30:BX30"/>
    <mergeCell ref="BW31:BX31"/>
    <mergeCell ref="BR29:BS29"/>
    <mergeCell ref="BR30:BS30"/>
    <mergeCell ref="BN29:BO29"/>
    <mergeCell ref="CD26:CJ26"/>
    <mergeCell ref="CD27:CE27"/>
    <mergeCell ref="CF27:CG27"/>
    <mergeCell ref="CH27:CI27"/>
    <mergeCell ref="CD28:CE28"/>
    <mergeCell ref="CF28:CG28"/>
    <mergeCell ref="CH28:CI28"/>
    <mergeCell ref="CA27:CB27"/>
    <mergeCell ref="CA28:CB28"/>
    <mergeCell ref="CD31:CE31"/>
    <mergeCell ref="CF31:CG31"/>
    <mergeCell ref="CH31:CI31"/>
    <mergeCell ref="CD29:CE29"/>
    <mergeCell ref="CF29:CG29"/>
    <mergeCell ref="CH29:CI29"/>
    <mergeCell ref="CD30:CE30"/>
    <mergeCell ref="CF30:CG30"/>
    <mergeCell ref="CH30:CI30"/>
  </mergeCells>
  <phoneticPr fontId="0" type="noConversion"/>
  <hyperlinks>
    <hyperlink ref="C26:C27" r:id="rId1" display="Libretto impianto ai sensi dell'art. 3 comma 8 del  Decreto Ministeriale del 10/02/2014 pubblicato in G.U. 55 del 07/03/2014 " xr:uid="{00000000-0004-0000-2000-000000000000}"/>
    <hyperlink ref="AM30" r:id="rId2" xr:uid="{00000000-0004-0000-2000-000001000000}"/>
    <hyperlink ref="AM32" r:id="rId3" xr:uid="{00000000-0004-0000-2000-000002000000}"/>
    <hyperlink ref="AM28" r:id="rId4" xr:uid="{00000000-0004-0000-2000-000003000000}"/>
    <hyperlink ref="B30" r:id="rId5" xr:uid="{00000000-0004-0000-2000-000004000000}"/>
    <hyperlink ref="B31" r:id="rId6" display="Matr. 1001932892-0 - IMMERGAS VICTRIX PRO 35 ErP" xr:uid="{00000000-0004-0000-2000-000005000000}"/>
  </hyperlinks>
  <pageMargins left="0.75" right="0.75" top="1" bottom="1" header="0.5" footer="0.5"/>
  <pageSetup paperSize="9" scale="65" orientation="landscape" r:id="rId7"/>
  <headerFooter alignWithMargins="0"/>
  <drawing r:id="rId8"/>
  <legacyDrawing r:id="rId9"/>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B1:AT51"/>
  <sheetViews>
    <sheetView zoomScale="70" zoomScaleNormal="70" zoomScaleSheetLayoutView="20" workbookViewId="0">
      <pane xSplit="3" ySplit="3" topLeftCell="I4" activePane="bottomRight" state="frozen"/>
      <selection pane="topRight" activeCell="D1" sqref="D1"/>
      <selection pane="bottomLeft" activeCell="A4" sqref="A4"/>
      <selection pane="bottomRight" activeCell="O22" sqref="O22"/>
    </sheetView>
  </sheetViews>
  <sheetFormatPr defaultRowHeight="13.2" outlineLevelCol="1" x14ac:dyDescent="0.25"/>
  <cols>
    <col min="2" max="2" width="40.44140625" customWidth="1"/>
    <col min="3" max="3" width="15" customWidth="1"/>
    <col min="4" max="4" width="21.5546875" customWidth="1"/>
    <col min="5" max="5" width="71.109375" customWidth="1"/>
    <col min="6" max="7" width="25" customWidth="1"/>
    <col min="8" max="8" width="45.5546875" customWidth="1"/>
    <col min="9" max="12" width="25" customWidth="1" outlineLevel="1"/>
    <col min="13" max="13" width="25" customWidth="1"/>
    <col min="14" max="15" width="17.5546875" customWidth="1"/>
    <col min="16" max="17" width="15.6640625" customWidth="1"/>
    <col min="18" max="18" width="17.5546875" customWidth="1"/>
    <col min="19" max="19" width="16.6640625" customWidth="1"/>
    <col min="20" max="20" width="15.109375" customWidth="1"/>
    <col min="21" max="31" width="17.109375" customWidth="1"/>
    <col min="32" max="32" width="17" customWidth="1"/>
    <col min="33" max="46" width="17.109375" customWidth="1"/>
  </cols>
  <sheetData>
    <row r="1" spans="2:46" x14ac:dyDescent="0.25">
      <c r="T1" s="10"/>
      <c r="U1" s="10"/>
      <c r="V1" s="10"/>
    </row>
    <row r="2" spans="2:46" ht="30.75" customHeight="1" x14ac:dyDescent="0.25">
      <c r="B2" s="1235" t="s">
        <v>642</v>
      </c>
      <c r="C2" s="1319" t="s">
        <v>423</v>
      </c>
      <c r="D2" s="1319" t="s">
        <v>257</v>
      </c>
      <c r="E2" s="1319" t="s">
        <v>258</v>
      </c>
      <c r="F2" s="1319" t="s">
        <v>334</v>
      </c>
      <c r="G2" s="1237" t="s">
        <v>315</v>
      </c>
      <c r="H2" s="1321" t="s">
        <v>8</v>
      </c>
      <c r="I2" s="1321">
        <v>2016</v>
      </c>
      <c r="J2" s="1321">
        <v>2020</v>
      </c>
      <c r="K2" s="435"/>
      <c r="L2" s="435"/>
      <c r="M2" s="1241" t="s">
        <v>25</v>
      </c>
      <c r="N2" s="1319" t="s">
        <v>285</v>
      </c>
      <c r="O2" s="1319" t="s">
        <v>286</v>
      </c>
      <c r="P2" s="1235" t="s">
        <v>178</v>
      </c>
      <c r="Q2" s="1235" t="s">
        <v>180</v>
      </c>
      <c r="R2" s="1235" t="s">
        <v>368</v>
      </c>
      <c r="S2" s="1319" t="s">
        <v>8</v>
      </c>
      <c r="T2" s="1339" t="s">
        <v>18</v>
      </c>
      <c r="U2" s="1339" t="s">
        <v>18</v>
      </c>
      <c r="V2" s="1339" t="s">
        <v>18</v>
      </c>
      <c r="W2" s="1339" t="s">
        <v>18</v>
      </c>
      <c r="X2" s="1339" t="s">
        <v>18</v>
      </c>
      <c r="Y2" s="1339" t="s">
        <v>18</v>
      </c>
      <c r="Z2" s="1339" t="s">
        <v>18</v>
      </c>
      <c r="AA2" s="1339" t="s">
        <v>18</v>
      </c>
      <c r="AB2" s="1339" t="s">
        <v>18</v>
      </c>
      <c r="AC2" s="1339" t="s">
        <v>18</v>
      </c>
      <c r="AD2" s="1350" t="s">
        <v>18</v>
      </c>
      <c r="AE2" s="1324" t="s">
        <v>145</v>
      </c>
      <c r="AF2" s="1335"/>
      <c r="AG2" s="1324" t="s">
        <v>145</v>
      </c>
      <c r="AH2" s="1335"/>
      <c r="AI2" s="1324" t="s">
        <v>145</v>
      </c>
      <c r="AJ2" s="1335"/>
      <c r="AK2" s="1324" t="s">
        <v>145</v>
      </c>
      <c r="AL2" s="1335"/>
      <c r="AM2" s="1324" t="s">
        <v>145</v>
      </c>
      <c r="AN2" s="1325"/>
      <c r="AO2" s="1324" t="s">
        <v>145</v>
      </c>
      <c r="AP2" s="1325"/>
      <c r="AQ2" s="1324" t="s">
        <v>145</v>
      </c>
      <c r="AR2" s="1325"/>
      <c r="AS2" s="1324" t="s">
        <v>145</v>
      </c>
      <c r="AT2" s="1325"/>
    </row>
    <row r="3" spans="2:46" ht="47.25" customHeight="1" x14ac:dyDescent="0.25">
      <c r="B3" s="1236"/>
      <c r="C3" s="1320"/>
      <c r="D3" s="1320"/>
      <c r="E3" s="1320"/>
      <c r="F3" s="1320"/>
      <c r="G3" s="1238"/>
      <c r="H3" s="1322"/>
      <c r="I3" s="1322"/>
      <c r="J3" s="1322"/>
      <c r="K3" s="436"/>
      <c r="L3" s="436"/>
      <c r="M3" s="1242"/>
      <c r="N3" s="1320"/>
      <c r="O3" s="1320"/>
      <c r="P3" s="1236"/>
      <c r="Q3" s="1236"/>
      <c r="R3" s="1236"/>
      <c r="S3" s="1320"/>
      <c r="T3" s="1340"/>
      <c r="U3" s="1340"/>
      <c r="V3" s="1340"/>
      <c r="W3" s="1340"/>
      <c r="X3" s="1340"/>
      <c r="Y3" s="1340"/>
      <c r="Z3" s="1340"/>
      <c r="AA3" s="1340"/>
      <c r="AB3" s="1340"/>
      <c r="AC3" s="1340"/>
      <c r="AD3" s="1351"/>
      <c r="AE3" s="267" t="s">
        <v>330</v>
      </c>
      <c r="AF3" s="268" t="s">
        <v>146</v>
      </c>
      <c r="AG3" s="267" t="s">
        <v>330</v>
      </c>
      <c r="AH3" s="268" t="s">
        <v>146</v>
      </c>
      <c r="AI3" s="1324" t="s">
        <v>145</v>
      </c>
      <c r="AJ3" s="1335"/>
      <c r="AK3" s="267" t="s">
        <v>330</v>
      </c>
      <c r="AL3" s="268" t="s">
        <v>146</v>
      </c>
      <c r="AM3" s="267" t="s">
        <v>330</v>
      </c>
      <c r="AN3" s="419" t="s">
        <v>146</v>
      </c>
      <c r="AO3" s="267" t="s">
        <v>330</v>
      </c>
      <c r="AP3" s="497" t="s">
        <v>146</v>
      </c>
      <c r="AQ3" s="267" t="s">
        <v>330</v>
      </c>
      <c r="AR3" s="497" t="s">
        <v>146</v>
      </c>
      <c r="AS3" s="267" t="s">
        <v>330</v>
      </c>
      <c r="AT3" s="497" t="s">
        <v>146</v>
      </c>
    </row>
    <row r="4" spans="2:46" ht="20.100000000000001" customHeight="1" x14ac:dyDescent="0.5">
      <c r="B4" s="24" t="s">
        <v>56</v>
      </c>
      <c r="C4" s="23" t="s">
        <v>73</v>
      </c>
      <c r="D4" s="9" t="s">
        <v>131</v>
      </c>
      <c r="E4" s="9" t="s">
        <v>57</v>
      </c>
      <c r="F4" s="9" t="s">
        <v>71</v>
      </c>
      <c r="G4" s="238" t="s">
        <v>228</v>
      </c>
      <c r="H4" s="264" t="s">
        <v>48</v>
      </c>
      <c r="I4" s="198">
        <v>42474</v>
      </c>
      <c r="J4" s="277">
        <v>43951</v>
      </c>
      <c r="K4" s="600" t="s">
        <v>678</v>
      </c>
      <c r="L4" s="438" t="s">
        <v>679</v>
      </c>
      <c r="M4" s="238" t="s">
        <v>228</v>
      </c>
      <c r="N4" s="9" t="s">
        <v>287</v>
      </c>
      <c r="O4" s="33">
        <v>5.6</v>
      </c>
      <c r="P4" s="33">
        <v>9.93</v>
      </c>
      <c r="Q4" s="238" t="s">
        <v>228</v>
      </c>
      <c r="R4" s="238" t="s">
        <v>228</v>
      </c>
      <c r="S4" s="9" t="s">
        <v>276</v>
      </c>
      <c r="T4" s="20">
        <v>38972</v>
      </c>
      <c r="U4" s="20" t="s">
        <v>278</v>
      </c>
      <c r="V4" s="20" t="s">
        <v>68</v>
      </c>
      <c r="W4" s="20">
        <v>39933</v>
      </c>
      <c r="X4" s="20">
        <v>40255</v>
      </c>
      <c r="Y4" s="20">
        <v>40627</v>
      </c>
      <c r="Z4" s="41">
        <v>41059</v>
      </c>
      <c r="AA4" s="20">
        <v>41445</v>
      </c>
      <c r="AB4" s="20">
        <v>41786</v>
      </c>
      <c r="AC4" s="20">
        <v>42158</v>
      </c>
      <c r="AD4" s="41">
        <v>42474</v>
      </c>
      <c r="AE4" s="274">
        <v>42844</v>
      </c>
      <c r="AF4" s="41" t="s">
        <v>228</v>
      </c>
      <c r="AG4" s="278">
        <v>43206</v>
      </c>
      <c r="AH4" s="41" t="s">
        <v>228</v>
      </c>
      <c r="AI4" s="1324" t="s">
        <v>145</v>
      </c>
      <c r="AJ4" s="1335"/>
      <c r="AK4" s="278">
        <v>43951</v>
      </c>
      <c r="AL4" s="41" t="s">
        <v>228</v>
      </c>
      <c r="AM4" s="437">
        <v>44306</v>
      </c>
      <c r="AN4" s="41" t="s">
        <v>228</v>
      </c>
      <c r="AO4" s="498">
        <v>44672</v>
      </c>
      <c r="AP4" s="420" t="s">
        <v>228</v>
      </c>
      <c r="AQ4" s="498">
        <v>45043</v>
      </c>
      <c r="AR4" s="508" t="s">
        <v>228</v>
      </c>
      <c r="AS4" s="420">
        <v>45412</v>
      </c>
      <c r="AT4" s="420" t="s">
        <v>228</v>
      </c>
    </row>
    <row r="5" spans="2:46" ht="20.100000000000001" customHeight="1" x14ac:dyDescent="0.5">
      <c r="B5" s="1336" t="s">
        <v>58</v>
      </c>
      <c r="C5" s="1338" t="s">
        <v>72</v>
      </c>
      <c r="D5" s="538" t="s">
        <v>59</v>
      </c>
      <c r="E5" s="539" t="s">
        <v>292</v>
      </c>
      <c r="F5" s="7" t="s">
        <v>71</v>
      </c>
      <c r="G5" s="1316" t="s">
        <v>173</v>
      </c>
      <c r="H5" s="1316"/>
      <c r="I5" s="1316" t="s">
        <v>173</v>
      </c>
      <c r="J5" s="1316" t="s">
        <v>173</v>
      </c>
      <c r="K5" s="1316" t="s">
        <v>173</v>
      </c>
      <c r="L5" s="1316" t="s">
        <v>173</v>
      </c>
      <c r="M5" s="1316" t="s">
        <v>173</v>
      </c>
      <c r="N5" s="44" t="s">
        <v>288</v>
      </c>
      <c r="O5" s="43">
        <v>9.5</v>
      </c>
      <c r="P5" s="43">
        <v>19.84</v>
      </c>
      <c r="Q5" s="242" t="s">
        <v>228</v>
      </c>
      <c r="R5" s="242" t="s">
        <v>228</v>
      </c>
      <c r="S5" s="1316" t="s">
        <v>276</v>
      </c>
      <c r="T5" s="15">
        <v>38972</v>
      </c>
      <c r="U5" s="1328" t="s">
        <v>278</v>
      </c>
      <c r="V5" s="55" t="s">
        <v>68</v>
      </c>
      <c r="W5" s="55">
        <v>39933</v>
      </c>
      <c r="X5" s="55">
        <v>40255</v>
      </c>
      <c r="Y5" s="55">
        <v>40627</v>
      </c>
      <c r="Z5" s="89">
        <v>41059</v>
      </c>
      <c r="AA5" s="55">
        <v>41445</v>
      </c>
      <c r="AB5" s="55">
        <v>41786</v>
      </c>
      <c r="AC5" s="20">
        <v>42158</v>
      </c>
      <c r="AD5" s="41">
        <v>42474</v>
      </c>
      <c r="AE5" s="274">
        <v>42844</v>
      </c>
      <c r="AF5" s="41" t="s">
        <v>228</v>
      </c>
      <c r="AG5" s="278">
        <v>43206</v>
      </c>
      <c r="AH5" s="41" t="s">
        <v>228</v>
      </c>
      <c r="AI5" s="1324" t="s">
        <v>145</v>
      </c>
      <c r="AJ5" s="1335"/>
      <c r="AK5" s="278">
        <v>43951</v>
      </c>
      <c r="AL5" s="41" t="s">
        <v>228</v>
      </c>
      <c r="AM5" s="463" t="s">
        <v>522</v>
      </c>
      <c r="AN5" s="41" t="s">
        <v>228</v>
      </c>
      <c r="AO5" s="498">
        <v>44672</v>
      </c>
      <c r="AP5" s="420" t="s">
        <v>228</v>
      </c>
      <c r="AQ5" s="498">
        <v>45043</v>
      </c>
      <c r="AR5" s="508" t="s">
        <v>228</v>
      </c>
      <c r="AS5" s="420">
        <v>45412</v>
      </c>
      <c r="AT5" s="420" t="s">
        <v>228</v>
      </c>
    </row>
    <row r="6" spans="2:46" ht="20.100000000000001" customHeight="1" x14ac:dyDescent="0.5">
      <c r="B6" s="1341"/>
      <c r="C6" s="1343"/>
      <c r="D6" s="375" t="s">
        <v>640</v>
      </c>
      <c r="E6" s="9" t="s">
        <v>641</v>
      </c>
      <c r="F6" s="98" t="s">
        <v>228</v>
      </c>
      <c r="G6" s="1317"/>
      <c r="H6" s="1317"/>
      <c r="I6" s="1317"/>
      <c r="J6" s="1317"/>
      <c r="K6" s="1317"/>
      <c r="L6" s="1317"/>
      <c r="M6" s="1317"/>
      <c r="N6" s="44" t="s">
        <v>288</v>
      </c>
      <c r="O6" s="43">
        <v>10.1</v>
      </c>
      <c r="P6" s="43">
        <v>14.82</v>
      </c>
      <c r="Q6" s="242" t="s">
        <v>228</v>
      </c>
      <c r="R6" s="242" t="s">
        <v>228</v>
      </c>
      <c r="S6" s="1317"/>
      <c r="T6" s="15" t="s">
        <v>278</v>
      </c>
      <c r="U6" s="1323"/>
      <c r="V6" s="15" t="s">
        <v>278</v>
      </c>
      <c r="W6" s="15" t="s">
        <v>278</v>
      </c>
      <c r="X6" s="15" t="s">
        <v>278</v>
      </c>
      <c r="Y6" s="15" t="s">
        <v>278</v>
      </c>
      <c r="Z6" s="15" t="s">
        <v>278</v>
      </c>
      <c r="AA6" s="15" t="s">
        <v>278</v>
      </c>
      <c r="AB6" s="15" t="s">
        <v>278</v>
      </c>
      <c r="AC6" s="20" t="s">
        <v>278</v>
      </c>
      <c r="AD6" s="41" t="s">
        <v>278</v>
      </c>
      <c r="AE6" s="274" t="s">
        <v>278</v>
      </c>
      <c r="AF6" s="41" t="s">
        <v>173</v>
      </c>
      <c r="AG6" s="278" t="s">
        <v>278</v>
      </c>
      <c r="AH6" s="41" t="s">
        <v>173</v>
      </c>
      <c r="AI6" s="1324" t="s">
        <v>278</v>
      </c>
      <c r="AJ6" s="1335"/>
      <c r="AK6" s="278" t="s">
        <v>278</v>
      </c>
      <c r="AL6" s="41" t="s">
        <v>278</v>
      </c>
      <c r="AM6" s="463" t="s">
        <v>278</v>
      </c>
      <c r="AN6" s="41" t="s">
        <v>278</v>
      </c>
      <c r="AO6" s="498" t="s">
        <v>278</v>
      </c>
      <c r="AP6" s="420" t="s">
        <v>278</v>
      </c>
      <c r="AQ6" s="498">
        <v>45149</v>
      </c>
      <c r="AR6" s="508" t="s">
        <v>278</v>
      </c>
      <c r="AS6" s="420">
        <v>45412</v>
      </c>
      <c r="AT6" s="420" t="s">
        <v>228</v>
      </c>
    </row>
    <row r="7" spans="2:46" ht="20.100000000000001" customHeight="1" x14ac:dyDescent="0.5">
      <c r="B7" s="1341"/>
      <c r="C7" s="1343"/>
      <c r="D7" s="1317" t="s">
        <v>59</v>
      </c>
      <c r="E7" s="9" t="s">
        <v>293</v>
      </c>
      <c r="F7" s="1348" t="s">
        <v>71</v>
      </c>
      <c r="G7" s="1318"/>
      <c r="H7" s="1318"/>
      <c r="I7" s="1318"/>
      <c r="J7" s="1318"/>
      <c r="K7" s="1318"/>
      <c r="L7" s="1318"/>
      <c r="M7" s="1318"/>
      <c r="N7" s="44" t="s">
        <v>288</v>
      </c>
      <c r="O7" s="43">
        <v>9.5</v>
      </c>
      <c r="P7" s="43">
        <v>19.84</v>
      </c>
      <c r="Q7" s="242" t="s">
        <v>228</v>
      </c>
      <c r="R7" s="242" t="s">
        <v>228</v>
      </c>
      <c r="S7" s="1317"/>
      <c r="T7" s="1349">
        <v>38972</v>
      </c>
      <c r="U7" s="1323"/>
      <c r="V7" s="1349" t="s">
        <v>68</v>
      </c>
      <c r="W7" s="1349">
        <v>39933</v>
      </c>
      <c r="X7" s="1349">
        <v>40255</v>
      </c>
      <c r="Y7" s="1349">
        <v>40627</v>
      </c>
      <c r="Z7" s="1349">
        <v>41059</v>
      </c>
      <c r="AA7" s="1349">
        <v>41445</v>
      </c>
      <c r="AB7" s="1349">
        <v>41786</v>
      </c>
      <c r="AC7" s="20">
        <v>42158</v>
      </c>
      <c r="AD7" s="41">
        <v>42474</v>
      </c>
      <c r="AE7" s="274">
        <v>42844</v>
      </c>
      <c r="AF7" s="41" t="s">
        <v>228</v>
      </c>
      <c r="AG7" s="278">
        <v>43206</v>
      </c>
      <c r="AH7" s="41" t="s">
        <v>228</v>
      </c>
      <c r="AI7" s="1324" t="s">
        <v>145</v>
      </c>
      <c r="AJ7" s="1335"/>
      <c r="AK7" s="278">
        <v>43951</v>
      </c>
      <c r="AL7" s="41" t="s">
        <v>228</v>
      </c>
      <c r="AM7" s="437">
        <v>44306</v>
      </c>
      <c r="AN7" s="41" t="s">
        <v>228</v>
      </c>
      <c r="AO7" s="498">
        <v>44672</v>
      </c>
      <c r="AP7" s="420" t="s">
        <v>228</v>
      </c>
      <c r="AQ7" s="498">
        <v>45043</v>
      </c>
      <c r="AR7" s="508" t="s">
        <v>228</v>
      </c>
      <c r="AS7" s="420">
        <v>45412</v>
      </c>
      <c r="AT7" s="420" t="s">
        <v>228</v>
      </c>
    </row>
    <row r="8" spans="2:46" ht="20.100000000000001" customHeight="1" x14ac:dyDescent="0.5">
      <c r="B8" s="1342"/>
      <c r="C8" s="1344"/>
      <c r="D8" s="1086"/>
      <c r="E8" s="25" t="s">
        <v>294</v>
      </c>
      <c r="F8" s="1175"/>
      <c r="G8" s="1086"/>
      <c r="H8" s="1086"/>
      <c r="I8" s="1086"/>
      <c r="J8" s="1086"/>
      <c r="K8" s="1086"/>
      <c r="L8" s="1086"/>
      <c r="M8" s="1086"/>
      <c r="N8" s="34" t="s">
        <v>287</v>
      </c>
      <c r="O8" s="35">
        <v>4.0999999999999996</v>
      </c>
      <c r="P8" s="35">
        <v>7.27</v>
      </c>
      <c r="Q8" s="243" t="s">
        <v>228</v>
      </c>
      <c r="R8" s="243" t="s">
        <v>228</v>
      </c>
      <c r="S8" s="1329"/>
      <c r="T8" s="1175"/>
      <c r="U8" s="1345"/>
      <c r="V8" s="1175"/>
      <c r="W8" s="1175"/>
      <c r="X8" s="1175"/>
      <c r="Y8" s="1175"/>
      <c r="Z8" s="1175"/>
      <c r="AA8" s="1175"/>
      <c r="AB8" s="1175"/>
      <c r="AC8" s="20">
        <v>42158</v>
      </c>
      <c r="AD8" s="41">
        <v>42474</v>
      </c>
      <c r="AE8" s="274">
        <v>42844</v>
      </c>
      <c r="AF8" s="41" t="s">
        <v>228</v>
      </c>
      <c r="AG8" s="278">
        <v>43206</v>
      </c>
      <c r="AH8" s="41" t="s">
        <v>228</v>
      </c>
      <c r="AI8" s="1324" t="s">
        <v>145</v>
      </c>
      <c r="AJ8" s="1335"/>
      <c r="AK8" s="278">
        <v>43951</v>
      </c>
      <c r="AL8" s="41" t="s">
        <v>228</v>
      </c>
      <c r="AM8" s="437">
        <v>44306</v>
      </c>
      <c r="AN8" s="41" t="s">
        <v>228</v>
      </c>
      <c r="AO8" s="498">
        <v>44672</v>
      </c>
      <c r="AP8" s="420" t="s">
        <v>228</v>
      </c>
      <c r="AQ8" s="498">
        <v>45043</v>
      </c>
      <c r="AR8" s="508" t="s">
        <v>228</v>
      </c>
      <c r="AS8" s="420">
        <v>45412</v>
      </c>
      <c r="AT8" s="420" t="s">
        <v>228</v>
      </c>
    </row>
    <row r="9" spans="2:46" ht="20.100000000000001" customHeight="1" x14ac:dyDescent="0.4">
      <c r="B9" s="24" t="s">
        <v>60</v>
      </c>
      <c r="C9" s="23" t="s">
        <v>70</v>
      </c>
      <c r="D9" s="9" t="s">
        <v>59</v>
      </c>
      <c r="E9" s="45" t="s">
        <v>281</v>
      </c>
      <c r="F9" s="85" t="s">
        <v>228</v>
      </c>
      <c r="G9" s="225" t="s">
        <v>173</v>
      </c>
      <c r="H9" s="225"/>
      <c r="I9" s="225" t="s">
        <v>173</v>
      </c>
      <c r="J9" s="225" t="s">
        <v>173</v>
      </c>
      <c r="K9" s="225"/>
      <c r="L9" s="225" t="s">
        <v>173</v>
      </c>
      <c r="M9" s="225" t="s">
        <v>173</v>
      </c>
      <c r="N9" s="44" t="s">
        <v>288</v>
      </c>
      <c r="O9" s="35">
        <v>1.75</v>
      </c>
      <c r="P9" s="35">
        <v>3.65</v>
      </c>
      <c r="Q9" s="35"/>
      <c r="R9" s="35" t="s">
        <v>278</v>
      </c>
      <c r="S9" s="9" t="s">
        <v>276</v>
      </c>
      <c r="T9" s="84" t="s">
        <v>278</v>
      </c>
      <c r="U9" s="84" t="s">
        <v>278</v>
      </c>
      <c r="V9" s="84" t="s">
        <v>278</v>
      </c>
      <c r="W9" s="20" t="s">
        <v>280</v>
      </c>
      <c r="X9" s="84">
        <v>40256</v>
      </c>
      <c r="Y9" s="20">
        <v>40627</v>
      </c>
      <c r="Z9" s="1330">
        <v>41059</v>
      </c>
      <c r="AA9" s="1328">
        <v>41445</v>
      </c>
      <c r="AB9" s="20">
        <v>41786</v>
      </c>
      <c r="AC9" s="20">
        <v>42158</v>
      </c>
      <c r="AD9" s="41">
        <v>42474</v>
      </c>
      <c r="AE9" s="274">
        <v>42845</v>
      </c>
      <c r="AF9" s="41" t="s">
        <v>228</v>
      </c>
      <c r="AG9" s="278">
        <v>43208</v>
      </c>
      <c r="AH9" s="41" t="s">
        <v>228</v>
      </c>
      <c r="AI9" s="1324" t="s">
        <v>145</v>
      </c>
      <c r="AJ9" s="1335"/>
      <c r="AK9" s="278">
        <v>43951</v>
      </c>
      <c r="AL9" s="41" t="s">
        <v>228</v>
      </c>
      <c r="AM9" s="278"/>
      <c r="AN9" s="420"/>
      <c r="AO9" s="278">
        <v>44672</v>
      </c>
      <c r="AP9" s="420" t="s">
        <v>228</v>
      </c>
      <c r="AQ9" s="526">
        <v>45043</v>
      </c>
      <c r="AR9" s="508" t="s">
        <v>228</v>
      </c>
      <c r="AS9" s="420">
        <v>45412</v>
      </c>
      <c r="AT9" s="420" t="s">
        <v>228</v>
      </c>
    </row>
    <row r="10" spans="2:46" ht="20.100000000000001" hidden="1" customHeight="1" x14ac:dyDescent="0.4">
      <c r="B10" s="58" t="s">
        <v>60</v>
      </c>
      <c r="C10" s="59" t="s">
        <v>70</v>
      </c>
      <c r="D10" s="60" t="s">
        <v>61</v>
      </c>
      <c r="E10" s="409" t="s">
        <v>62</v>
      </c>
      <c r="F10" s="86" t="s">
        <v>71</v>
      </c>
      <c r="G10" s="232"/>
      <c r="H10" s="232"/>
      <c r="I10" s="232"/>
      <c r="J10" s="232"/>
      <c r="K10" s="232"/>
      <c r="L10" s="232"/>
      <c r="M10" s="232"/>
      <c r="N10" s="87" t="s">
        <v>289</v>
      </c>
      <c r="O10" s="88">
        <v>0.73</v>
      </c>
      <c r="P10" s="88"/>
      <c r="Q10" s="88"/>
      <c r="R10" s="88"/>
      <c r="S10" s="60" t="s">
        <v>276</v>
      </c>
      <c r="T10" s="67">
        <v>38972</v>
      </c>
      <c r="U10" s="67" t="s">
        <v>278</v>
      </c>
      <c r="V10" s="67" t="s">
        <v>68</v>
      </c>
      <c r="W10" s="67">
        <v>39933</v>
      </c>
      <c r="X10" s="68" t="s">
        <v>277</v>
      </c>
      <c r="Y10" s="9"/>
      <c r="Z10" s="1331"/>
      <c r="AA10" s="1317"/>
      <c r="AB10" s="27"/>
      <c r="AC10" s="20">
        <v>42158</v>
      </c>
      <c r="AD10" s="41">
        <v>42474</v>
      </c>
      <c r="AE10" s="274"/>
      <c r="AF10" s="41" t="s">
        <v>228</v>
      </c>
      <c r="AG10" s="278"/>
      <c r="AH10" s="41" t="s">
        <v>228</v>
      </c>
      <c r="AI10" s="1324" t="s">
        <v>145</v>
      </c>
      <c r="AJ10" s="1335"/>
      <c r="AK10" s="278">
        <v>43951</v>
      </c>
      <c r="AL10" s="41" t="s">
        <v>228</v>
      </c>
      <c r="AM10" s="421"/>
      <c r="AN10" s="420"/>
      <c r="AO10" s="278">
        <v>44672</v>
      </c>
      <c r="AP10" s="41" t="s">
        <v>228</v>
      </c>
      <c r="AQ10" s="421"/>
      <c r="AR10" s="507"/>
      <c r="AS10" s="420">
        <v>45412</v>
      </c>
      <c r="AT10" s="420" t="s">
        <v>228</v>
      </c>
    </row>
    <row r="11" spans="2:46" ht="20.100000000000001" hidden="1" customHeight="1" x14ac:dyDescent="0.4">
      <c r="B11" s="58" t="s">
        <v>63</v>
      </c>
      <c r="C11" s="60" t="s">
        <v>278</v>
      </c>
      <c r="D11" s="60" t="s">
        <v>61</v>
      </c>
      <c r="E11" s="61" t="s">
        <v>64</v>
      </c>
      <c r="F11" s="60" t="s">
        <v>229</v>
      </c>
      <c r="G11" s="60"/>
      <c r="H11" s="60"/>
      <c r="I11" s="60"/>
      <c r="J11" s="60"/>
      <c r="K11" s="60"/>
      <c r="L11" s="60"/>
      <c r="M11" s="60"/>
      <c r="N11" s="60" t="s">
        <v>278</v>
      </c>
      <c r="O11" s="60" t="s">
        <v>278</v>
      </c>
      <c r="P11" s="60"/>
      <c r="Q11" s="60"/>
      <c r="R11" s="60"/>
      <c r="S11" s="60" t="s">
        <v>276</v>
      </c>
      <c r="T11" s="67">
        <v>38972</v>
      </c>
      <c r="U11" s="67" t="s">
        <v>278</v>
      </c>
      <c r="V11" s="68" t="s">
        <v>277</v>
      </c>
      <c r="W11" s="68" t="s">
        <v>277</v>
      </c>
      <c r="X11" s="20"/>
      <c r="Y11" s="9"/>
      <c r="Z11" s="1332"/>
      <c r="AA11" s="1329"/>
      <c r="AB11" s="27"/>
      <c r="AC11" s="20">
        <v>42158</v>
      </c>
      <c r="AD11" s="41">
        <v>42474</v>
      </c>
      <c r="AE11" s="274"/>
      <c r="AF11" s="41" t="s">
        <v>228</v>
      </c>
      <c r="AG11" s="278"/>
      <c r="AH11" s="41" t="s">
        <v>228</v>
      </c>
      <c r="AI11" s="1324" t="s">
        <v>145</v>
      </c>
      <c r="AJ11" s="1335"/>
      <c r="AK11" s="278">
        <v>43951</v>
      </c>
      <c r="AL11" s="41" t="s">
        <v>228</v>
      </c>
      <c r="AM11" s="421"/>
      <c r="AN11" s="420"/>
      <c r="AO11" s="278">
        <v>44672</v>
      </c>
      <c r="AP11" s="41" t="s">
        <v>228</v>
      </c>
      <c r="AQ11" s="421"/>
      <c r="AR11" s="507"/>
      <c r="AS11" s="420">
        <v>45412</v>
      </c>
      <c r="AT11" s="420" t="s">
        <v>228</v>
      </c>
    </row>
    <row r="12" spans="2:46" ht="20.100000000000001" customHeight="1" x14ac:dyDescent="0.4">
      <c r="B12" s="24" t="s">
        <v>63</v>
      </c>
      <c r="C12" s="26" t="s">
        <v>69</v>
      </c>
      <c r="D12" s="9" t="s">
        <v>59</v>
      </c>
      <c r="E12" s="25" t="s">
        <v>622</v>
      </c>
      <c r="F12" s="9" t="s">
        <v>71</v>
      </c>
      <c r="G12" s="9" t="s">
        <v>173</v>
      </c>
      <c r="H12" s="9"/>
      <c r="I12" s="9" t="s">
        <v>173</v>
      </c>
      <c r="J12" s="9" t="s">
        <v>173</v>
      </c>
      <c r="K12" s="9"/>
      <c r="L12" s="9" t="s">
        <v>173</v>
      </c>
      <c r="M12" s="9" t="s">
        <v>173</v>
      </c>
      <c r="N12" s="9" t="s">
        <v>288</v>
      </c>
      <c r="O12" s="33">
        <v>1.4</v>
      </c>
      <c r="P12" s="33">
        <v>2.92</v>
      </c>
      <c r="Q12" s="33"/>
      <c r="R12" s="33" t="s">
        <v>278</v>
      </c>
      <c r="S12" s="9" t="s">
        <v>276</v>
      </c>
      <c r="T12" s="20" t="s">
        <v>278</v>
      </c>
      <c r="U12" s="20" t="s">
        <v>278</v>
      </c>
      <c r="V12" s="20">
        <v>39521</v>
      </c>
      <c r="W12" s="20">
        <v>39933</v>
      </c>
      <c r="X12" s="20">
        <v>40255</v>
      </c>
      <c r="Y12" s="20">
        <v>40627</v>
      </c>
      <c r="Z12" s="41">
        <v>41059</v>
      </c>
      <c r="AA12" s="20">
        <v>41445</v>
      </c>
      <c r="AB12" s="20">
        <v>41786</v>
      </c>
      <c r="AC12" s="20">
        <v>42158</v>
      </c>
      <c r="AD12" s="41">
        <v>42474</v>
      </c>
      <c r="AE12" s="274">
        <v>42845</v>
      </c>
      <c r="AF12" s="41" t="s">
        <v>228</v>
      </c>
      <c r="AG12" s="278">
        <v>43208</v>
      </c>
      <c r="AH12" s="41" t="s">
        <v>228</v>
      </c>
      <c r="AI12" s="1324" t="s">
        <v>145</v>
      </c>
      <c r="AJ12" s="1335"/>
      <c r="AK12" s="278">
        <v>43951</v>
      </c>
      <c r="AL12" s="41" t="s">
        <v>228</v>
      </c>
      <c r="AM12" s="278"/>
      <c r="AN12" s="420"/>
      <c r="AO12" s="278">
        <v>44672</v>
      </c>
      <c r="AP12" s="420" t="s">
        <v>228</v>
      </c>
      <c r="AQ12" s="526">
        <v>45043</v>
      </c>
      <c r="AR12" s="508" t="s">
        <v>228</v>
      </c>
      <c r="AS12" s="420">
        <v>45412</v>
      </c>
      <c r="AT12" s="420" t="s">
        <v>228</v>
      </c>
    </row>
    <row r="13" spans="2:46" ht="20.100000000000001" hidden="1" customHeight="1" x14ac:dyDescent="0.4">
      <c r="B13" s="58" t="s">
        <v>333</v>
      </c>
      <c r="C13" s="59" t="s">
        <v>74</v>
      </c>
      <c r="D13" s="60" t="s">
        <v>59</v>
      </c>
      <c r="E13" s="61" t="s">
        <v>264</v>
      </c>
      <c r="F13" s="60" t="s">
        <v>228</v>
      </c>
      <c r="G13" s="60"/>
      <c r="H13" s="60"/>
      <c r="I13" s="60"/>
      <c r="J13" s="60"/>
      <c r="K13" s="60"/>
      <c r="L13" s="60"/>
      <c r="M13" s="60"/>
      <c r="N13" s="60" t="s">
        <v>289</v>
      </c>
      <c r="O13" s="62">
        <v>5.5</v>
      </c>
      <c r="P13" s="62"/>
      <c r="Q13" s="62"/>
      <c r="R13" s="62"/>
      <c r="S13" s="60" t="s">
        <v>276</v>
      </c>
      <c r="T13" s="67">
        <v>38972</v>
      </c>
      <c r="U13" s="67">
        <v>39335</v>
      </c>
      <c r="V13" s="67">
        <v>39521</v>
      </c>
      <c r="W13" s="68" t="s">
        <v>277</v>
      </c>
      <c r="X13" s="20"/>
      <c r="Y13" s="9"/>
      <c r="AA13" s="9"/>
      <c r="AB13" s="27"/>
      <c r="AC13" s="20">
        <v>42158</v>
      </c>
      <c r="AD13" s="41">
        <v>42474</v>
      </c>
      <c r="AE13" s="274"/>
      <c r="AF13" s="41" t="s">
        <v>228</v>
      </c>
      <c r="AG13" s="278"/>
      <c r="AH13" s="41" t="s">
        <v>228</v>
      </c>
      <c r="AI13" s="1324" t="s">
        <v>145</v>
      </c>
      <c r="AJ13" s="1335"/>
      <c r="AK13" s="278" t="s">
        <v>479</v>
      </c>
      <c r="AL13" s="41" t="s">
        <v>228</v>
      </c>
      <c r="AM13" s="421" t="s">
        <v>502</v>
      </c>
      <c r="AN13" s="420"/>
      <c r="AO13" s="492">
        <v>44672</v>
      </c>
      <c r="AP13" s="420" t="s">
        <v>228</v>
      </c>
      <c r="AQ13" s="421"/>
      <c r="AR13" s="508" t="s">
        <v>228</v>
      </c>
      <c r="AS13" s="420">
        <v>45412</v>
      </c>
      <c r="AT13" s="420" t="s">
        <v>228</v>
      </c>
    </row>
    <row r="14" spans="2:46" ht="20.100000000000001" customHeight="1" x14ac:dyDescent="0.5">
      <c r="B14" s="24" t="s">
        <v>333</v>
      </c>
      <c r="C14" s="23" t="s">
        <v>74</v>
      </c>
      <c r="D14" s="9" t="s">
        <v>59</v>
      </c>
      <c r="E14" s="25" t="s">
        <v>338</v>
      </c>
      <c r="F14" s="9" t="s">
        <v>228</v>
      </c>
      <c r="G14" s="9" t="s">
        <v>173</v>
      </c>
      <c r="H14" s="9"/>
      <c r="I14" s="9" t="s">
        <v>173</v>
      </c>
      <c r="J14" s="9" t="s">
        <v>173</v>
      </c>
      <c r="K14" s="9"/>
      <c r="L14" s="9" t="s">
        <v>173</v>
      </c>
      <c r="M14" s="9" t="s">
        <v>173</v>
      </c>
      <c r="N14" s="9" t="s">
        <v>288</v>
      </c>
      <c r="O14" s="56" t="s">
        <v>335</v>
      </c>
      <c r="P14" s="56" t="s">
        <v>179</v>
      </c>
      <c r="Q14" s="244" t="s">
        <v>228</v>
      </c>
      <c r="R14" s="244" t="s">
        <v>228</v>
      </c>
      <c r="S14" s="9" t="s">
        <v>276</v>
      </c>
      <c r="T14" s="20" t="s">
        <v>278</v>
      </c>
      <c r="U14" s="20" t="s">
        <v>278</v>
      </c>
      <c r="V14" s="20" t="s">
        <v>278</v>
      </c>
      <c r="W14" s="20">
        <v>39933</v>
      </c>
      <c r="X14" s="20">
        <v>40255</v>
      </c>
      <c r="Y14" s="41">
        <v>40627</v>
      </c>
      <c r="Z14" s="41">
        <v>41059</v>
      </c>
      <c r="AA14" s="20">
        <v>41445</v>
      </c>
      <c r="AB14" s="20">
        <v>41786</v>
      </c>
      <c r="AC14" s="20">
        <v>42158</v>
      </c>
      <c r="AD14" s="41">
        <v>42474</v>
      </c>
      <c r="AE14" s="274">
        <v>42844</v>
      </c>
      <c r="AF14" s="41" t="s">
        <v>228</v>
      </c>
      <c r="AG14" s="278">
        <v>43207</v>
      </c>
      <c r="AH14" s="41" t="s">
        <v>228</v>
      </c>
      <c r="AI14" s="1324" t="s">
        <v>145</v>
      </c>
      <c r="AJ14" s="1335"/>
      <c r="AK14" s="278">
        <v>43951</v>
      </c>
      <c r="AL14" s="41" t="s">
        <v>228</v>
      </c>
      <c r="AM14" s="437">
        <v>44306</v>
      </c>
      <c r="AN14" s="41" t="s">
        <v>228</v>
      </c>
      <c r="AO14" s="498">
        <v>44672</v>
      </c>
      <c r="AP14" s="420" t="s">
        <v>228</v>
      </c>
      <c r="AQ14" s="437">
        <v>45043</v>
      </c>
      <c r="AR14" s="508" t="s">
        <v>228</v>
      </c>
      <c r="AS14" s="420">
        <v>45412</v>
      </c>
      <c r="AT14" s="420" t="s">
        <v>228</v>
      </c>
    </row>
    <row r="15" spans="2:46" ht="20.100000000000001" hidden="1" customHeight="1" x14ac:dyDescent="0.5">
      <c r="B15" s="58" t="s">
        <v>265</v>
      </c>
      <c r="C15" s="59" t="s">
        <v>75</v>
      </c>
      <c r="D15" s="60" t="s">
        <v>59</v>
      </c>
      <c r="E15" s="61" t="s">
        <v>266</v>
      </c>
      <c r="F15" s="60" t="s">
        <v>228</v>
      </c>
      <c r="G15" s="60"/>
      <c r="H15" s="60"/>
      <c r="I15" s="60"/>
      <c r="J15" s="60"/>
      <c r="K15" s="60"/>
      <c r="L15" s="60"/>
      <c r="M15" s="60"/>
      <c r="N15" s="60" t="s">
        <v>289</v>
      </c>
      <c r="O15" s="62">
        <v>4.4000000000000004</v>
      </c>
      <c r="P15" s="62"/>
      <c r="Q15" s="244" t="s">
        <v>228</v>
      </c>
      <c r="R15" s="62"/>
      <c r="S15" s="60" t="s">
        <v>276</v>
      </c>
      <c r="T15" s="67">
        <v>38972</v>
      </c>
      <c r="U15" s="67">
        <v>39335</v>
      </c>
      <c r="V15" s="67">
        <v>39521</v>
      </c>
      <c r="W15" s="68" t="s">
        <v>277</v>
      </c>
      <c r="X15" s="9"/>
      <c r="Y15" s="40"/>
      <c r="Z15" s="197"/>
      <c r="AA15" s="9"/>
      <c r="AB15" s="20">
        <v>41786</v>
      </c>
      <c r="AC15" s="20">
        <v>42158</v>
      </c>
      <c r="AD15" s="41">
        <v>42474</v>
      </c>
      <c r="AE15" s="274"/>
      <c r="AF15" s="41" t="s">
        <v>228</v>
      </c>
      <c r="AG15" s="278"/>
      <c r="AH15" s="41" t="s">
        <v>228</v>
      </c>
      <c r="AI15" s="1324" t="s">
        <v>145</v>
      </c>
      <c r="AJ15" s="1335"/>
      <c r="AK15" s="278" t="s">
        <v>479</v>
      </c>
      <c r="AL15" s="41" t="s">
        <v>228</v>
      </c>
      <c r="AM15" s="421" t="s">
        <v>502</v>
      </c>
      <c r="AN15" s="41" t="s">
        <v>228</v>
      </c>
      <c r="AO15" s="492">
        <v>44672</v>
      </c>
      <c r="AP15" s="420" t="s">
        <v>228</v>
      </c>
      <c r="AQ15" s="492"/>
      <c r="AR15" s="508" t="s">
        <v>228</v>
      </c>
      <c r="AS15" s="420">
        <v>45412</v>
      </c>
      <c r="AT15" s="420" t="s">
        <v>228</v>
      </c>
    </row>
    <row r="16" spans="2:46" ht="20.100000000000001" customHeight="1" x14ac:dyDescent="0.5">
      <c r="B16" s="24" t="s">
        <v>265</v>
      </c>
      <c r="C16" s="23" t="s">
        <v>75</v>
      </c>
      <c r="D16" s="9" t="s">
        <v>59</v>
      </c>
      <c r="E16" s="25" t="s">
        <v>336</v>
      </c>
      <c r="F16" s="9" t="s">
        <v>228</v>
      </c>
      <c r="G16" s="9" t="s">
        <v>173</v>
      </c>
      <c r="H16" s="9"/>
      <c r="I16" s="9" t="s">
        <v>173</v>
      </c>
      <c r="J16" s="9" t="s">
        <v>173</v>
      </c>
      <c r="K16" s="9"/>
      <c r="L16" s="9" t="s">
        <v>173</v>
      </c>
      <c r="M16" s="9" t="s">
        <v>173</v>
      </c>
      <c r="N16" s="9" t="s">
        <v>288</v>
      </c>
      <c r="O16" s="63" t="s">
        <v>337</v>
      </c>
      <c r="P16" s="63">
        <v>15.24</v>
      </c>
      <c r="Q16" s="244" t="s">
        <v>228</v>
      </c>
      <c r="R16" s="244" t="s">
        <v>228</v>
      </c>
      <c r="S16" s="9" t="s">
        <v>276</v>
      </c>
      <c r="T16" s="20" t="s">
        <v>278</v>
      </c>
      <c r="U16" s="20" t="s">
        <v>278</v>
      </c>
      <c r="V16" s="20" t="s">
        <v>278</v>
      </c>
      <c r="W16" s="20">
        <v>39933</v>
      </c>
      <c r="X16" s="20">
        <v>40255</v>
      </c>
      <c r="Y16" s="41">
        <v>40627</v>
      </c>
      <c r="Z16" s="41">
        <v>41059</v>
      </c>
      <c r="AA16" s="20">
        <v>41445</v>
      </c>
      <c r="AB16" s="20">
        <v>41786</v>
      </c>
      <c r="AC16" s="20">
        <v>42158</v>
      </c>
      <c r="AD16" s="41">
        <v>42474</v>
      </c>
      <c r="AE16" s="274">
        <v>42844</v>
      </c>
      <c r="AF16" s="41" t="s">
        <v>228</v>
      </c>
      <c r="AG16" s="278">
        <v>43207</v>
      </c>
      <c r="AH16" s="41" t="s">
        <v>228</v>
      </c>
      <c r="AI16" s="1324" t="s">
        <v>145</v>
      </c>
      <c r="AJ16" s="1335"/>
      <c r="AK16" s="278">
        <v>43951</v>
      </c>
      <c r="AL16" s="41" t="s">
        <v>228</v>
      </c>
      <c r="AM16" s="437">
        <v>44306</v>
      </c>
      <c r="AN16" s="41" t="s">
        <v>228</v>
      </c>
      <c r="AO16" s="498">
        <v>44672</v>
      </c>
      <c r="AP16" s="420" t="s">
        <v>228</v>
      </c>
      <c r="AQ16" s="498">
        <v>45043</v>
      </c>
      <c r="AR16" s="508" t="s">
        <v>228</v>
      </c>
      <c r="AS16" s="420">
        <v>45412</v>
      </c>
      <c r="AT16" s="420" t="s">
        <v>228</v>
      </c>
    </row>
    <row r="17" spans="2:46" ht="15" hidden="1" customHeight="1" x14ac:dyDescent="0.4">
      <c r="B17" s="58" t="s">
        <v>267</v>
      </c>
      <c r="C17" s="59" t="s">
        <v>76</v>
      </c>
      <c r="D17" s="60" t="s">
        <v>59</v>
      </c>
      <c r="E17" s="61" t="s">
        <v>268</v>
      </c>
      <c r="F17" s="60" t="s">
        <v>71</v>
      </c>
      <c r="G17" s="87"/>
      <c r="H17" s="87"/>
      <c r="I17" s="87"/>
      <c r="J17" s="87"/>
      <c r="K17" s="87"/>
      <c r="L17" s="87"/>
      <c r="M17" s="87"/>
      <c r="N17" s="87" t="s">
        <v>289</v>
      </c>
      <c r="O17" s="62">
        <v>0.69</v>
      </c>
      <c r="P17" s="62"/>
      <c r="Q17" s="62"/>
      <c r="R17" s="62"/>
      <c r="S17" s="60" t="s">
        <v>276</v>
      </c>
      <c r="T17" s="67">
        <v>38972</v>
      </c>
      <c r="U17" s="60" t="s">
        <v>278</v>
      </c>
      <c r="V17" s="67" t="s">
        <v>68</v>
      </c>
      <c r="W17" s="67">
        <v>39933</v>
      </c>
      <c r="X17" s="60"/>
      <c r="Y17" s="40"/>
      <c r="Z17" s="197"/>
      <c r="AA17" s="9"/>
      <c r="AB17" s="20">
        <v>41786</v>
      </c>
      <c r="AC17" s="20">
        <v>42158</v>
      </c>
      <c r="AD17" s="41">
        <v>42474</v>
      </c>
      <c r="AE17" s="274"/>
      <c r="AF17" s="41" t="s">
        <v>228</v>
      </c>
      <c r="AG17" s="278"/>
      <c r="AH17" s="41" t="s">
        <v>228</v>
      </c>
      <c r="AI17" s="1324" t="s">
        <v>145</v>
      </c>
      <c r="AJ17" s="1335"/>
      <c r="AK17" s="278" t="s">
        <v>479</v>
      </c>
      <c r="AL17" s="41" t="s">
        <v>228</v>
      </c>
      <c r="AM17" s="421" t="s">
        <v>502</v>
      </c>
      <c r="AN17" s="420"/>
      <c r="AO17" s="492">
        <v>44672</v>
      </c>
      <c r="AP17" s="420" t="s">
        <v>228</v>
      </c>
      <c r="AQ17" s="492"/>
      <c r="AR17" s="508" t="s">
        <v>228</v>
      </c>
      <c r="AS17" s="420">
        <v>45412</v>
      </c>
      <c r="AT17" s="420" t="s">
        <v>228</v>
      </c>
    </row>
    <row r="18" spans="2:46" ht="19.8" x14ac:dyDescent="0.5">
      <c r="B18" s="24" t="s">
        <v>267</v>
      </c>
      <c r="C18" s="23" t="s">
        <v>76</v>
      </c>
      <c r="D18" s="9" t="s">
        <v>59</v>
      </c>
      <c r="E18" s="25" t="s">
        <v>110</v>
      </c>
      <c r="F18" s="9" t="s">
        <v>228</v>
      </c>
      <c r="G18" s="238" t="s">
        <v>228</v>
      </c>
      <c r="H18" s="264" t="s">
        <v>48</v>
      </c>
      <c r="I18" s="198">
        <v>42474</v>
      </c>
      <c r="J18" s="277">
        <v>43951</v>
      </c>
      <c r="K18" s="600" t="s">
        <v>678</v>
      </c>
      <c r="L18" s="438" t="s">
        <v>679</v>
      </c>
      <c r="M18" s="238" t="s">
        <v>228</v>
      </c>
      <c r="N18" s="9" t="s">
        <v>288</v>
      </c>
      <c r="O18" s="33">
        <v>0.82</v>
      </c>
      <c r="P18" s="33">
        <v>1.71</v>
      </c>
      <c r="Q18" s="33"/>
      <c r="R18" s="33" t="s">
        <v>278</v>
      </c>
      <c r="S18" s="9" t="s">
        <v>276</v>
      </c>
      <c r="T18" s="20" t="s">
        <v>278</v>
      </c>
      <c r="U18" s="9" t="s">
        <v>278</v>
      </c>
      <c r="V18" s="9" t="s">
        <v>278</v>
      </c>
      <c r="W18" s="9" t="s">
        <v>278</v>
      </c>
      <c r="X18" s="20" t="s">
        <v>130</v>
      </c>
      <c r="Y18" s="41">
        <v>40627</v>
      </c>
      <c r="Z18" s="41">
        <v>41059</v>
      </c>
      <c r="AA18" s="20">
        <v>41445</v>
      </c>
      <c r="AB18" s="20">
        <v>41786</v>
      </c>
      <c r="AC18" s="20">
        <v>42158</v>
      </c>
      <c r="AD18" s="41">
        <v>42474</v>
      </c>
      <c r="AE18" s="274">
        <v>42845</v>
      </c>
      <c r="AF18" s="41" t="s">
        <v>228</v>
      </c>
      <c r="AG18" s="278">
        <v>43208</v>
      </c>
      <c r="AH18" s="41" t="s">
        <v>228</v>
      </c>
      <c r="AI18" s="1324" t="s">
        <v>145</v>
      </c>
      <c r="AJ18" s="1335"/>
      <c r="AK18" s="278">
        <v>43951</v>
      </c>
      <c r="AL18" s="41" t="s">
        <v>228</v>
      </c>
      <c r="AM18" s="278"/>
      <c r="AN18" s="420"/>
      <c r="AO18" s="278">
        <v>44677</v>
      </c>
      <c r="AP18" s="420" t="s">
        <v>228</v>
      </c>
      <c r="AQ18" s="526">
        <v>45043</v>
      </c>
      <c r="AR18" s="508" t="s">
        <v>228</v>
      </c>
      <c r="AS18" s="420">
        <v>45412</v>
      </c>
      <c r="AT18" s="420" t="s">
        <v>228</v>
      </c>
    </row>
    <row r="19" spans="2:46" ht="15" hidden="1" customHeight="1" x14ac:dyDescent="0.5">
      <c r="B19" s="58" t="s">
        <v>269</v>
      </c>
      <c r="C19" s="59" t="s">
        <v>77</v>
      </c>
      <c r="D19" s="60" t="s">
        <v>59</v>
      </c>
      <c r="E19" s="61" t="s">
        <v>270</v>
      </c>
      <c r="F19" s="60" t="s">
        <v>71</v>
      </c>
      <c r="G19" s="239"/>
      <c r="H19" s="264" t="s">
        <v>19</v>
      </c>
      <c r="I19" s="20">
        <v>42474</v>
      </c>
      <c r="J19" s="277">
        <v>43951</v>
      </c>
      <c r="K19" s="600" t="s">
        <v>678</v>
      </c>
      <c r="L19" s="438" t="s">
        <v>679</v>
      </c>
      <c r="M19" s="238" t="s">
        <v>228</v>
      </c>
      <c r="N19" s="60" t="s">
        <v>289</v>
      </c>
      <c r="O19" s="62">
        <v>1.1599999999999999</v>
      </c>
      <c r="P19" s="62"/>
      <c r="Q19" s="62"/>
      <c r="R19" s="62"/>
      <c r="S19" s="60" t="s">
        <v>276</v>
      </c>
      <c r="T19" s="67">
        <v>38972</v>
      </c>
      <c r="U19" s="60" t="s">
        <v>278</v>
      </c>
      <c r="V19" s="67" t="s">
        <v>68</v>
      </c>
      <c r="W19" s="68" t="s">
        <v>277</v>
      </c>
      <c r="X19" s="9"/>
      <c r="Y19" s="40"/>
      <c r="Z19" s="197"/>
      <c r="AA19" s="9"/>
      <c r="AB19" s="20">
        <v>41786</v>
      </c>
      <c r="AC19" s="20">
        <v>42158</v>
      </c>
      <c r="AD19" s="41">
        <v>42474</v>
      </c>
      <c r="AE19" s="274"/>
      <c r="AF19" s="41" t="s">
        <v>228</v>
      </c>
      <c r="AG19" s="278"/>
      <c r="AH19" s="41" t="s">
        <v>228</v>
      </c>
      <c r="AI19" s="1324" t="s">
        <v>145</v>
      </c>
      <c r="AJ19" s="1335"/>
      <c r="AK19" s="278">
        <v>43951</v>
      </c>
      <c r="AL19" s="41" t="s">
        <v>228</v>
      </c>
      <c r="AM19" s="278"/>
      <c r="AN19" s="420"/>
      <c r="AO19" s="278">
        <v>44672</v>
      </c>
      <c r="AP19" s="420" t="s">
        <v>228</v>
      </c>
      <c r="AQ19" s="421"/>
      <c r="AR19" s="508" t="s">
        <v>228</v>
      </c>
      <c r="AS19" s="420">
        <v>45412</v>
      </c>
      <c r="AT19" s="420" t="s">
        <v>228</v>
      </c>
    </row>
    <row r="20" spans="2:46" ht="19.8" x14ac:dyDescent="0.5">
      <c r="B20" s="24" t="s">
        <v>269</v>
      </c>
      <c r="C20" s="23" t="s">
        <v>77</v>
      </c>
      <c r="D20" s="9" t="s">
        <v>59</v>
      </c>
      <c r="E20" s="25" t="s">
        <v>621</v>
      </c>
      <c r="F20" s="9" t="s">
        <v>228</v>
      </c>
      <c r="G20" s="238" t="s">
        <v>228</v>
      </c>
      <c r="H20" s="264" t="s">
        <v>48</v>
      </c>
      <c r="I20" s="198">
        <v>42474</v>
      </c>
      <c r="J20" s="277">
        <v>43951</v>
      </c>
      <c r="K20" s="600" t="s">
        <v>678</v>
      </c>
      <c r="L20" s="438" t="s">
        <v>679</v>
      </c>
      <c r="M20" s="238" t="s">
        <v>228</v>
      </c>
      <c r="N20" s="9" t="s">
        <v>288</v>
      </c>
      <c r="O20" s="63" t="s">
        <v>339</v>
      </c>
      <c r="P20" s="63">
        <v>1.82</v>
      </c>
      <c r="Q20" s="63"/>
      <c r="R20" s="33" t="s">
        <v>278</v>
      </c>
      <c r="S20" s="9" t="s">
        <v>276</v>
      </c>
      <c r="T20" s="20" t="s">
        <v>278</v>
      </c>
      <c r="U20" s="20" t="s">
        <v>278</v>
      </c>
      <c r="V20" s="20" t="s">
        <v>278</v>
      </c>
      <c r="W20" s="20">
        <v>39933</v>
      </c>
      <c r="X20" s="20">
        <v>40255</v>
      </c>
      <c r="Y20" s="41">
        <v>40627</v>
      </c>
      <c r="Z20" s="41">
        <v>41059</v>
      </c>
      <c r="AA20" s="20">
        <v>41445</v>
      </c>
      <c r="AB20" s="20">
        <v>41786</v>
      </c>
      <c r="AC20" s="20">
        <v>42158</v>
      </c>
      <c r="AD20" s="41">
        <v>42474</v>
      </c>
      <c r="AE20" s="274">
        <v>42845</v>
      </c>
      <c r="AF20" s="41" t="s">
        <v>228</v>
      </c>
      <c r="AG20" s="278">
        <v>43208</v>
      </c>
      <c r="AH20" s="41" t="s">
        <v>228</v>
      </c>
      <c r="AI20" s="1324" t="s">
        <v>145</v>
      </c>
      <c r="AJ20" s="1335"/>
      <c r="AK20" s="278">
        <v>43951</v>
      </c>
      <c r="AL20" s="41" t="s">
        <v>228</v>
      </c>
      <c r="AM20" s="278"/>
      <c r="AN20" s="420"/>
      <c r="AO20" s="278">
        <v>44672</v>
      </c>
      <c r="AP20" s="420" t="s">
        <v>228</v>
      </c>
      <c r="AQ20" s="526">
        <v>45043</v>
      </c>
      <c r="AR20" s="508" t="s">
        <v>228</v>
      </c>
      <c r="AS20" s="420">
        <v>45412</v>
      </c>
      <c r="AT20" s="420" t="s">
        <v>228</v>
      </c>
    </row>
    <row r="21" spans="2:46" ht="15" hidden="1" customHeight="1" x14ac:dyDescent="0.4">
      <c r="B21" s="58" t="s">
        <v>271</v>
      </c>
      <c r="C21" s="60" t="s">
        <v>278</v>
      </c>
      <c r="D21" s="60" t="s">
        <v>61</v>
      </c>
      <c r="E21" s="61" t="s">
        <v>272</v>
      </c>
      <c r="F21" s="60" t="s">
        <v>229</v>
      </c>
      <c r="G21" s="60"/>
      <c r="H21" s="60"/>
      <c r="I21" s="60"/>
      <c r="J21" s="60"/>
      <c r="K21" s="60"/>
      <c r="L21" s="60"/>
      <c r="M21" s="60"/>
      <c r="N21" s="60" t="s">
        <v>278</v>
      </c>
      <c r="O21" s="60" t="s">
        <v>278</v>
      </c>
      <c r="P21" s="60"/>
      <c r="Q21" s="60"/>
      <c r="R21" s="33" t="s">
        <v>278</v>
      </c>
      <c r="S21" s="60" t="s">
        <v>276</v>
      </c>
      <c r="T21" s="67">
        <v>38972</v>
      </c>
      <c r="U21" s="60" t="s">
        <v>278</v>
      </c>
      <c r="V21" s="68" t="s">
        <v>277</v>
      </c>
      <c r="W21" s="68" t="s">
        <v>277</v>
      </c>
      <c r="X21" s="9"/>
      <c r="Y21" s="40"/>
      <c r="Z21" s="197"/>
      <c r="AA21" s="9"/>
      <c r="AB21" s="20">
        <v>41786</v>
      </c>
      <c r="AC21" s="20">
        <v>42158</v>
      </c>
      <c r="AD21" s="41">
        <v>42474</v>
      </c>
      <c r="AE21" s="274"/>
      <c r="AF21" s="41" t="s">
        <v>228</v>
      </c>
      <c r="AG21" s="278"/>
      <c r="AH21" s="41" t="s">
        <v>228</v>
      </c>
      <c r="AI21" s="1324" t="s">
        <v>145</v>
      </c>
      <c r="AJ21" s="1335"/>
      <c r="AK21" s="278">
        <v>43951</v>
      </c>
      <c r="AL21" s="41" t="s">
        <v>228</v>
      </c>
      <c r="AM21" s="278"/>
      <c r="AN21" s="420"/>
      <c r="AO21" s="278">
        <v>44672</v>
      </c>
      <c r="AP21" s="420" t="s">
        <v>228</v>
      </c>
      <c r="AQ21" s="421"/>
      <c r="AR21" s="508"/>
      <c r="AS21" s="420">
        <v>45412</v>
      </c>
      <c r="AT21" s="420" t="s">
        <v>228</v>
      </c>
    </row>
    <row r="22" spans="2:46" ht="20.25" customHeight="1" x14ac:dyDescent="0.4">
      <c r="B22" s="531" t="s">
        <v>271</v>
      </c>
      <c r="C22" s="534" t="s">
        <v>78</v>
      </c>
      <c r="D22" s="533" t="s">
        <v>59</v>
      </c>
      <c r="E22" s="503" t="s">
        <v>67</v>
      </c>
      <c r="F22" s="9" t="s">
        <v>228</v>
      </c>
      <c r="G22" s="9" t="s">
        <v>173</v>
      </c>
      <c r="H22" s="9"/>
      <c r="I22" s="9" t="s">
        <v>173</v>
      </c>
      <c r="J22" s="9" t="s">
        <v>173</v>
      </c>
      <c r="K22" s="9"/>
      <c r="L22" s="9" t="s">
        <v>173</v>
      </c>
      <c r="M22" s="9" t="s">
        <v>173</v>
      </c>
      <c r="N22" s="9" t="s">
        <v>288</v>
      </c>
      <c r="O22" s="38">
        <v>1.65</v>
      </c>
      <c r="P22" s="38">
        <v>3.45</v>
      </c>
      <c r="Q22" s="38"/>
      <c r="R22" s="33" t="s">
        <v>278</v>
      </c>
      <c r="S22" s="9" t="s">
        <v>276</v>
      </c>
      <c r="T22" s="20" t="s">
        <v>278</v>
      </c>
      <c r="U22" s="20" t="s">
        <v>278</v>
      </c>
      <c r="V22" s="20">
        <v>39521</v>
      </c>
      <c r="W22" s="20">
        <v>39933</v>
      </c>
      <c r="X22" s="20">
        <v>40255</v>
      </c>
      <c r="Y22" s="41">
        <v>40627</v>
      </c>
      <c r="Z22" s="41">
        <v>41059</v>
      </c>
      <c r="AA22" s="20">
        <v>41445</v>
      </c>
      <c r="AB22" s="20">
        <v>41786</v>
      </c>
      <c r="AC22" s="20">
        <v>42158</v>
      </c>
      <c r="AD22" s="41">
        <v>42474</v>
      </c>
      <c r="AE22" s="274">
        <v>42845</v>
      </c>
      <c r="AF22" s="41" t="s">
        <v>228</v>
      </c>
      <c r="AG22" s="278">
        <v>43207</v>
      </c>
      <c r="AH22" s="41" t="s">
        <v>228</v>
      </c>
      <c r="AI22" s="1324" t="s">
        <v>145</v>
      </c>
      <c r="AJ22" s="1335"/>
      <c r="AK22" s="278">
        <v>43951</v>
      </c>
      <c r="AL22" s="41" t="s">
        <v>228</v>
      </c>
      <c r="AM22" s="278"/>
      <c r="AN22" s="420"/>
      <c r="AO22" s="278">
        <v>44672</v>
      </c>
      <c r="AP22" s="420" t="s">
        <v>228</v>
      </c>
      <c r="AQ22" s="492" t="s">
        <v>278</v>
      </c>
      <c r="AR22" s="508" t="s">
        <v>278</v>
      </c>
      <c r="AS22" s="492" t="s">
        <v>278</v>
      </c>
      <c r="AT22" s="508" t="s">
        <v>278</v>
      </c>
    </row>
    <row r="23" spans="2:46" ht="15" hidden="1" customHeight="1" x14ac:dyDescent="0.4">
      <c r="B23" s="58" t="s">
        <v>273</v>
      </c>
      <c r="C23" s="147" t="s">
        <v>79</v>
      </c>
      <c r="D23" s="60" t="s">
        <v>59</v>
      </c>
      <c r="E23" s="148" t="s">
        <v>274</v>
      </c>
      <c r="F23" s="86" t="s">
        <v>71</v>
      </c>
      <c r="G23" s="232"/>
      <c r="H23" s="232"/>
      <c r="I23" s="9" t="s">
        <v>173</v>
      </c>
      <c r="J23" s="9" t="s">
        <v>173</v>
      </c>
      <c r="K23" s="9"/>
      <c r="L23" s="9" t="s">
        <v>173</v>
      </c>
      <c r="M23" s="9" t="s">
        <v>173</v>
      </c>
      <c r="N23" s="87" t="s">
        <v>289</v>
      </c>
      <c r="O23" s="149">
        <v>0.69</v>
      </c>
      <c r="P23" s="149"/>
      <c r="Q23" s="149"/>
      <c r="R23" s="33" t="s">
        <v>278</v>
      </c>
      <c r="S23" s="86" t="s">
        <v>276</v>
      </c>
      <c r="T23" s="150">
        <v>38972</v>
      </c>
      <c r="U23" s="60" t="s">
        <v>278</v>
      </c>
      <c r="V23" s="150" t="s">
        <v>68</v>
      </c>
      <c r="W23" s="150">
        <v>39933</v>
      </c>
      <c r="X23" s="67">
        <v>40256</v>
      </c>
      <c r="Y23" s="150">
        <v>40627</v>
      </c>
      <c r="Z23" s="197"/>
      <c r="AA23" s="9"/>
      <c r="AB23" s="20">
        <v>41786</v>
      </c>
      <c r="AC23" s="20">
        <v>42158</v>
      </c>
      <c r="AD23" s="41">
        <v>42474</v>
      </c>
      <c r="AE23" s="274"/>
      <c r="AF23" s="41" t="s">
        <v>228</v>
      </c>
      <c r="AG23" s="278"/>
      <c r="AH23" s="41" t="s">
        <v>228</v>
      </c>
      <c r="AI23" s="1324" t="s">
        <v>145</v>
      </c>
      <c r="AJ23" s="1335"/>
      <c r="AK23" s="278">
        <v>43951</v>
      </c>
      <c r="AL23" s="41" t="s">
        <v>228</v>
      </c>
      <c r="AM23" s="278" t="s">
        <v>460</v>
      </c>
      <c r="AN23" s="420"/>
      <c r="AO23" s="492">
        <v>44672</v>
      </c>
      <c r="AP23" s="420" t="s">
        <v>228</v>
      </c>
      <c r="AQ23" s="421"/>
      <c r="AR23" s="508"/>
      <c r="AS23" s="420">
        <v>45412</v>
      </c>
      <c r="AT23" s="420" t="s">
        <v>228</v>
      </c>
    </row>
    <row r="24" spans="2:46" ht="21" customHeight="1" x14ac:dyDescent="0.4">
      <c r="B24" s="24" t="s">
        <v>271</v>
      </c>
      <c r="C24" s="23" t="s">
        <v>78</v>
      </c>
      <c r="D24" s="9" t="s">
        <v>611</v>
      </c>
      <c r="E24" s="503" t="s">
        <v>612</v>
      </c>
      <c r="F24" s="40" t="s">
        <v>228</v>
      </c>
      <c r="G24" s="40" t="s">
        <v>173</v>
      </c>
      <c r="H24" s="232"/>
      <c r="I24" s="9" t="s">
        <v>173</v>
      </c>
      <c r="J24" s="9" t="s">
        <v>173</v>
      </c>
      <c r="K24" s="9"/>
      <c r="L24" s="9" t="s">
        <v>173</v>
      </c>
      <c r="M24" s="9" t="s">
        <v>173</v>
      </c>
      <c r="N24" s="446" t="s">
        <v>523</v>
      </c>
      <c r="O24" s="38">
        <v>1.1000000000000001</v>
      </c>
      <c r="P24" s="38">
        <v>0.74</v>
      </c>
      <c r="Q24" s="149"/>
      <c r="R24" s="33" t="s">
        <v>278</v>
      </c>
      <c r="S24" s="9" t="s">
        <v>276</v>
      </c>
      <c r="T24" s="20" t="s">
        <v>278</v>
      </c>
      <c r="U24" s="20" t="s">
        <v>278</v>
      </c>
      <c r="V24" s="20" t="s">
        <v>278</v>
      </c>
      <c r="W24" s="20" t="s">
        <v>278</v>
      </c>
      <c r="X24" s="20" t="s">
        <v>278</v>
      </c>
      <c r="Y24" s="20" t="s">
        <v>278</v>
      </c>
      <c r="Z24" s="20" t="s">
        <v>278</v>
      </c>
      <c r="AA24" s="20" t="s">
        <v>278</v>
      </c>
      <c r="AB24" s="20" t="s">
        <v>278</v>
      </c>
      <c r="AC24" s="20" t="s">
        <v>278</v>
      </c>
      <c r="AD24" s="41" t="s">
        <v>278</v>
      </c>
      <c r="AE24" s="274" t="s">
        <v>278</v>
      </c>
      <c r="AF24" s="41" t="s">
        <v>278</v>
      </c>
      <c r="AG24" s="278" t="s">
        <v>278</v>
      </c>
      <c r="AH24" s="41" t="s">
        <v>278</v>
      </c>
      <c r="AI24" s="1324" t="s">
        <v>145</v>
      </c>
      <c r="AJ24" s="1335"/>
      <c r="AK24" s="278" t="s">
        <v>278</v>
      </c>
      <c r="AL24" s="41" t="s">
        <v>278</v>
      </c>
      <c r="AM24" s="278" t="s">
        <v>278</v>
      </c>
      <c r="AN24" s="420" t="s">
        <v>278</v>
      </c>
      <c r="AO24" s="498">
        <v>44778</v>
      </c>
      <c r="AP24" s="420" t="s">
        <v>228</v>
      </c>
      <c r="AQ24" s="437">
        <v>45043</v>
      </c>
      <c r="AR24" s="508" t="s">
        <v>228</v>
      </c>
      <c r="AS24" s="420">
        <v>45412</v>
      </c>
      <c r="AT24" s="420" t="s">
        <v>228</v>
      </c>
    </row>
    <row r="25" spans="2:46" ht="20.25" customHeight="1" x14ac:dyDescent="0.4">
      <c r="B25" s="531" t="s">
        <v>273</v>
      </c>
      <c r="C25" s="535" t="s">
        <v>79</v>
      </c>
      <c r="D25" s="533" t="s">
        <v>59</v>
      </c>
      <c r="E25" s="441" t="s">
        <v>187</v>
      </c>
      <c r="F25" s="40" t="s">
        <v>228</v>
      </c>
      <c r="G25" s="40" t="s">
        <v>173</v>
      </c>
      <c r="H25" s="40"/>
      <c r="I25" s="9" t="s">
        <v>173</v>
      </c>
      <c r="J25" s="9" t="s">
        <v>173</v>
      </c>
      <c r="K25" s="9"/>
      <c r="L25" s="9" t="s">
        <v>173</v>
      </c>
      <c r="M25" s="9" t="s">
        <v>173</v>
      </c>
      <c r="N25" s="9" t="s">
        <v>288</v>
      </c>
      <c r="O25" s="38">
        <v>0.82</v>
      </c>
      <c r="P25" s="38">
        <v>1.71</v>
      </c>
      <c r="Q25" s="38"/>
      <c r="R25" s="33" t="s">
        <v>278</v>
      </c>
      <c r="S25" s="40" t="s">
        <v>276</v>
      </c>
      <c r="T25" s="20" t="s">
        <v>278</v>
      </c>
      <c r="U25" s="20" t="s">
        <v>278</v>
      </c>
      <c r="V25" s="20" t="s">
        <v>278</v>
      </c>
      <c r="W25" s="20" t="s">
        <v>278</v>
      </c>
      <c r="X25" s="20" t="s">
        <v>278</v>
      </c>
      <c r="Y25" s="41" t="s">
        <v>188</v>
      </c>
      <c r="Z25" s="41">
        <v>41059</v>
      </c>
      <c r="AA25" s="20">
        <v>41445</v>
      </c>
      <c r="AB25" s="20">
        <v>41786</v>
      </c>
      <c r="AC25" s="20">
        <v>42158</v>
      </c>
      <c r="AD25" s="41">
        <v>42474</v>
      </c>
      <c r="AE25" s="274">
        <v>42845</v>
      </c>
      <c r="AF25" s="41" t="s">
        <v>228</v>
      </c>
      <c r="AG25" s="278">
        <v>43208</v>
      </c>
      <c r="AH25" s="41" t="s">
        <v>228</v>
      </c>
      <c r="AI25" s="1324" t="s">
        <v>145</v>
      </c>
      <c r="AJ25" s="1335"/>
      <c r="AK25" s="278">
        <v>43951</v>
      </c>
      <c r="AL25" s="41" t="s">
        <v>228</v>
      </c>
      <c r="AM25" s="278"/>
      <c r="AN25" s="420"/>
      <c r="AO25" s="492" t="s">
        <v>278</v>
      </c>
      <c r="AP25" s="420" t="s">
        <v>278</v>
      </c>
      <c r="AQ25" s="492" t="s">
        <v>278</v>
      </c>
      <c r="AR25" s="508" t="s">
        <v>278</v>
      </c>
      <c r="AS25" s="492" t="s">
        <v>278</v>
      </c>
      <c r="AT25" s="508" t="s">
        <v>278</v>
      </c>
    </row>
    <row r="26" spans="2:46" ht="15" hidden="1" customHeight="1" x14ac:dyDescent="0.4">
      <c r="B26" s="1336" t="s">
        <v>275</v>
      </c>
      <c r="C26" s="1338" t="s">
        <v>80</v>
      </c>
      <c r="D26" s="1316" t="s">
        <v>59</v>
      </c>
      <c r="E26" s="36" t="s">
        <v>290</v>
      </c>
      <c r="F26" s="1317" t="s">
        <v>71</v>
      </c>
      <c r="G26" s="439"/>
      <c r="H26" s="439"/>
      <c r="I26" s="34" t="s">
        <v>173</v>
      </c>
      <c r="J26" s="34" t="s">
        <v>173</v>
      </c>
      <c r="K26" s="34"/>
      <c r="L26" s="34" t="s">
        <v>173</v>
      </c>
      <c r="M26" s="34" t="s">
        <v>173</v>
      </c>
      <c r="N26" s="439" t="s">
        <v>289</v>
      </c>
      <c r="O26" s="37">
        <v>1.03</v>
      </c>
      <c r="P26" s="37"/>
      <c r="Q26" s="37"/>
      <c r="R26" s="37"/>
      <c r="S26" s="1317" t="s">
        <v>276</v>
      </c>
      <c r="T26" s="1323">
        <v>38972</v>
      </c>
      <c r="U26" s="1317" t="s">
        <v>278</v>
      </c>
      <c r="V26" s="1323" t="s">
        <v>68</v>
      </c>
      <c r="W26" s="1323">
        <v>39933</v>
      </c>
      <c r="X26" s="1323">
        <v>40256</v>
      </c>
      <c r="Y26" s="1333" t="s">
        <v>185</v>
      </c>
      <c r="Z26" s="1326"/>
      <c r="AA26" s="34"/>
      <c r="AB26" s="48">
        <v>41786</v>
      </c>
      <c r="AC26" s="48">
        <v>42158</v>
      </c>
      <c r="AD26" s="49">
        <v>42474</v>
      </c>
      <c r="AE26" s="442"/>
      <c r="AF26" s="49" t="s">
        <v>228</v>
      </c>
      <c r="AG26" s="443"/>
      <c r="AH26" s="49" t="s">
        <v>228</v>
      </c>
      <c r="AI26" s="1346" t="s">
        <v>145</v>
      </c>
      <c r="AJ26" s="1347"/>
      <c r="AK26" s="443">
        <v>43951</v>
      </c>
      <c r="AL26" s="49" t="s">
        <v>228</v>
      </c>
      <c r="AM26" s="444" t="s">
        <v>502</v>
      </c>
      <c r="AN26" s="445"/>
      <c r="AO26" s="492">
        <v>44672</v>
      </c>
      <c r="AP26" s="445" t="s">
        <v>228</v>
      </c>
      <c r="AQ26" s="492"/>
      <c r="AR26" s="527"/>
      <c r="AS26" s="420">
        <v>45412</v>
      </c>
      <c r="AT26" s="420" t="s">
        <v>228</v>
      </c>
    </row>
    <row r="27" spans="2:46" ht="15" hidden="1" customHeight="1" x14ac:dyDescent="0.4">
      <c r="B27" s="1337"/>
      <c r="C27" s="1086"/>
      <c r="D27" s="1086"/>
      <c r="E27" s="36" t="s">
        <v>291</v>
      </c>
      <c r="F27" s="1086"/>
      <c r="G27" s="42"/>
      <c r="H27" s="42"/>
      <c r="I27" s="9" t="s">
        <v>173</v>
      </c>
      <c r="J27" s="9" t="s">
        <v>173</v>
      </c>
      <c r="K27" s="9"/>
      <c r="L27" s="9" t="s">
        <v>173</v>
      </c>
      <c r="M27" s="9" t="s">
        <v>173</v>
      </c>
      <c r="N27" s="42" t="s">
        <v>289</v>
      </c>
      <c r="O27" s="39">
        <v>1.03</v>
      </c>
      <c r="P27" s="39"/>
      <c r="Q27" s="39"/>
      <c r="R27" s="39"/>
      <c r="S27" s="1086"/>
      <c r="T27" s="1086"/>
      <c r="U27" s="1086"/>
      <c r="V27" s="1086"/>
      <c r="W27" s="1086"/>
      <c r="X27" s="1086"/>
      <c r="Y27" s="1334"/>
      <c r="Z27" s="1327"/>
      <c r="AA27" s="9"/>
      <c r="AB27" s="20">
        <v>41786</v>
      </c>
      <c r="AC27" s="20">
        <v>42158</v>
      </c>
      <c r="AD27" s="41">
        <v>42474</v>
      </c>
      <c r="AE27" s="274"/>
      <c r="AF27" s="41" t="s">
        <v>228</v>
      </c>
      <c r="AG27" s="278"/>
      <c r="AH27" s="41" t="s">
        <v>228</v>
      </c>
      <c r="AI27" s="1324" t="s">
        <v>145</v>
      </c>
      <c r="AJ27" s="1335"/>
      <c r="AK27" s="278">
        <v>43951</v>
      </c>
      <c r="AL27" s="41" t="s">
        <v>228</v>
      </c>
      <c r="AM27" s="421" t="s">
        <v>502</v>
      </c>
      <c r="AN27" s="420"/>
      <c r="AO27" s="492">
        <v>44672</v>
      </c>
      <c r="AP27" s="420" t="s">
        <v>228</v>
      </c>
      <c r="AQ27" s="492"/>
      <c r="AR27" s="508"/>
      <c r="AS27" s="420">
        <v>45412</v>
      </c>
      <c r="AT27" s="420" t="s">
        <v>228</v>
      </c>
    </row>
    <row r="28" spans="2:46" ht="20.25" customHeight="1" x14ac:dyDescent="0.4">
      <c r="B28" s="24" t="s">
        <v>273</v>
      </c>
      <c r="C28" s="26" t="s">
        <v>79</v>
      </c>
      <c r="D28" s="9" t="s">
        <v>59</v>
      </c>
      <c r="E28" s="447" t="s">
        <v>509</v>
      </c>
      <c r="F28" s="40" t="s">
        <v>228</v>
      </c>
      <c r="G28" s="40" t="s">
        <v>173</v>
      </c>
      <c r="H28" s="42"/>
      <c r="I28" s="9" t="s">
        <v>173</v>
      </c>
      <c r="J28" s="9" t="s">
        <v>173</v>
      </c>
      <c r="K28" s="9"/>
      <c r="L28" s="9" t="s">
        <v>173</v>
      </c>
      <c r="M28" s="9" t="s">
        <v>173</v>
      </c>
      <c r="N28" s="446" t="s">
        <v>523</v>
      </c>
      <c r="O28" s="39">
        <v>0.53</v>
      </c>
      <c r="P28" s="39">
        <v>1.1100000000000001</v>
      </c>
      <c r="Q28" s="39"/>
      <c r="R28" s="33" t="s">
        <v>278</v>
      </c>
      <c r="S28" s="40" t="s">
        <v>276</v>
      </c>
      <c r="T28" s="20" t="s">
        <v>278</v>
      </c>
      <c r="U28" s="20" t="s">
        <v>278</v>
      </c>
      <c r="V28" s="20" t="s">
        <v>278</v>
      </c>
      <c r="W28" s="20" t="s">
        <v>278</v>
      </c>
      <c r="X28" s="20" t="s">
        <v>278</v>
      </c>
      <c r="Y28" s="20" t="s">
        <v>278</v>
      </c>
      <c r="Z28" s="20" t="s">
        <v>278</v>
      </c>
      <c r="AA28" s="20" t="s">
        <v>278</v>
      </c>
      <c r="AB28" s="20" t="s">
        <v>278</v>
      </c>
      <c r="AC28" s="20" t="s">
        <v>278</v>
      </c>
      <c r="AD28" s="41" t="s">
        <v>278</v>
      </c>
      <c r="AE28" s="274" t="s">
        <v>278</v>
      </c>
      <c r="AF28" s="41" t="s">
        <v>278</v>
      </c>
      <c r="AG28" s="274" t="s">
        <v>278</v>
      </c>
      <c r="AH28" s="41" t="s">
        <v>278</v>
      </c>
      <c r="AI28" s="1324" t="s">
        <v>145</v>
      </c>
      <c r="AJ28" s="1335"/>
      <c r="AK28" s="274" t="s">
        <v>278</v>
      </c>
      <c r="AL28" s="41" t="s">
        <v>278</v>
      </c>
      <c r="AM28" s="278"/>
      <c r="AN28" s="420"/>
      <c r="AO28" s="278">
        <v>44672</v>
      </c>
      <c r="AP28" s="420" t="s">
        <v>228</v>
      </c>
      <c r="AQ28" s="526">
        <v>45043</v>
      </c>
      <c r="AR28" s="508" t="s">
        <v>228</v>
      </c>
      <c r="AS28" s="420">
        <v>45412</v>
      </c>
      <c r="AT28" s="420" t="s">
        <v>228</v>
      </c>
    </row>
    <row r="29" spans="2:46" s="5" customFormat="1" ht="28.5" customHeight="1" x14ac:dyDescent="0.5">
      <c r="B29" s="64" t="s">
        <v>189</v>
      </c>
      <c r="C29" s="65" t="s">
        <v>340</v>
      </c>
      <c r="D29" s="7" t="s">
        <v>59</v>
      </c>
      <c r="E29" s="7" t="s">
        <v>341</v>
      </c>
      <c r="F29" s="7" t="s">
        <v>228</v>
      </c>
      <c r="G29" s="7" t="s">
        <v>173</v>
      </c>
      <c r="H29" s="7"/>
      <c r="I29" s="9" t="s">
        <v>173</v>
      </c>
      <c r="J29" s="9" t="s">
        <v>173</v>
      </c>
      <c r="K29" s="9"/>
      <c r="L29" s="9" t="s">
        <v>173</v>
      </c>
      <c r="M29" s="9" t="s">
        <v>173</v>
      </c>
      <c r="N29" s="7" t="s">
        <v>288</v>
      </c>
      <c r="O29" s="66" t="s">
        <v>335</v>
      </c>
      <c r="P29" s="66">
        <v>8.35</v>
      </c>
      <c r="Q29" s="244" t="s">
        <v>228</v>
      </c>
      <c r="R29" s="244" t="s">
        <v>228</v>
      </c>
      <c r="S29" s="7" t="s">
        <v>276</v>
      </c>
      <c r="T29" s="7" t="s">
        <v>278</v>
      </c>
      <c r="U29" s="7" t="s">
        <v>278</v>
      </c>
      <c r="V29" s="7" t="s">
        <v>278</v>
      </c>
      <c r="W29" s="15">
        <v>39933</v>
      </c>
      <c r="X29" s="15">
        <v>40255</v>
      </c>
      <c r="Y29" s="137">
        <v>40627</v>
      </c>
      <c r="Z29" s="137">
        <v>41059</v>
      </c>
      <c r="AA29" s="15">
        <v>41445</v>
      </c>
      <c r="AB29" s="15">
        <v>41786</v>
      </c>
      <c r="AC29" s="20">
        <v>42158</v>
      </c>
      <c r="AD29" s="41">
        <v>42474</v>
      </c>
      <c r="AE29" s="274">
        <v>42844</v>
      </c>
      <c r="AF29" s="41" t="s">
        <v>228</v>
      </c>
      <c r="AG29" s="278">
        <v>43207</v>
      </c>
      <c r="AH29" s="41" t="s">
        <v>228</v>
      </c>
      <c r="AI29" s="1324" t="s">
        <v>145</v>
      </c>
      <c r="AJ29" s="1335"/>
      <c r="AK29" s="278">
        <v>43951</v>
      </c>
      <c r="AL29" s="41" t="s">
        <v>228</v>
      </c>
      <c r="AM29" s="437">
        <v>44306</v>
      </c>
      <c r="AN29" s="41" t="s">
        <v>228</v>
      </c>
      <c r="AO29" s="498">
        <v>44672</v>
      </c>
      <c r="AP29" s="420" t="s">
        <v>228</v>
      </c>
      <c r="AQ29" s="498">
        <v>45043</v>
      </c>
      <c r="AR29" s="508" t="s">
        <v>228</v>
      </c>
      <c r="AS29" s="420">
        <v>45412</v>
      </c>
      <c r="AT29" s="420" t="s">
        <v>228</v>
      </c>
    </row>
    <row r="30" spans="2:46" s="5" customFormat="1" ht="28.5" hidden="1" customHeight="1" x14ac:dyDescent="0.5">
      <c r="B30" s="64" t="s">
        <v>262</v>
      </c>
      <c r="C30" s="65" t="s">
        <v>192</v>
      </c>
      <c r="D30" s="7" t="s">
        <v>263</v>
      </c>
      <c r="E30" s="7">
        <v>2100000164</v>
      </c>
      <c r="F30" s="7" t="s">
        <v>193</v>
      </c>
      <c r="G30" s="7" t="s">
        <v>173</v>
      </c>
      <c r="H30" s="7"/>
      <c r="I30" s="9" t="s">
        <v>173</v>
      </c>
      <c r="J30" s="9" t="s">
        <v>173</v>
      </c>
      <c r="K30" s="9"/>
      <c r="L30" s="9" t="s">
        <v>173</v>
      </c>
      <c r="M30" s="9" t="s">
        <v>173</v>
      </c>
      <c r="N30" s="7" t="s">
        <v>259</v>
      </c>
      <c r="O30" s="66">
        <v>4.72</v>
      </c>
      <c r="P30" s="66">
        <v>9.85</v>
      </c>
      <c r="Q30" s="244" t="s">
        <v>228</v>
      </c>
      <c r="R30" s="244" t="s">
        <v>228</v>
      </c>
      <c r="S30" s="69" t="s">
        <v>261</v>
      </c>
      <c r="T30" s="7" t="s">
        <v>278</v>
      </c>
      <c r="U30" s="7" t="s">
        <v>278</v>
      </c>
      <c r="V30" s="7" t="s">
        <v>278</v>
      </c>
      <c r="W30" s="7" t="s">
        <v>278</v>
      </c>
      <c r="X30" s="15">
        <v>40318</v>
      </c>
      <c r="Y30" s="137">
        <v>40627</v>
      </c>
      <c r="Z30" s="137">
        <v>41059</v>
      </c>
      <c r="AA30" s="15">
        <v>41445</v>
      </c>
      <c r="AB30" s="15">
        <v>41786</v>
      </c>
      <c r="AC30" s="20">
        <v>42158</v>
      </c>
      <c r="AD30" s="41">
        <v>42474</v>
      </c>
      <c r="AE30" s="274">
        <v>42845</v>
      </c>
      <c r="AF30" s="41" t="s">
        <v>228</v>
      </c>
      <c r="AG30" s="278" t="s">
        <v>426</v>
      </c>
      <c r="AH30" s="41" t="s">
        <v>228</v>
      </c>
      <c r="AI30" s="1324" t="s">
        <v>145</v>
      </c>
      <c r="AJ30" s="1335"/>
      <c r="AK30" s="278">
        <v>43951</v>
      </c>
      <c r="AL30" s="41" t="s">
        <v>228</v>
      </c>
      <c r="AM30" s="421" t="s">
        <v>502</v>
      </c>
      <c r="AN30" s="420"/>
      <c r="AO30" s="492">
        <v>44672</v>
      </c>
      <c r="AP30" s="420" t="s">
        <v>228</v>
      </c>
      <c r="AQ30" s="492"/>
      <c r="AR30" s="508"/>
      <c r="AS30" s="420">
        <v>45412</v>
      </c>
      <c r="AT30" s="420" t="s">
        <v>228</v>
      </c>
    </row>
    <row r="31" spans="2:46" s="5" customFormat="1" ht="28.5" customHeight="1" x14ac:dyDescent="0.5">
      <c r="B31" s="64" t="s">
        <v>262</v>
      </c>
      <c r="C31" s="65" t="s">
        <v>192</v>
      </c>
      <c r="D31" s="7" t="s">
        <v>424</v>
      </c>
      <c r="E31" s="7">
        <v>1226</v>
      </c>
      <c r="F31" s="7" t="s">
        <v>228</v>
      </c>
      <c r="G31" s="7" t="s">
        <v>173</v>
      </c>
      <c r="H31" s="7"/>
      <c r="I31" s="9" t="s">
        <v>173</v>
      </c>
      <c r="J31" s="9" t="s">
        <v>173</v>
      </c>
      <c r="K31" s="9"/>
      <c r="L31" s="9" t="s">
        <v>173</v>
      </c>
      <c r="M31" s="9" t="s">
        <v>173</v>
      </c>
      <c r="N31" s="7" t="s">
        <v>259</v>
      </c>
      <c r="O31" s="66" t="s">
        <v>425</v>
      </c>
      <c r="P31" s="66">
        <v>2.86</v>
      </c>
      <c r="Q31" s="244"/>
      <c r="R31" s="33" t="s">
        <v>278</v>
      </c>
      <c r="S31" s="7" t="s">
        <v>276</v>
      </c>
      <c r="T31" s="7" t="s">
        <v>278</v>
      </c>
      <c r="U31" s="7" t="s">
        <v>278</v>
      </c>
      <c r="V31" s="7" t="s">
        <v>278</v>
      </c>
      <c r="W31" s="7" t="s">
        <v>278</v>
      </c>
      <c r="X31" s="7" t="s">
        <v>278</v>
      </c>
      <c r="Y31" s="7" t="s">
        <v>278</v>
      </c>
      <c r="Z31" s="7" t="s">
        <v>278</v>
      </c>
      <c r="AA31" s="7" t="s">
        <v>278</v>
      </c>
      <c r="AB31" s="7" t="s">
        <v>278</v>
      </c>
      <c r="AC31" s="7" t="s">
        <v>278</v>
      </c>
      <c r="AD31" s="7" t="s">
        <v>278</v>
      </c>
      <c r="AE31" s="274" t="s">
        <v>278</v>
      </c>
      <c r="AF31" s="41" t="s">
        <v>228</v>
      </c>
      <c r="AG31" s="278">
        <v>43208</v>
      </c>
      <c r="AH31" s="41" t="s">
        <v>228</v>
      </c>
      <c r="AI31" s="1324" t="s">
        <v>145</v>
      </c>
      <c r="AJ31" s="1335"/>
      <c r="AK31" s="278">
        <v>43951</v>
      </c>
      <c r="AL31" s="41" t="s">
        <v>228</v>
      </c>
      <c r="AM31" s="278"/>
      <c r="AN31" s="420"/>
      <c r="AO31" s="278">
        <v>44672</v>
      </c>
      <c r="AP31" s="420" t="s">
        <v>228</v>
      </c>
      <c r="AQ31" s="526">
        <v>45043</v>
      </c>
      <c r="AR31" s="508" t="s">
        <v>228</v>
      </c>
      <c r="AS31" s="420">
        <v>45412</v>
      </c>
      <c r="AT31" s="420" t="s">
        <v>228</v>
      </c>
    </row>
    <row r="32" spans="2:46" s="5" customFormat="1" ht="28.5" customHeight="1" x14ac:dyDescent="0.5">
      <c r="B32" s="532" t="s">
        <v>190</v>
      </c>
      <c r="C32" s="536" t="s">
        <v>191</v>
      </c>
      <c r="D32" s="537" t="s">
        <v>59</v>
      </c>
      <c r="E32" s="98" t="s">
        <v>194</v>
      </c>
      <c r="F32" s="7" t="s">
        <v>228</v>
      </c>
      <c r="G32" s="7" t="s">
        <v>173</v>
      </c>
      <c r="H32" s="7"/>
      <c r="I32" s="9" t="s">
        <v>173</v>
      </c>
      <c r="J32" s="9" t="s">
        <v>173</v>
      </c>
      <c r="K32" s="9"/>
      <c r="L32" s="9" t="s">
        <v>173</v>
      </c>
      <c r="M32" s="9" t="s">
        <v>173</v>
      </c>
      <c r="N32" s="7" t="s">
        <v>288</v>
      </c>
      <c r="O32" s="66" t="s">
        <v>335</v>
      </c>
      <c r="P32" s="66">
        <v>8.35</v>
      </c>
      <c r="Q32" s="244" t="s">
        <v>228</v>
      </c>
      <c r="R32" s="244" t="s">
        <v>228</v>
      </c>
      <c r="S32" s="7" t="s">
        <v>276</v>
      </c>
      <c r="T32" s="7" t="s">
        <v>278</v>
      </c>
      <c r="U32" s="7" t="s">
        <v>278</v>
      </c>
      <c r="V32" s="7" t="s">
        <v>278</v>
      </c>
      <c r="W32" s="7" t="s">
        <v>278</v>
      </c>
      <c r="X32" s="7" t="s">
        <v>278</v>
      </c>
      <c r="Y32" s="137" t="s">
        <v>195</v>
      </c>
      <c r="Z32" s="137">
        <v>41059</v>
      </c>
      <c r="AA32" s="15">
        <v>41445</v>
      </c>
      <c r="AB32" s="15">
        <v>41786</v>
      </c>
      <c r="AC32" s="20">
        <v>42158</v>
      </c>
      <c r="AD32" s="41">
        <v>42474</v>
      </c>
      <c r="AE32" s="274">
        <v>42845</v>
      </c>
      <c r="AF32" s="41" t="s">
        <v>228</v>
      </c>
      <c r="AG32" s="278">
        <v>43207</v>
      </c>
      <c r="AH32" s="41" t="s">
        <v>228</v>
      </c>
      <c r="AI32" s="1324" t="s">
        <v>145</v>
      </c>
      <c r="AJ32" s="1335"/>
      <c r="AK32" s="278">
        <v>43951</v>
      </c>
      <c r="AL32" s="41" t="s">
        <v>228</v>
      </c>
      <c r="AM32" s="437">
        <v>44306</v>
      </c>
      <c r="AN32" s="41" t="s">
        <v>228</v>
      </c>
      <c r="AO32" s="492" t="s">
        <v>278</v>
      </c>
      <c r="AP32" s="420" t="s">
        <v>278</v>
      </c>
      <c r="AQ32" s="492" t="s">
        <v>278</v>
      </c>
      <c r="AR32" s="508" t="s">
        <v>278</v>
      </c>
      <c r="AS32" s="508" t="s">
        <v>278</v>
      </c>
      <c r="AT32" s="508" t="s">
        <v>278</v>
      </c>
    </row>
    <row r="33" spans="2:46" s="5" customFormat="1" ht="28.5" customHeight="1" x14ac:dyDescent="0.5">
      <c r="B33" s="64" t="s">
        <v>190</v>
      </c>
      <c r="C33" s="65" t="s">
        <v>191</v>
      </c>
      <c r="D33" s="7" t="s">
        <v>59</v>
      </c>
      <c r="E33" s="98" t="s">
        <v>668</v>
      </c>
      <c r="F33" s="7" t="s">
        <v>228</v>
      </c>
      <c r="G33" s="7" t="s">
        <v>173</v>
      </c>
      <c r="H33" s="7"/>
      <c r="I33" s="9" t="s">
        <v>173</v>
      </c>
      <c r="J33" s="9" t="s">
        <v>173</v>
      </c>
      <c r="K33" s="9"/>
      <c r="L33" s="9" t="s">
        <v>173</v>
      </c>
      <c r="M33" s="9" t="s">
        <v>173</v>
      </c>
      <c r="N33" s="7" t="s">
        <v>288</v>
      </c>
      <c r="O33" s="66">
        <v>3.2</v>
      </c>
      <c r="P33" s="66">
        <v>6.68</v>
      </c>
      <c r="Q33" s="244" t="s">
        <v>228</v>
      </c>
      <c r="R33" s="244" t="s">
        <v>228</v>
      </c>
      <c r="S33" s="7" t="s">
        <v>276</v>
      </c>
      <c r="T33" s="7" t="s">
        <v>278</v>
      </c>
      <c r="U33" s="7" t="s">
        <v>278</v>
      </c>
      <c r="V33" s="7" t="s">
        <v>278</v>
      </c>
      <c r="W33" s="7" t="s">
        <v>278</v>
      </c>
      <c r="X33" s="7" t="s">
        <v>278</v>
      </c>
      <c r="Y33" s="7" t="s">
        <v>278</v>
      </c>
      <c r="Z33" s="7" t="s">
        <v>278</v>
      </c>
      <c r="AA33" s="7" t="s">
        <v>278</v>
      </c>
      <c r="AB33" s="7" t="s">
        <v>278</v>
      </c>
      <c r="AC33" s="7" t="s">
        <v>278</v>
      </c>
      <c r="AD33" s="7" t="s">
        <v>278</v>
      </c>
      <c r="AE33" s="274" t="s">
        <v>278</v>
      </c>
      <c r="AF33" s="41" t="s">
        <v>278</v>
      </c>
      <c r="AG33" s="274" t="s">
        <v>278</v>
      </c>
      <c r="AH33" s="41" t="s">
        <v>278</v>
      </c>
      <c r="AI33" s="1324" t="s">
        <v>145</v>
      </c>
      <c r="AJ33" s="1335"/>
      <c r="AK33" s="274" t="s">
        <v>278</v>
      </c>
      <c r="AL33" s="41" t="s">
        <v>278</v>
      </c>
      <c r="AM33" s="137" t="s">
        <v>524</v>
      </c>
      <c r="AN33" s="41" t="s">
        <v>228</v>
      </c>
      <c r="AO33" s="498">
        <v>44672</v>
      </c>
      <c r="AP33" s="420" t="s">
        <v>228</v>
      </c>
      <c r="AQ33" s="498">
        <v>45043</v>
      </c>
      <c r="AR33" s="508" t="s">
        <v>228</v>
      </c>
      <c r="AS33" s="420">
        <v>45412</v>
      </c>
      <c r="AT33" s="420" t="s">
        <v>228</v>
      </c>
    </row>
    <row r="34" spans="2:46" s="5" customFormat="1" ht="28.5" customHeight="1" x14ac:dyDescent="0.25">
      <c r="B34" s="142"/>
      <c r="C34" s="143"/>
      <c r="D34" s="46"/>
      <c r="E34" s="46"/>
      <c r="F34" s="46"/>
      <c r="G34" s="46"/>
      <c r="H34" s="46"/>
      <c r="I34" s="46"/>
      <c r="J34" s="46"/>
      <c r="K34" s="46"/>
      <c r="L34" s="46"/>
      <c r="M34" s="46"/>
      <c r="N34" s="46"/>
      <c r="O34" s="144"/>
      <c r="P34" s="144"/>
      <c r="Q34" s="144"/>
      <c r="R34" s="144"/>
      <c r="S34" s="145"/>
      <c r="T34" s="46"/>
      <c r="U34" s="46"/>
      <c r="V34" s="46"/>
      <c r="W34" s="46"/>
      <c r="X34" s="146"/>
      <c r="Y34" s="146"/>
    </row>
    <row r="35" spans="2:46" ht="21" hidden="1" x14ac:dyDescent="0.5">
      <c r="B35" s="22" t="s">
        <v>231</v>
      </c>
      <c r="C35" s="22"/>
      <c r="D35" s="22"/>
      <c r="E35" s="22"/>
      <c r="F35" s="21"/>
      <c r="G35" s="21"/>
      <c r="H35" s="21"/>
      <c r="I35" s="21"/>
      <c r="J35" s="21"/>
      <c r="K35" s="21"/>
      <c r="L35" s="21"/>
      <c r="M35" s="21"/>
      <c r="N35" s="21"/>
      <c r="O35" s="21"/>
      <c r="P35" s="21"/>
      <c r="Q35" s="21"/>
      <c r="R35" s="21"/>
      <c r="S35" s="21"/>
      <c r="T35" s="21"/>
      <c r="U35" s="21"/>
      <c r="V35" s="21"/>
      <c r="W35" s="13"/>
      <c r="X35" s="13"/>
      <c r="Y35" s="13"/>
      <c r="Z35" s="13"/>
    </row>
    <row r="36" spans="2:46" ht="17.399999999999999" x14ac:dyDescent="0.3">
      <c r="B36" s="234" t="s">
        <v>316</v>
      </c>
      <c r="C36" s="13"/>
      <c r="D36" s="13"/>
      <c r="E36" s="13"/>
      <c r="F36" s="13"/>
      <c r="G36" s="13"/>
      <c r="H36" s="13"/>
      <c r="I36" s="13"/>
      <c r="J36" s="13"/>
      <c r="K36" s="13"/>
      <c r="L36" s="13"/>
      <c r="M36" s="13"/>
      <c r="N36" s="13"/>
      <c r="O36" s="13"/>
      <c r="P36" s="13"/>
      <c r="Q36" s="13"/>
      <c r="R36" s="13"/>
      <c r="S36" s="13"/>
      <c r="T36" s="13"/>
      <c r="U36" s="13"/>
      <c r="V36" s="13"/>
      <c r="W36" s="13"/>
      <c r="X36" s="13"/>
      <c r="Y36" s="13"/>
      <c r="Z36" s="13"/>
    </row>
    <row r="37" spans="2:46" x14ac:dyDescent="0.25">
      <c r="B37" s="235"/>
      <c r="C37" s="235"/>
      <c r="D37" s="235"/>
    </row>
    <row r="38" spans="2:46" x14ac:dyDescent="0.25">
      <c r="B38" s="236" t="s">
        <v>396</v>
      </c>
      <c r="C38" s="237" t="s">
        <v>317</v>
      </c>
      <c r="D38" s="237" t="s">
        <v>318</v>
      </c>
    </row>
    <row r="39" spans="2:46" s="10" customFormat="1" x14ac:dyDescent="0.25">
      <c r="B39" s="233"/>
      <c r="C39" s="97"/>
      <c r="D39" s="97"/>
    </row>
    <row r="40" spans="2:46" s="10" customFormat="1" x14ac:dyDescent="0.25">
      <c r="B40" s="233">
        <v>2012</v>
      </c>
      <c r="C40" s="134">
        <v>41425</v>
      </c>
      <c r="D40" s="100" t="s">
        <v>319</v>
      </c>
    </row>
    <row r="41" spans="2:46" s="10" customFormat="1" x14ac:dyDescent="0.25">
      <c r="B41" s="233">
        <v>2013</v>
      </c>
      <c r="C41" s="134">
        <v>41790</v>
      </c>
      <c r="D41" s="100" t="s">
        <v>319</v>
      </c>
    </row>
    <row r="42" spans="2:46" s="10" customFormat="1" x14ac:dyDescent="0.25">
      <c r="B42" s="233">
        <v>2014</v>
      </c>
      <c r="C42" s="134">
        <v>42155</v>
      </c>
      <c r="D42" s="100" t="s">
        <v>319</v>
      </c>
    </row>
    <row r="43" spans="2:46" s="10" customFormat="1" ht="12.75" customHeight="1" x14ac:dyDescent="0.25">
      <c r="B43" s="233">
        <v>2015</v>
      </c>
      <c r="C43" s="134">
        <v>42521</v>
      </c>
      <c r="D43" s="100" t="s">
        <v>319</v>
      </c>
    </row>
    <row r="44" spans="2:46" x14ac:dyDescent="0.25">
      <c r="B44" s="233">
        <v>2016</v>
      </c>
      <c r="C44" s="134">
        <v>42886</v>
      </c>
      <c r="D44" s="100" t="s">
        <v>319</v>
      </c>
    </row>
    <row r="45" spans="2:46" x14ac:dyDescent="0.25">
      <c r="B45" s="233">
        <v>2017</v>
      </c>
      <c r="C45" s="134">
        <v>43251</v>
      </c>
      <c r="D45" s="100" t="s">
        <v>319</v>
      </c>
    </row>
    <row r="46" spans="2:46" x14ac:dyDescent="0.25">
      <c r="B46" s="233">
        <v>2018</v>
      </c>
      <c r="C46" s="134">
        <v>43616</v>
      </c>
      <c r="D46" s="378" t="s">
        <v>467</v>
      </c>
    </row>
    <row r="47" spans="2:46" x14ac:dyDescent="0.25">
      <c r="B47" s="233">
        <v>2019</v>
      </c>
      <c r="C47" s="97" t="s">
        <v>278</v>
      </c>
      <c r="D47" s="407" t="s">
        <v>467</v>
      </c>
    </row>
    <row r="48" spans="2:46" x14ac:dyDescent="0.25">
      <c r="B48" s="233">
        <v>2020</v>
      </c>
      <c r="C48" s="97" t="s">
        <v>278</v>
      </c>
      <c r="D48" s="407" t="s">
        <v>467</v>
      </c>
    </row>
    <row r="49" spans="2:4" x14ac:dyDescent="0.25">
      <c r="B49" s="233">
        <v>2021</v>
      </c>
      <c r="C49" s="97" t="s">
        <v>278</v>
      </c>
      <c r="D49" s="407" t="s">
        <v>467</v>
      </c>
    </row>
    <row r="50" spans="2:4" x14ac:dyDescent="0.25">
      <c r="B50" s="233">
        <v>2022</v>
      </c>
      <c r="C50" s="97" t="s">
        <v>278</v>
      </c>
      <c r="D50" s="407" t="s">
        <v>467</v>
      </c>
    </row>
    <row r="51" spans="2:4" x14ac:dyDescent="0.25">
      <c r="B51" s="233">
        <v>2023</v>
      </c>
      <c r="C51" s="97" t="s">
        <v>278</v>
      </c>
      <c r="D51" s="407" t="s">
        <v>467</v>
      </c>
    </row>
  </sheetData>
  <mergeCells count="101">
    <mergeCell ref="AI6:AJ6"/>
    <mergeCell ref="AS2:AT2"/>
    <mergeCell ref="F7:F8"/>
    <mergeCell ref="V7:V8"/>
    <mergeCell ref="W7:W8"/>
    <mergeCell ref="X7:X8"/>
    <mergeCell ref="Y7:Y8"/>
    <mergeCell ref="Z7:Z8"/>
    <mergeCell ref="AA7:AA8"/>
    <mergeCell ref="AB7:AB8"/>
    <mergeCell ref="T7:T8"/>
    <mergeCell ref="AG2:AH2"/>
    <mergeCell ref="AB2:AB3"/>
    <mergeCell ref="AD2:AD3"/>
    <mergeCell ref="Z2:Z3"/>
    <mergeCell ref="AC2:AC3"/>
    <mergeCell ref="AA2:AA3"/>
    <mergeCell ref="AK2:AL2"/>
    <mergeCell ref="AI2:AJ2"/>
    <mergeCell ref="Y2:Y3"/>
    <mergeCell ref="AE2:AF2"/>
    <mergeCell ref="AI8:AJ8"/>
    <mergeCell ref="AI23:AJ23"/>
    <mergeCell ref="AI24:AJ24"/>
    <mergeCell ref="AI33:AJ33"/>
    <mergeCell ref="AI31:AJ31"/>
    <mergeCell ref="AI32:AJ32"/>
    <mergeCell ref="AI25:AJ25"/>
    <mergeCell ref="AI26:AJ26"/>
    <mergeCell ref="AI27:AJ27"/>
    <mergeCell ref="AI29:AJ29"/>
    <mergeCell ref="AI30:AJ30"/>
    <mergeCell ref="AI28:AJ28"/>
    <mergeCell ref="AI19:AJ19"/>
    <mergeCell ref="AI20:AJ20"/>
    <mergeCell ref="AI21:AJ21"/>
    <mergeCell ref="AI22:AJ22"/>
    <mergeCell ref="AI13:AJ13"/>
    <mergeCell ref="AI14:AJ14"/>
    <mergeCell ref="AI15:AJ15"/>
    <mergeCell ref="AI16:AJ16"/>
    <mergeCell ref="AI17:AJ17"/>
    <mergeCell ref="B26:B27"/>
    <mergeCell ref="C26:C27"/>
    <mergeCell ref="X2:X3"/>
    <mergeCell ref="M2:M3"/>
    <mergeCell ref="N2:N3"/>
    <mergeCell ref="W2:W3"/>
    <mergeCell ref="V2:V3"/>
    <mergeCell ref="U2:U3"/>
    <mergeCell ref="T2:T3"/>
    <mergeCell ref="S2:S3"/>
    <mergeCell ref="O2:O3"/>
    <mergeCell ref="P2:P3"/>
    <mergeCell ref="R2:R3"/>
    <mergeCell ref="Q2:Q3"/>
    <mergeCell ref="B5:B8"/>
    <mergeCell ref="B2:B3"/>
    <mergeCell ref="C2:C3"/>
    <mergeCell ref="C5:C8"/>
    <mergeCell ref="U5:U8"/>
    <mergeCell ref="S5:S8"/>
    <mergeCell ref="V26:V27"/>
    <mergeCell ref="K5:K8"/>
    <mergeCell ref="D7:D8"/>
    <mergeCell ref="W26:W27"/>
    <mergeCell ref="T26:T27"/>
    <mergeCell ref="J2:J3"/>
    <mergeCell ref="U26:U27"/>
    <mergeCell ref="S26:S27"/>
    <mergeCell ref="F26:F27"/>
    <mergeCell ref="H5:H8"/>
    <mergeCell ref="L5:L8"/>
    <mergeCell ref="AQ2:AR2"/>
    <mergeCell ref="AO2:AP2"/>
    <mergeCell ref="AM2:AN2"/>
    <mergeCell ref="X26:X27"/>
    <mergeCell ref="Z26:Z27"/>
    <mergeCell ref="AA9:AA11"/>
    <mergeCell ref="Z9:Z11"/>
    <mergeCell ref="Y26:Y27"/>
    <mergeCell ref="AI9:AJ9"/>
    <mergeCell ref="AI10:AJ10"/>
    <mergeCell ref="AI11:AJ11"/>
    <mergeCell ref="AI12:AJ12"/>
    <mergeCell ref="AI3:AJ3"/>
    <mergeCell ref="AI4:AJ4"/>
    <mergeCell ref="AI5:AJ5"/>
    <mergeCell ref="AI7:AJ7"/>
    <mergeCell ref="AI18:AJ18"/>
    <mergeCell ref="D26:D27"/>
    <mergeCell ref="I5:I8"/>
    <mergeCell ref="G5:G8"/>
    <mergeCell ref="M5:M8"/>
    <mergeCell ref="J5:J8"/>
    <mergeCell ref="D2:D3"/>
    <mergeCell ref="E2:E3"/>
    <mergeCell ref="H2:H3"/>
    <mergeCell ref="F2:F3"/>
    <mergeCell ref="G2:G3"/>
    <mergeCell ref="I2:I3"/>
  </mergeCells>
  <phoneticPr fontId="0" type="noConversion"/>
  <hyperlinks>
    <hyperlink ref="R2" r:id="rId1" xr:uid="{00000000-0004-0000-2100-000000000000}"/>
    <hyperlink ref="D41" r:id="rId2" xr:uid="{00000000-0004-0000-2100-000001000000}"/>
    <hyperlink ref="D40" r:id="rId3" xr:uid="{00000000-0004-0000-2100-000002000000}"/>
    <hyperlink ref="G2" r:id="rId4" xr:uid="{00000000-0004-0000-2100-000003000000}"/>
    <hyperlink ref="P2" r:id="rId5" xr:uid="{00000000-0004-0000-2100-000004000000}"/>
    <hyperlink ref="Q2" r:id="rId6" xr:uid="{00000000-0004-0000-2100-000005000000}"/>
    <hyperlink ref="D42" r:id="rId7" xr:uid="{00000000-0004-0000-2100-000006000000}"/>
    <hyperlink ref="D43" r:id="rId8" xr:uid="{00000000-0004-0000-2100-000007000000}"/>
    <hyperlink ref="I4" r:id="rId9" display="CONDIZIONATORI\CONTROLLI E MANUTENZIONI AI SENSI DEL REG 517_14\CONTROLLI E MANUTENZIONI 2016\MANUTENZIONE CLIVET.pdf" xr:uid="{00000000-0004-0000-2100-000008000000}"/>
    <hyperlink ref="I20" r:id="rId10" display="CONDIZIONATORI\CONTROLLI E MANUTENZIONI AI SENSI DEL REG 517_14\CONTROLLI E MANUTENZIONI 2016\MANUTENZIONE MENSA.pdf" xr:uid="{00000000-0004-0000-2100-000009000000}"/>
    <hyperlink ref="I18" r:id="rId11" display="CONDIZIONATORI\CONTROLLI E MANUTENZIONI AI SENSI DEL REG 517_14\CONTROLLI E MANUTENZIONI 2016\MANUTENZIONE SPOGLIATOI.pdf" xr:uid="{00000000-0004-0000-2100-00000A000000}"/>
    <hyperlink ref="D44" r:id="rId12" xr:uid="{00000000-0004-0000-2100-00000B000000}"/>
    <hyperlink ref="D45" r:id="rId13" xr:uid="{00000000-0004-0000-2100-00000C000000}"/>
    <hyperlink ref="D46" r:id="rId14" display="da completare" xr:uid="{00000000-0004-0000-2100-00000D000000}"/>
    <hyperlink ref="J4" r:id="rId15" display="CONDIZIONATORI\CONTROLLI EFFICIENZA ENERGETICA\2020\In_ interventi condizionatori 30 aprile 2020.pdf" xr:uid="{00000000-0004-0000-2100-00000E000000}"/>
    <hyperlink ref="J18:J20" r:id="rId16" display="CONDIZIONATORI\CONTROLLI EFFICIENZA ENERGETICA\2020\In_ interventi condizionatori 30 aprile 2020.pdf" xr:uid="{00000000-0004-0000-2100-00000F000000}"/>
    <hyperlink ref="AM4" r:id="rId17" display="ISCRIZIONE MANUTENTORI AI SENSI DPR 43\DICHIARAZIONI F GAS\CONTROLLI E VERIFICHE 2021\CLIVET AC1P202H0033_01183270378_IS.2326865.210426.pdf" xr:uid="{00000000-0004-0000-2100-000010000000}"/>
    <hyperlink ref="AM5" r:id="rId18" display="ISCRIZIONE MANUTENTORI AI SENSI DPR 43\DICHIARAZIONI F GAS\CONTROLLI E VERIFICHE 2021\HITACHI 4EE44857_01183270378_IS.2326891.210426.pdf" xr:uid="{00000000-0004-0000-2100-000011000000}"/>
    <hyperlink ref="AM7" r:id="rId19" display="ISCRIZIONE MANUTENTORI AI SENSI DPR 43\DICHIARAZIONI F GAS\CONTROLLI E VERIFICHE 2021\HITACHI 4EE6613_01183270378_IS.2326936.210426.pdf" xr:uid="{00000000-0004-0000-2100-000012000000}"/>
    <hyperlink ref="AM8" r:id="rId20" display="ISCRIZIONE MANUTENTORI AI SENSI DPR 43\DICHIARAZIONI F GAS\CONTROLLI E VERIFICHE 2021\HITACHI 4CE49966_01183270378_IS.2326977.210426.pdf" xr:uid="{00000000-0004-0000-2100-000013000000}"/>
    <hyperlink ref="AM14" r:id="rId21" display="ISCRIZIONE MANUTENTORI AI SENSI DPR 43\DICHIARAZIONI F GAS\CONTROLLI E VERIFICHE 2021\HITACHI 4GE74056_01183270378_IS.2327012.210426.pdf" xr:uid="{00000000-0004-0000-2100-000014000000}"/>
    <hyperlink ref="AM16" r:id="rId22" display="ISCRIZIONE MANUTENTORI AI SENSI DPR 43\DICHIARAZIONI F GAS\CONTROLLI E VERIFICHE 2021\HITACHI U46J8011_01183270378_IS.2327024.210426.pdf" xr:uid="{00000000-0004-0000-2100-000015000000}"/>
    <hyperlink ref="AM32" r:id="rId23" display="ISCRIZIONE MANUTENTORI AI SENSI DPR 43\DICHIARAZIONI F GAS\CONTROLLI E VERIFICHE 2021\HITACHI 4HE88482_01183270378_IS.2327110.210426.pdf" xr:uid="{00000000-0004-0000-2100-000016000000}"/>
    <hyperlink ref="AM29" r:id="rId24" display="ISCRIZIONE MANUTENTORI AI SENSI DPR 43\DICHIARAZIONI F GAS\CONTROLLI E VERIFICHE 2021\HITACHI 4GE60123_01183270378_IS.2327079.210426.pdf" xr:uid="{00000000-0004-0000-2100-000017000000}"/>
    <hyperlink ref="E25" r:id="rId25" xr:uid="{00000000-0004-0000-2100-000018000000}"/>
    <hyperlink ref="B2:B3" r:id="rId26" display="Identificazione condizionatori impianto" xr:uid="{00000000-0004-0000-2100-000019000000}"/>
    <hyperlink ref="E28" r:id="rId27" xr:uid="{00000000-0004-0000-2100-00001A000000}"/>
    <hyperlink ref="E32" r:id="rId28" xr:uid="{00000000-0004-0000-2100-00001B000000}"/>
    <hyperlink ref="E33" r:id="rId29" display="RAS-6HNC1E matr. 4PE83713 (est.) + ?????????" xr:uid="{00000000-0004-0000-2100-00001C000000}"/>
    <hyperlink ref="AO5" r:id="rId30" display="ISCRIZIONE MANUTENTORI AI SENSI DPR 43\DICHIARAZIONI F GAS\CONTROLLI E VERIFICHE 2022\01183270378_IS.4437268.220510.pdf" xr:uid="{00000000-0004-0000-2100-00001D000000}"/>
    <hyperlink ref="AO7" r:id="rId31" display="ISCRIZIONE MANUTENTORI AI SENSI DPR 43\DICHIARAZIONI F GAS\CONTROLLI E VERIFICHE 2022\01183270378_IS.4437350.220510.pdf" xr:uid="{00000000-0004-0000-2100-00001E000000}"/>
    <hyperlink ref="AO8" r:id="rId32" display="ISCRIZIONE MANUTENTORI AI SENSI DPR 43\DICHIARAZIONI F GAS\CONTROLLI E VERIFICHE 2022\01183270378_IS.4437396.220510.pdf" xr:uid="{00000000-0004-0000-2100-00001F000000}"/>
    <hyperlink ref="AO14" r:id="rId33" display="ISCRIZIONE MANUTENTORI AI SENSI DPR 43\DICHIARAZIONI F GAS\CONTROLLI E VERIFICHE 2022\01183270378_IS.4437467.220510.pdf" xr:uid="{00000000-0004-0000-2100-000020000000}"/>
    <hyperlink ref="AO16" r:id="rId34" display="ISCRIZIONE MANUTENTORI AI SENSI DPR 43\DICHIARAZIONI F GAS\CONTROLLI E VERIFICHE 2022\01183270378_IS.4437541.220510.pdf" xr:uid="{00000000-0004-0000-2100-000021000000}"/>
    <hyperlink ref="AO29" r:id="rId35" display="ISCRIZIONE MANUTENTORI AI SENSI DPR 43\DICHIARAZIONI F GAS\CONTROLLI E VERIFICHE 2022\01183270378_IS.4437680.220510.pdf" xr:uid="{00000000-0004-0000-2100-000022000000}"/>
    <hyperlink ref="AO33" r:id="rId36" display="ISCRIZIONE MANUTENTORI AI SENSI DPR 43\DICHIARAZIONI F GAS\CONTROLLI E VERIFICHE 2022\01183270378_IS.4437737.220510.pdf" xr:uid="{00000000-0004-0000-2100-000023000000}"/>
    <hyperlink ref="AO4" r:id="rId37" display="ISCRIZIONE MANUTENTORI AI SENSI DPR 43\DICHIARAZIONI F GAS\CONTROLLI E VERIFICHE 2022\01183270378_IS.4437787.220510.pdf" xr:uid="{00000000-0004-0000-2100-000024000000}"/>
    <hyperlink ref="AO24" r:id="rId38" display="CONDIZIONATORI\SOSTITUZIONE CONDIZIONATORE del 05_08_2022\01183270378_IS.5315790.220902.pdf" xr:uid="{00000000-0004-0000-2100-000025000000}"/>
    <hyperlink ref="E24" r:id="rId39" xr:uid="{00000000-0004-0000-2100-000026000000}"/>
    <hyperlink ref="E22" r:id="rId40" xr:uid="{00000000-0004-0000-2100-000027000000}"/>
    <hyperlink ref="AQ4" r:id="rId41" display="CONDIZIONATORI\CONTROLLI E MANUTENZIONI AI SENSI DEL REG 517_14\CONTROLLI E MANUTENZIONI 2023\RAPPORTI INTERVENTI 2023\01183270378_IS.6638842.230519.pdf" xr:uid="{00000000-0004-0000-2100-000028000000}"/>
    <hyperlink ref="AQ7" r:id="rId42" display="CONDIZIONATORI\CONTROLLI E MANUTENZIONI AI SENSI DEL REG 517_14\CONTROLLI E MANUTENZIONI 2023\RAPPORTI INTERVENTI 2023\01183270378_IS.6638999.230519.pdf" xr:uid="{00000000-0004-0000-2100-000029000000}"/>
    <hyperlink ref="AQ5" r:id="rId43" display="CONDIZIONATORI\CONTROLLI E MANUTENZIONI AI SENSI DEL REG 517_14\CONTROLLI E MANUTENZIONI 2023\RAPPORTI INTERVENTI 2023\01183270378_IS.6639121.230519.pdf" xr:uid="{00000000-0004-0000-2100-00002A000000}"/>
    <hyperlink ref="AQ8" r:id="rId44" display="CONDIZIONATORI\CONTROLLI E MANUTENZIONI AI SENSI DEL REG 517_14\CONTROLLI E MANUTENZIONI 2023\RAPPORTI INTERVENTI 2023\01183270378_IS.6639198.230519.pdf" xr:uid="{00000000-0004-0000-2100-00002B000000}"/>
    <hyperlink ref="AQ29" r:id="rId45" display="CONDIZIONATORI\CONTROLLI E MANUTENZIONI AI SENSI DEL REG 517_14\CONTROLLI E MANUTENZIONI 2023\RAPPORTI INTERVENTI 2023\01183270378_IS.6639265.230519.pdf" xr:uid="{00000000-0004-0000-2100-00002C000000}"/>
    <hyperlink ref="AQ33" r:id="rId46" display="CONDIZIONATORI\CONTROLLI E MANUTENZIONI AI SENSI DEL REG 517_14\CONTROLLI E MANUTENZIONI 2023\RAPPORTI INTERVENTI 2023\01183270378_IS.6639306.230519.pdf" xr:uid="{00000000-0004-0000-2100-00002D000000}"/>
    <hyperlink ref="AQ16" r:id="rId47" display="CONDIZIONATORI\CONTROLLI E MANUTENZIONI AI SENSI DEL REG 517_14\CONTROLLI E MANUTENZIONI 2023\RAPPORTI INTERVENTI 2023\01183270378_IS.6639446.230519.pdf" xr:uid="{00000000-0004-0000-2100-00002E000000}"/>
    <hyperlink ref="AQ14" r:id="rId48" display="CONDIZIONATORI\CONTROLLI E MANUTENZIONI AI SENSI DEL REG 517_14\CONTROLLI E MANUTENZIONI 2023\RAPPORTI INTERVENTI 2023\01183270378_IS.6639534.230519.pdf" xr:uid="{00000000-0004-0000-2100-00002F000000}"/>
    <hyperlink ref="AQ6" r:id="rId49" display="CONDIZIONATORI\SOSTITUZIONE CONDIZIONATORE del 11_08_2023\00363690298_IS.7747457.231024.pdf" xr:uid="{00000000-0004-0000-2100-000030000000}"/>
    <hyperlink ref="E5" r:id="rId50" xr:uid="{00000000-0004-0000-2100-000031000000}"/>
    <hyperlink ref="F6" r:id="rId51" xr:uid="{00000000-0004-0000-2100-000032000000}"/>
  </hyperlinks>
  <pageMargins left="0.74803149606299213" right="0.74803149606299213" top="0.98425196850393704" bottom="0.98425196850393704" header="0.51181102362204722" footer="0.51181102362204722"/>
  <pageSetup paperSize="8" scale="75" orientation="landscape" r:id="rId52"/>
  <headerFooter alignWithMargins="0"/>
  <colBreaks count="1" manualBreakCount="1">
    <brk id="7" max="45" man="1"/>
  </colBreaks>
  <legacyDrawing r:id="rId5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C3:H16"/>
  <sheetViews>
    <sheetView workbookViewId="0">
      <selection activeCell="H20" sqref="H20"/>
    </sheetView>
  </sheetViews>
  <sheetFormatPr defaultRowHeight="13.2" x14ac:dyDescent="0.25"/>
  <cols>
    <col min="4" max="4" width="15.6640625" customWidth="1"/>
    <col min="5" max="5" width="20.5546875" customWidth="1"/>
    <col min="6" max="6" width="19.33203125" customWidth="1"/>
    <col min="7" max="7" width="21" customWidth="1"/>
    <col min="8" max="8" width="21.88671875" customWidth="1"/>
  </cols>
  <sheetData>
    <row r="3" spans="3:8" x14ac:dyDescent="0.25">
      <c r="D3" s="410"/>
    </row>
    <row r="4" spans="3:8" x14ac:dyDescent="0.25">
      <c r="C4" s="132"/>
    </row>
    <row r="5" spans="3:8" x14ac:dyDescent="0.25">
      <c r="C5" s="132"/>
    </row>
    <row r="7" spans="3:8" s="173" customFormat="1" ht="41.25" customHeight="1" x14ac:dyDescent="0.25">
      <c r="C7" s="1353" t="s">
        <v>495</v>
      </c>
      <c r="D7" s="1353"/>
      <c r="E7"/>
      <c r="F7"/>
      <c r="G7"/>
      <c r="H7"/>
    </row>
    <row r="8" spans="3:8" s="173" customFormat="1" ht="12.75" customHeight="1" x14ac:dyDescent="0.25">
      <c r="C8" s="1352">
        <v>2018</v>
      </c>
      <c r="D8" s="1352"/>
      <c r="E8"/>
      <c r="F8"/>
      <c r="G8"/>
      <c r="H8"/>
    </row>
    <row r="9" spans="3:8" x14ac:dyDescent="0.25">
      <c r="C9" s="1352">
        <v>2019</v>
      </c>
      <c r="D9" s="1352"/>
    </row>
    <row r="10" spans="3:8" x14ac:dyDescent="0.25">
      <c r="C10" s="1352">
        <v>2020</v>
      </c>
      <c r="D10" s="1352"/>
    </row>
    <row r="11" spans="3:8" x14ac:dyDescent="0.25">
      <c r="C11" s="1352">
        <v>2021</v>
      </c>
      <c r="D11" s="1352"/>
    </row>
    <row r="12" spans="3:8" x14ac:dyDescent="0.25">
      <c r="C12" s="1352">
        <v>2022</v>
      </c>
      <c r="D12" s="1352"/>
    </row>
    <row r="13" spans="3:8" x14ac:dyDescent="0.25">
      <c r="C13" s="1352">
        <v>2023</v>
      </c>
      <c r="D13" s="1352"/>
    </row>
    <row r="14" spans="3:8" x14ac:dyDescent="0.25">
      <c r="C14" s="1224">
        <v>2024</v>
      </c>
      <c r="D14" s="1224"/>
    </row>
    <row r="15" spans="3:8" x14ac:dyDescent="0.25">
      <c r="C15" s="1224"/>
      <c r="D15" s="1224"/>
    </row>
    <row r="16" spans="3:8" x14ac:dyDescent="0.25">
      <c r="C16" s="1224"/>
      <c r="D16" s="1224"/>
    </row>
  </sheetData>
  <mergeCells count="10">
    <mergeCell ref="C14:D14"/>
    <mergeCell ref="C15:D15"/>
    <mergeCell ref="C16:D16"/>
    <mergeCell ref="C8:D8"/>
    <mergeCell ref="C7:D7"/>
    <mergeCell ref="C9:D9"/>
    <mergeCell ref="C10:D10"/>
    <mergeCell ref="C11:D11"/>
    <mergeCell ref="C12:D12"/>
    <mergeCell ref="C13:D13"/>
  </mergeCells>
  <hyperlinks>
    <hyperlink ref="C10:D10" r:id="rId1" display="14001\14001 STUDIO BSA\FORMAZIONE\Piano Annuale di Formazione e Addestramento 2020 rev2.xls" xr:uid="{00000000-0004-0000-2200-000000000000}"/>
    <hyperlink ref="C9:D9" r:id="rId2" display="14001\14001 STUDIO BSA\FORMAZIONE\Piano Annuale di Formazione e Addestramento 2019.xls" xr:uid="{00000000-0004-0000-2200-000001000000}"/>
    <hyperlink ref="C8:D8" r:id="rId3" display="14001\14001 STUDIO BSA\FORMAZIONE\CV Piano Annuale di Formazione e Addestramento 2018 rev 1.xls" xr:uid="{00000000-0004-0000-2200-000002000000}"/>
    <hyperlink ref="C11:D11" r:id="rId4" display="14001\14001 STUDIO BSA\FORMAZIONE\Piano Annuale di Formazione e Addestramento 2021.xlsx" xr:uid="{00000000-0004-0000-2200-000003000000}"/>
    <hyperlink ref="C12:D12" r:id="rId5" display="14001\14001 STUDIO BSA\FORMAZIONE\Piano Annuale di Formazione e Addestramento 2021_2022_VR rev 1.xls" xr:uid="{00000000-0004-0000-2200-000004000000}"/>
    <hyperlink ref="C13:D13" r:id="rId6" display="..\FORMAZIONE\2023\Piano Annuale di Formazione e Addestramento 2023 _VR REV 02.xls" xr:uid="{00000000-0004-0000-2200-000005000000}"/>
  </hyperlinks>
  <pageMargins left="0.75" right="0.75" top="1" bottom="1" header="0.5" footer="0.5"/>
  <pageSetup paperSize="9" scale="70" orientation="landscape" r:id="rId7"/>
  <headerFooter alignWithMargins="0"/>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R738"/>
  <sheetViews>
    <sheetView zoomScale="70" zoomScaleNormal="70" workbookViewId="0">
      <pane xSplit="2" ySplit="7" topLeftCell="J25" activePane="bottomRight" state="frozen"/>
      <selection pane="topRight" activeCell="C1" sqref="C1"/>
      <selection pane="bottomLeft" activeCell="A8" sqref="A8"/>
      <selection pane="bottomRight" activeCell="J36" sqref="J36"/>
    </sheetView>
  </sheetViews>
  <sheetFormatPr defaultRowHeight="13.2" outlineLevelCol="1" x14ac:dyDescent="0.25"/>
  <cols>
    <col min="1" max="1" width="57.44140625" style="279" customWidth="1"/>
    <col min="2" max="2" width="20.6640625" style="279" customWidth="1"/>
    <col min="3" max="3" width="20.6640625" style="347" customWidth="1"/>
    <col min="4" max="4" width="20.6640625" style="279" customWidth="1"/>
    <col min="5" max="6" width="20.6640625" style="279" hidden="1" customWidth="1" outlineLevel="1"/>
    <col min="7" max="7" width="20.6640625" style="279" customWidth="1" collapsed="1"/>
    <col min="8" max="9" width="20.6640625" style="279" customWidth="1"/>
    <col min="10" max="15" width="20.88671875" style="279" customWidth="1"/>
    <col min="16" max="17" width="20.6640625" style="279" customWidth="1"/>
    <col min="18" max="18" width="20.5546875" style="279" customWidth="1"/>
    <col min="19" max="258" width="9.109375" style="279"/>
    <col min="259" max="259" width="57.44140625" style="279" customWidth="1"/>
    <col min="260" max="262" width="20.6640625" style="279" customWidth="1"/>
    <col min="263" max="264" width="0" style="279" hidden="1" customWidth="1"/>
    <col min="265" max="270" width="20.6640625" style="279" customWidth="1"/>
    <col min="271" max="514" width="9.109375" style="279"/>
    <col min="515" max="515" width="57.44140625" style="279" customWidth="1"/>
    <col min="516" max="518" width="20.6640625" style="279" customWidth="1"/>
    <col min="519" max="520" width="0" style="279" hidden="1" customWidth="1"/>
    <col min="521" max="526" width="20.6640625" style="279" customWidth="1"/>
    <col min="527" max="770" width="9.109375" style="279"/>
    <col min="771" max="771" width="57.44140625" style="279" customWidth="1"/>
    <col min="772" max="774" width="20.6640625" style="279" customWidth="1"/>
    <col min="775" max="776" width="0" style="279" hidden="1" customWidth="1"/>
    <col min="777" max="782" width="20.6640625" style="279" customWidth="1"/>
    <col min="783" max="1026" width="9.109375" style="279"/>
    <col min="1027" max="1027" width="57.44140625" style="279" customWidth="1"/>
    <col min="1028" max="1030" width="20.6640625" style="279" customWidth="1"/>
    <col min="1031" max="1032" width="0" style="279" hidden="1" customWidth="1"/>
    <col min="1033" max="1038" width="20.6640625" style="279" customWidth="1"/>
    <col min="1039" max="1282" width="9.109375" style="279"/>
    <col min="1283" max="1283" width="57.44140625" style="279" customWidth="1"/>
    <col min="1284" max="1286" width="20.6640625" style="279" customWidth="1"/>
    <col min="1287" max="1288" width="0" style="279" hidden="1" customWidth="1"/>
    <col min="1289" max="1294" width="20.6640625" style="279" customWidth="1"/>
    <col min="1295" max="1538" width="9.109375" style="279"/>
    <col min="1539" max="1539" width="57.44140625" style="279" customWidth="1"/>
    <col min="1540" max="1542" width="20.6640625" style="279" customWidth="1"/>
    <col min="1543" max="1544" width="0" style="279" hidden="1" customWidth="1"/>
    <col min="1545" max="1550" width="20.6640625" style="279" customWidth="1"/>
    <col min="1551" max="1794" width="9.109375" style="279"/>
    <col min="1795" max="1795" width="57.44140625" style="279" customWidth="1"/>
    <col min="1796" max="1798" width="20.6640625" style="279" customWidth="1"/>
    <col min="1799" max="1800" width="0" style="279" hidden="1" customWidth="1"/>
    <col min="1801" max="1806" width="20.6640625" style="279" customWidth="1"/>
    <col min="1807" max="2050" width="9.109375" style="279"/>
    <col min="2051" max="2051" width="57.44140625" style="279" customWidth="1"/>
    <col min="2052" max="2054" width="20.6640625" style="279" customWidth="1"/>
    <col min="2055" max="2056" width="0" style="279" hidden="1" customWidth="1"/>
    <col min="2057" max="2062" width="20.6640625" style="279" customWidth="1"/>
    <col min="2063" max="2306" width="9.109375" style="279"/>
    <col min="2307" max="2307" width="57.44140625" style="279" customWidth="1"/>
    <col min="2308" max="2310" width="20.6640625" style="279" customWidth="1"/>
    <col min="2311" max="2312" width="0" style="279" hidden="1" customWidth="1"/>
    <col min="2313" max="2318" width="20.6640625" style="279" customWidth="1"/>
    <col min="2319" max="2562" width="9.109375" style="279"/>
    <col min="2563" max="2563" width="57.44140625" style="279" customWidth="1"/>
    <col min="2564" max="2566" width="20.6640625" style="279" customWidth="1"/>
    <col min="2567" max="2568" width="0" style="279" hidden="1" customWidth="1"/>
    <col min="2569" max="2574" width="20.6640625" style="279" customWidth="1"/>
    <col min="2575" max="2818" width="9.109375" style="279"/>
    <col min="2819" max="2819" width="57.44140625" style="279" customWidth="1"/>
    <col min="2820" max="2822" width="20.6640625" style="279" customWidth="1"/>
    <col min="2823" max="2824" width="0" style="279" hidden="1" customWidth="1"/>
    <col min="2825" max="2830" width="20.6640625" style="279" customWidth="1"/>
    <col min="2831" max="3074" width="9.109375" style="279"/>
    <col min="3075" max="3075" width="57.44140625" style="279" customWidth="1"/>
    <col min="3076" max="3078" width="20.6640625" style="279" customWidth="1"/>
    <col min="3079" max="3080" width="0" style="279" hidden="1" customWidth="1"/>
    <col min="3081" max="3086" width="20.6640625" style="279" customWidth="1"/>
    <col min="3087" max="3330" width="9.109375" style="279"/>
    <col min="3331" max="3331" width="57.44140625" style="279" customWidth="1"/>
    <col min="3332" max="3334" width="20.6640625" style="279" customWidth="1"/>
    <col min="3335" max="3336" width="0" style="279" hidden="1" customWidth="1"/>
    <col min="3337" max="3342" width="20.6640625" style="279" customWidth="1"/>
    <col min="3343" max="3586" width="9.109375" style="279"/>
    <col min="3587" max="3587" width="57.44140625" style="279" customWidth="1"/>
    <col min="3588" max="3590" width="20.6640625" style="279" customWidth="1"/>
    <col min="3591" max="3592" width="0" style="279" hidden="1" customWidth="1"/>
    <col min="3593" max="3598" width="20.6640625" style="279" customWidth="1"/>
    <col min="3599" max="3842" width="9.109375" style="279"/>
    <col min="3843" max="3843" width="57.44140625" style="279" customWidth="1"/>
    <col min="3844" max="3846" width="20.6640625" style="279" customWidth="1"/>
    <col min="3847" max="3848" width="0" style="279" hidden="1" customWidth="1"/>
    <col min="3849" max="3854" width="20.6640625" style="279" customWidth="1"/>
    <col min="3855" max="4098" width="9.109375" style="279"/>
    <col min="4099" max="4099" width="57.44140625" style="279" customWidth="1"/>
    <col min="4100" max="4102" width="20.6640625" style="279" customWidth="1"/>
    <col min="4103" max="4104" width="0" style="279" hidden="1" customWidth="1"/>
    <col min="4105" max="4110" width="20.6640625" style="279" customWidth="1"/>
    <col min="4111" max="4354" width="9.109375" style="279"/>
    <col min="4355" max="4355" width="57.44140625" style="279" customWidth="1"/>
    <col min="4356" max="4358" width="20.6640625" style="279" customWidth="1"/>
    <col min="4359" max="4360" width="0" style="279" hidden="1" customWidth="1"/>
    <col min="4361" max="4366" width="20.6640625" style="279" customWidth="1"/>
    <col min="4367" max="4610" width="9.109375" style="279"/>
    <col min="4611" max="4611" width="57.44140625" style="279" customWidth="1"/>
    <col min="4612" max="4614" width="20.6640625" style="279" customWidth="1"/>
    <col min="4615" max="4616" width="0" style="279" hidden="1" customWidth="1"/>
    <col min="4617" max="4622" width="20.6640625" style="279" customWidth="1"/>
    <col min="4623" max="4866" width="9.109375" style="279"/>
    <col min="4867" max="4867" width="57.44140625" style="279" customWidth="1"/>
    <col min="4868" max="4870" width="20.6640625" style="279" customWidth="1"/>
    <col min="4871" max="4872" width="0" style="279" hidden="1" customWidth="1"/>
    <col min="4873" max="4878" width="20.6640625" style="279" customWidth="1"/>
    <col min="4879" max="5122" width="9.109375" style="279"/>
    <col min="5123" max="5123" width="57.44140625" style="279" customWidth="1"/>
    <col min="5124" max="5126" width="20.6640625" style="279" customWidth="1"/>
    <col min="5127" max="5128" width="0" style="279" hidden="1" customWidth="1"/>
    <col min="5129" max="5134" width="20.6640625" style="279" customWidth="1"/>
    <col min="5135" max="5378" width="9.109375" style="279"/>
    <col min="5379" max="5379" width="57.44140625" style="279" customWidth="1"/>
    <col min="5380" max="5382" width="20.6640625" style="279" customWidth="1"/>
    <col min="5383" max="5384" width="0" style="279" hidden="1" customWidth="1"/>
    <col min="5385" max="5390" width="20.6640625" style="279" customWidth="1"/>
    <col min="5391" max="5634" width="9.109375" style="279"/>
    <col min="5635" max="5635" width="57.44140625" style="279" customWidth="1"/>
    <col min="5636" max="5638" width="20.6640625" style="279" customWidth="1"/>
    <col min="5639" max="5640" width="0" style="279" hidden="1" customWidth="1"/>
    <col min="5641" max="5646" width="20.6640625" style="279" customWidth="1"/>
    <col min="5647" max="5890" width="9.109375" style="279"/>
    <col min="5891" max="5891" width="57.44140625" style="279" customWidth="1"/>
    <col min="5892" max="5894" width="20.6640625" style="279" customWidth="1"/>
    <col min="5895" max="5896" width="0" style="279" hidden="1" customWidth="1"/>
    <col min="5897" max="5902" width="20.6640625" style="279" customWidth="1"/>
    <col min="5903" max="6146" width="9.109375" style="279"/>
    <col min="6147" max="6147" width="57.44140625" style="279" customWidth="1"/>
    <col min="6148" max="6150" width="20.6640625" style="279" customWidth="1"/>
    <col min="6151" max="6152" width="0" style="279" hidden="1" customWidth="1"/>
    <col min="6153" max="6158" width="20.6640625" style="279" customWidth="1"/>
    <col min="6159" max="6402" width="9.109375" style="279"/>
    <col min="6403" max="6403" width="57.44140625" style="279" customWidth="1"/>
    <col min="6404" max="6406" width="20.6640625" style="279" customWidth="1"/>
    <col min="6407" max="6408" width="0" style="279" hidden="1" customWidth="1"/>
    <col min="6409" max="6414" width="20.6640625" style="279" customWidth="1"/>
    <col min="6415" max="6658" width="9.109375" style="279"/>
    <col min="6659" max="6659" width="57.44140625" style="279" customWidth="1"/>
    <col min="6660" max="6662" width="20.6640625" style="279" customWidth="1"/>
    <col min="6663" max="6664" width="0" style="279" hidden="1" customWidth="1"/>
    <col min="6665" max="6670" width="20.6640625" style="279" customWidth="1"/>
    <col min="6671" max="6914" width="9.109375" style="279"/>
    <col min="6915" max="6915" width="57.44140625" style="279" customWidth="1"/>
    <col min="6916" max="6918" width="20.6640625" style="279" customWidth="1"/>
    <col min="6919" max="6920" width="0" style="279" hidden="1" customWidth="1"/>
    <col min="6921" max="6926" width="20.6640625" style="279" customWidth="1"/>
    <col min="6927" max="7170" width="9.109375" style="279"/>
    <col min="7171" max="7171" width="57.44140625" style="279" customWidth="1"/>
    <col min="7172" max="7174" width="20.6640625" style="279" customWidth="1"/>
    <col min="7175" max="7176" width="0" style="279" hidden="1" customWidth="1"/>
    <col min="7177" max="7182" width="20.6640625" style="279" customWidth="1"/>
    <col min="7183" max="7426" width="9.109375" style="279"/>
    <col min="7427" max="7427" width="57.44140625" style="279" customWidth="1"/>
    <col min="7428" max="7430" width="20.6640625" style="279" customWidth="1"/>
    <col min="7431" max="7432" width="0" style="279" hidden="1" customWidth="1"/>
    <col min="7433" max="7438" width="20.6640625" style="279" customWidth="1"/>
    <col min="7439" max="7682" width="9.109375" style="279"/>
    <col min="7683" max="7683" width="57.44140625" style="279" customWidth="1"/>
    <col min="7684" max="7686" width="20.6640625" style="279" customWidth="1"/>
    <col min="7687" max="7688" width="0" style="279" hidden="1" customWidth="1"/>
    <col min="7689" max="7694" width="20.6640625" style="279" customWidth="1"/>
    <col min="7695" max="7938" width="9.109375" style="279"/>
    <col min="7939" max="7939" width="57.44140625" style="279" customWidth="1"/>
    <col min="7940" max="7942" width="20.6640625" style="279" customWidth="1"/>
    <col min="7943" max="7944" width="0" style="279" hidden="1" customWidth="1"/>
    <col min="7945" max="7950" width="20.6640625" style="279" customWidth="1"/>
    <col min="7951" max="8194" width="9.109375" style="279"/>
    <col min="8195" max="8195" width="57.44140625" style="279" customWidth="1"/>
    <col min="8196" max="8198" width="20.6640625" style="279" customWidth="1"/>
    <col min="8199" max="8200" width="0" style="279" hidden="1" customWidth="1"/>
    <col min="8201" max="8206" width="20.6640625" style="279" customWidth="1"/>
    <col min="8207" max="8450" width="9.109375" style="279"/>
    <col min="8451" max="8451" width="57.44140625" style="279" customWidth="1"/>
    <col min="8452" max="8454" width="20.6640625" style="279" customWidth="1"/>
    <col min="8455" max="8456" width="0" style="279" hidden="1" customWidth="1"/>
    <col min="8457" max="8462" width="20.6640625" style="279" customWidth="1"/>
    <col min="8463" max="8706" width="9.109375" style="279"/>
    <col min="8707" max="8707" width="57.44140625" style="279" customWidth="1"/>
    <col min="8708" max="8710" width="20.6640625" style="279" customWidth="1"/>
    <col min="8711" max="8712" width="0" style="279" hidden="1" customWidth="1"/>
    <col min="8713" max="8718" width="20.6640625" style="279" customWidth="1"/>
    <col min="8719" max="8962" width="9.109375" style="279"/>
    <col min="8963" max="8963" width="57.44140625" style="279" customWidth="1"/>
    <col min="8964" max="8966" width="20.6640625" style="279" customWidth="1"/>
    <col min="8967" max="8968" width="0" style="279" hidden="1" customWidth="1"/>
    <col min="8969" max="8974" width="20.6640625" style="279" customWidth="1"/>
    <col min="8975" max="9218" width="9.109375" style="279"/>
    <col min="9219" max="9219" width="57.44140625" style="279" customWidth="1"/>
    <col min="9220" max="9222" width="20.6640625" style="279" customWidth="1"/>
    <col min="9223" max="9224" width="0" style="279" hidden="1" customWidth="1"/>
    <col min="9225" max="9230" width="20.6640625" style="279" customWidth="1"/>
    <col min="9231" max="9474" width="9.109375" style="279"/>
    <col min="9475" max="9475" width="57.44140625" style="279" customWidth="1"/>
    <col min="9476" max="9478" width="20.6640625" style="279" customWidth="1"/>
    <col min="9479" max="9480" width="0" style="279" hidden="1" customWidth="1"/>
    <col min="9481" max="9486" width="20.6640625" style="279" customWidth="1"/>
    <col min="9487" max="9730" width="9.109375" style="279"/>
    <col min="9731" max="9731" width="57.44140625" style="279" customWidth="1"/>
    <col min="9732" max="9734" width="20.6640625" style="279" customWidth="1"/>
    <col min="9735" max="9736" width="0" style="279" hidden="1" customWidth="1"/>
    <col min="9737" max="9742" width="20.6640625" style="279" customWidth="1"/>
    <col min="9743" max="9986" width="9.109375" style="279"/>
    <col min="9987" max="9987" width="57.44140625" style="279" customWidth="1"/>
    <col min="9988" max="9990" width="20.6640625" style="279" customWidth="1"/>
    <col min="9991" max="9992" width="0" style="279" hidden="1" customWidth="1"/>
    <col min="9993" max="9998" width="20.6640625" style="279" customWidth="1"/>
    <col min="9999" max="10242" width="9.109375" style="279"/>
    <col min="10243" max="10243" width="57.44140625" style="279" customWidth="1"/>
    <col min="10244" max="10246" width="20.6640625" style="279" customWidth="1"/>
    <col min="10247" max="10248" width="0" style="279" hidden="1" customWidth="1"/>
    <col min="10249" max="10254" width="20.6640625" style="279" customWidth="1"/>
    <col min="10255" max="10498" width="9.109375" style="279"/>
    <col min="10499" max="10499" width="57.44140625" style="279" customWidth="1"/>
    <col min="10500" max="10502" width="20.6640625" style="279" customWidth="1"/>
    <col min="10503" max="10504" width="0" style="279" hidden="1" customWidth="1"/>
    <col min="10505" max="10510" width="20.6640625" style="279" customWidth="1"/>
    <col min="10511" max="10754" width="9.109375" style="279"/>
    <col min="10755" max="10755" width="57.44140625" style="279" customWidth="1"/>
    <col min="10756" max="10758" width="20.6640625" style="279" customWidth="1"/>
    <col min="10759" max="10760" width="0" style="279" hidden="1" customWidth="1"/>
    <col min="10761" max="10766" width="20.6640625" style="279" customWidth="1"/>
    <col min="10767" max="11010" width="9.109375" style="279"/>
    <col min="11011" max="11011" width="57.44140625" style="279" customWidth="1"/>
    <col min="11012" max="11014" width="20.6640625" style="279" customWidth="1"/>
    <col min="11015" max="11016" width="0" style="279" hidden="1" customWidth="1"/>
    <col min="11017" max="11022" width="20.6640625" style="279" customWidth="1"/>
    <col min="11023" max="11266" width="9.109375" style="279"/>
    <col min="11267" max="11267" width="57.44140625" style="279" customWidth="1"/>
    <col min="11268" max="11270" width="20.6640625" style="279" customWidth="1"/>
    <col min="11271" max="11272" width="0" style="279" hidden="1" customWidth="1"/>
    <col min="11273" max="11278" width="20.6640625" style="279" customWidth="1"/>
    <col min="11279" max="11522" width="9.109375" style="279"/>
    <col min="11523" max="11523" width="57.44140625" style="279" customWidth="1"/>
    <col min="11524" max="11526" width="20.6640625" style="279" customWidth="1"/>
    <col min="11527" max="11528" width="0" style="279" hidden="1" customWidth="1"/>
    <col min="11529" max="11534" width="20.6640625" style="279" customWidth="1"/>
    <col min="11535" max="11778" width="9.109375" style="279"/>
    <col min="11779" max="11779" width="57.44140625" style="279" customWidth="1"/>
    <col min="11780" max="11782" width="20.6640625" style="279" customWidth="1"/>
    <col min="11783" max="11784" width="0" style="279" hidden="1" customWidth="1"/>
    <col min="11785" max="11790" width="20.6640625" style="279" customWidth="1"/>
    <col min="11791" max="12034" width="9.109375" style="279"/>
    <col min="12035" max="12035" width="57.44140625" style="279" customWidth="1"/>
    <col min="12036" max="12038" width="20.6640625" style="279" customWidth="1"/>
    <col min="12039" max="12040" width="0" style="279" hidden="1" customWidth="1"/>
    <col min="12041" max="12046" width="20.6640625" style="279" customWidth="1"/>
    <col min="12047" max="12290" width="9.109375" style="279"/>
    <col min="12291" max="12291" width="57.44140625" style="279" customWidth="1"/>
    <col min="12292" max="12294" width="20.6640625" style="279" customWidth="1"/>
    <col min="12295" max="12296" width="0" style="279" hidden="1" customWidth="1"/>
    <col min="12297" max="12302" width="20.6640625" style="279" customWidth="1"/>
    <col min="12303" max="12546" width="9.109375" style="279"/>
    <col min="12547" max="12547" width="57.44140625" style="279" customWidth="1"/>
    <col min="12548" max="12550" width="20.6640625" style="279" customWidth="1"/>
    <col min="12551" max="12552" width="0" style="279" hidden="1" customWidth="1"/>
    <col min="12553" max="12558" width="20.6640625" style="279" customWidth="1"/>
    <col min="12559" max="12802" width="9.109375" style="279"/>
    <col min="12803" max="12803" width="57.44140625" style="279" customWidth="1"/>
    <col min="12804" max="12806" width="20.6640625" style="279" customWidth="1"/>
    <col min="12807" max="12808" width="0" style="279" hidden="1" customWidth="1"/>
    <col min="12809" max="12814" width="20.6640625" style="279" customWidth="1"/>
    <col min="12815" max="13058" width="9.109375" style="279"/>
    <col min="13059" max="13059" width="57.44140625" style="279" customWidth="1"/>
    <col min="13060" max="13062" width="20.6640625" style="279" customWidth="1"/>
    <col min="13063" max="13064" width="0" style="279" hidden="1" customWidth="1"/>
    <col min="13065" max="13070" width="20.6640625" style="279" customWidth="1"/>
    <col min="13071" max="13314" width="9.109375" style="279"/>
    <col min="13315" max="13315" width="57.44140625" style="279" customWidth="1"/>
    <col min="13316" max="13318" width="20.6640625" style="279" customWidth="1"/>
    <col min="13319" max="13320" width="0" style="279" hidden="1" customWidth="1"/>
    <col min="13321" max="13326" width="20.6640625" style="279" customWidth="1"/>
    <col min="13327" max="13570" width="9.109375" style="279"/>
    <col min="13571" max="13571" width="57.44140625" style="279" customWidth="1"/>
    <col min="13572" max="13574" width="20.6640625" style="279" customWidth="1"/>
    <col min="13575" max="13576" width="0" style="279" hidden="1" customWidth="1"/>
    <col min="13577" max="13582" width="20.6640625" style="279" customWidth="1"/>
    <col min="13583" max="13826" width="9.109375" style="279"/>
    <col min="13827" max="13827" width="57.44140625" style="279" customWidth="1"/>
    <col min="13828" max="13830" width="20.6640625" style="279" customWidth="1"/>
    <col min="13831" max="13832" width="0" style="279" hidden="1" customWidth="1"/>
    <col min="13833" max="13838" width="20.6640625" style="279" customWidth="1"/>
    <col min="13839" max="14082" width="9.109375" style="279"/>
    <col min="14083" max="14083" width="57.44140625" style="279" customWidth="1"/>
    <col min="14084" max="14086" width="20.6640625" style="279" customWidth="1"/>
    <col min="14087" max="14088" width="0" style="279" hidden="1" customWidth="1"/>
    <col min="14089" max="14094" width="20.6640625" style="279" customWidth="1"/>
    <col min="14095" max="14338" width="9.109375" style="279"/>
    <col min="14339" max="14339" width="57.44140625" style="279" customWidth="1"/>
    <col min="14340" max="14342" width="20.6640625" style="279" customWidth="1"/>
    <col min="14343" max="14344" width="0" style="279" hidden="1" customWidth="1"/>
    <col min="14345" max="14350" width="20.6640625" style="279" customWidth="1"/>
    <col min="14351" max="14594" width="9.109375" style="279"/>
    <col min="14595" max="14595" width="57.44140625" style="279" customWidth="1"/>
    <col min="14596" max="14598" width="20.6640625" style="279" customWidth="1"/>
    <col min="14599" max="14600" width="0" style="279" hidden="1" customWidth="1"/>
    <col min="14601" max="14606" width="20.6640625" style="279" customWidth="1"/>
    <col min="14607" max="14850" width="9.109375" style="279"/>
    <col min="14851" max="14851" width="57.44140625" style="279" customWidth="1"/>
    <col min="14852" max="14854" width="20.6640625" style="279" customWidth="1"/>
    <col min="14855" max="14856" width="0" style="279" hidden="1" customWidth="1"/>
    <col min="14857" max="14862" width="20.6640625" style="279" customWidth="1"/>
    <col min="14863" max="15106" width="9.109375" style="279"/>
    <col min="15107" max="15107" width="57.44140625" style="279" customWidth="1"/>
    <col min="15108" max="15110" width="20.6640625" style="279" customWidth="1"/>
    <col min="15111" max="15112" width="0" style="279" hidden="1" customWidth="1"/>
    <col min="15113" max="15118" width="20.6640625" style="279" customWidth="1"/>
    <col min="15119" max="15362" width="9.109375" style="279"/>
    <col min="15363" max="15363" width="57.44140625" style="279" customWidth="1"/>
    <col min="15364" max="15366" width="20.6640625" style="279" customWidth="1"/>
    <col min="15367" max="15368" width="0" style="279" hidden="1" customWidth="1"/>
    <col min="15369" max="15374" width="20.6640625" style="279" customWidth="1"/>
    <col min="15375" max="15618" width="9.109375" style="279"/>
    <col min="15619" max="15619" width="57.44140625" style="279" customWidth="1"/>
    <col min="15620" max="15622" width="20.6640625" style="279" customWidth="1"/>
    <col min="15623" max="15624" width="0" style="279" hidden="1" customWidth="1"/>
    <col min="15625" max="15630" width="20.6640625" style="279" customWidth="1"/>
    <col min="15631" max="15874" width="9.109375" style="279"/>
    <col min="15875" max="15875" width="57.44140625" style="279" customWidth="1"/>
    <col min="15876" max="15878" width="20.6640625" style="279" customWidth="1"/>
    <col min="15879" max="15880" width="0" style="279" hidden="1" customWidth="1"/>
    <col min="15881" max="15886" width="20.6640625" style="279" customWidth="1"/>
    <col min="15887" max="16130" width="9.109375" style="279"/>
    <col min="16131" max="16131" width="57.44140625" style="279" customWidth="1"/>
    <col min="16132" max="16134" width="20.6640625" style="279" customWidth="1"/>
    <col min="16135" max="16136" width="0" style="279" hidden="1" customWidth="1"/>
    <col min="16137" max="16142" width="20.6640625" style="279" customWidth="1"/>
    <col min="16143" max="16384" width="9.109375" style="279"/>
  </cols>
  <sheetData>
    <row r="1" spans="1:18" x14ac:dyDescent="0.25">
      <c r="C1" s="279"/>
    </row>
    <row r="2" spans="1:18" ht="15" x14ac:dyDescent="0.25">
      <c r="A2" s="280" t="s">
        <v>427</v>
      </c>
      <c r="C2" s="279"/>
    </row>
    <row r="3" spans="1:18" ht="13.8" x14ac:dyDescent="0.25">
      <c r="A3" s="281"/>
      <c r="C3" s="279"/>
    </row>
    <row r="4" spans="1:18" ht="13.8" x14ac:dyDescent="0.25">
      <c r="A4" s="281"/>
      <c r="C4" s="279"/>
    </row>
    <row r="5" spans="1:18" ht="20.100000000000001" customHeight="1" x14ac:dyDescent="0.25">
      <c r="A5" s="282" t="s">
        <v>428</v>
      </c>
      <c r="C5" s="279"/>
    </row>
    <row r="6" spans="1:18" ht="42.75" customHeight="1" thickBot="1" x14ac:dyDescent="0.3">
      <c r="A6" s="282"/>
      <c r="C6" s="279"/>
    </row>
    <row r="7" spans="1:18" ht="39.75" customHeight="1" thickBot="1" x14ac:dyDescent="0.3">
      <c r="A7" s="283" t="s">
        <v>429</v>
      </c>
      <c r="B7" s="284" t="s">
        <v>430</v>
      </c>
      <c r="C7" s="285">
        <v>2011</v>
      </c>
      <c r="D7" s="285">
        <v>2012</v>
      </c>
      <c r="E7" s="286" t="s">
        <v>431</v>
      </c>
      <c r="F7" s="286" t="s">
        <v>432</v>
      </c>
      <c r="G7" s="285" t="s">
        <v>433</v>
      </c>
      <c r="H7" s="285">
        <v>2014</v>
      </c>
      <c r="I7" s="287">
        <v>2015</v>
      </c>
      <c r="J7" s="285">
        <v>2016</v>
      </c>
      <c r="K7" s="288">
        <v>2017</v>
      </c>
      <c r="L7" s="422">
        <v>2018</v>
      </c>
      <c r="M7" s="287">
        <v>2019</v>
      </c>
      <c r="N7" s="285">
        <v>2020</v>
      </c>
      <c r="O7" s="288">
        <v>2021</v>
      </c>
      <c r="P7" s="504">
        <v>2022</v>
      </c>
      <c r="Q7" s="474">
        <v>2023</v>
      </c>
      <c r="R7" s="474">
        <v>2024</v>
      </c>
    </row>
    <row r="8" spans="1:18" ht="30" customHeight="1" thickBot="1" x14ac:dyDescent="0.3">
      <c r="A8" s="1354" t="s">
        <v>434</v>
      </c>
      <c r="B8" s="1354"/>
      <c r="C8" s="279"/>
      <c r="E8" s="289"/>
      <c r="F8" s="289"/>
    </row>
    <row r="9" spans="1:18" ht="30" customHeight="1" x14ac:dyDescent="0.25">
      <c r="A9" s="290"/>
      <c r="B9" s="291"/>
      <c r="C9" s="292"/>
      <c r="D9" s="292"/>
      <c r="E9" s="293"/>
      <c r="F9" s="293"/>
      <c r="G9" s="292"/>
      <c r="H9" s="292"/>
      <c r="I9" s="294"/>
      <c r="J9" s="292"/>
      <c r="K9" s="292"/>
      <c r="L9" s="373"/>
      <c r="M9" s="292"/>
      <c r="N9" s="294"/>
      <c r="O9" s="294"/>
      <c r="P9" s="294"/>
      <c r="Q9" s="374"/>
      <c r="R9" s="374"/>
    </row>
    <row r="10" spans="1:18" ht="30" customHeight="1" x14ac:dyDescent="0.25">
      <c r="A10" s="552"/>
      <c r="B10" s="554"/>
      <c r="C10" s="555"/>
      <c r="D10" s="555"/>
      <c r="E10" s="556"/>
      <c r="F10" s="556"/>
      <c r="G10" s="555"/>
      <c r="H10" s="555"/>
      <c r="I10" s="557"/>
      <c r="J10" s="555"/>
      <c r="K10" s="555"/>
      <c r="L10" s="558"/>
      <c r="M10" s="555"/>
      <c r="N10" s="557"/>
      <c r="O10" s="557"/>
      <c r="P10" s="557"/>
      <c r="Q10" s="559"/>
      <c r="R10" s="559"/>
    </row>
    <row r="11" spans="1:18" ht="29.4" customHeight="1" x14ac:dyDescent="0.25">
      <c r="A11" s="569" t="s">
        <v>654</v>
      </c>
      <c r="B11" s="570" t="s">
        <v>655</v>
      </c>
      <c r="C11" s="568" t="s">
        <v>278</v>
      </c>
      <c r="D11" s="571" t="s">
        <v>278</v>
      </c>
      <c r="E11" s="568" t="s">
        <v>278</v>
      </c>
      <c r="F11" s="568" t="s">
        <v>278</v>
      </c>
      <c r="G11" s="568" t="s">
        <v>278</v>
      </c>
      <c r="H11" s="571" t="s">
        <v>278</v>
      </c>
      <c r="I11" s="568" t="s">
        <v>278</v>
      </c>
      <c r="J11" s="571" t="s">
        <v>278</v>
      </c>
      <c r="K11" s="568" t="s">
        <v>278</v>
      </c>
      <c r="L11" s="571" t="s">
        <v>278</v>
      </c>
      <c r="M11" s="568" t="s">
        <v>278</v>
      </c>
      <c r="N11" s="571" t="s">
        <v>278</v>
      </c>
      <c r="O11" s="568" t="s">
        <v>278</v>
      </c>
      <c r="P11" s="571" t="s">
        <v>278</v>
      </c>
      <c r="Q11" s="572">
        <f>'[1]INDICATORI DI PRESTAZIONE'!$B$12</f>
        <v>0.10617691599499279</v>
      </c>
      <c r="R11" s="573"/>
    </row>
    <row r="12" spans="1:18" ht="30" customHeight="1" x14ac:dyDescent="0.25">
      <c r="A12" s="553" t="s">
        <v>435</v>
      </c>
      <c r="B12" s="560" t="s">
        <v>436</v>
      </c>
      <c r="C12" s="561">
        <v>88.72</v>
      </c>
      <c r="D12" s="561">
        <v>89.584000000000003</v>
      </c>
      <c r="E12" s="562">
        <v>93.23</v>
      </c>
      <c r="F12" s="562">
        <v>86.76</v>
      </c>
      <c r="G12" s="561">
        <v>92.02</v>
      </c>
      <c r="H12" s="563">
        <f>'[2]INDICATORI DI PRESTAZIONE'!$B$12</f>
        <v>91.196969405621587</v>
      </c>
      <c r="I12" s="564">
        <f>'[3]INDICATORI DI PRESTAZIONE'!$B$12</f>
        <v>96.050784498873767</v>
      </c>
      <c r="J12" s="563">
        <f>'[4]INDICATORI DI PRESTAZIONE'!$B$12</f>
        <v>100.84607698116187</v>
      </c>
      <c r="K12" s="565">
        <f>'[5]INDICATORI DI PRESTAZIONE'!$B$12</f>
        <v>100.26041003460232</v>
      </c>
      <c r="L12" s="563">
        <f>'[6]INDICATORI DI PRESTAZIONE'!$B$12</f>
        <v>99.320084706355971</v>
      </c>
      <c r="M12" s="564">
        <f>'[7]INDICATORI DI PRESTAZIONE'!$B$12</f>
        <v>102.3250059041347</v>
      </c>
      <c r="N12" s="566">
        <f>'[8]INDICATORI DI PRESTAZIONE'!$B$12</f>
        <v>100.85259600303414</v>
      </c>
      <c r="O12" s="566">
        <f>'[9]INDICATORI DI PRESTAZIONE'!$B$12</f>
        <v>120.24227951780281</v>
      </c>
      <c r="P12" s="566">
        <f>'[10]INDICATORI DI PRESTAZIONE'!$B$12</f>
        <v>126.07097232755169</v>
      </c>
      <c r="Q12" s="567" t="s">
        <v>278</v>
      </c>
      <c r="R12" s="567" t="s">
        <v>278</v>
      </c>
    </row>
    <row r="13" spans="1:18" ht="30" customHeight="1" x14ac:dyDescent="0.25">
      <c r="A13" s="303" t="s">
        <v>437</v>
      </c>
      <c r="B13" s="304" t="s">
        <v>436</v>
      </c>
      <c r="C13" s="305">
        <v>83.06</v>
      </c>
      <c r="D13" s="305">
        <v>84.177000000000007</v>
      </c>
      <c r="E13" s="306">
        <v>87.560068959999995</v>
      </c>
      <c r="F13" s="306">
        <v>84.958151799999996</v>
      </c>
      <c r="G13" s="305">
        <v>87.074310330000003</v>
      </c>
      <c r="H13" s="305">
        <f>'[2]INDICATORI DI PRESTAZIONE'!$B$13</f>
        <v>85.636163667633753</v>
      </c>
      <c r="I13" s="307">
        <f>'[3]INDICATORI DI PRESTAZIONE'!$B$13</f>
        <v>88.612722546146031</v>
      </c>
      <c r="J13" s="305">
        <f>'[4]INDICATORI DI PRESTAZIONE'!$B$13</f>
        <v>91.790481437726001</v>
      </c>
      <c r="K13" s="308">
        <f>'[5]INDICATORI DI PRESTAZIONE'!$B$13</f>
        <v>91.810814989507094</v>
      </c>
      <c r="L13" s="305">
        <f>'[6]INDICATORI DI PRESTAZIONE'!$B$13</f>
        <v>91.729838800053699</v>
      </c>
      <c r="M13" s="307">
        <f>'[7]INDICATORI DI PRESTAZIONE'!$B$13</f>
        <v>94.150146815080745</v>
      </c>
      <c r="N13" s="452">
        <f>'[8]INDICATORI DI PRESTAZIONE'!$B$13</f>
        <v>93.173017335588298</v>
      </c>
      <c r="O13" s="452">
        <f>'[9]INDICATORI DI PRESTAZIONE'!$B$13</f>
        <v>108.97567676541743</v>
      </c>
      <c r="P13" s="452">
        <f>'[10]INDICATORI DI PRESTAZIONE'!$B$13</f>
        <v>111.17340270172966</v>
      </c>
      <c r="Q13" s="457">
        <f>'[11]INDICATORI DI PRESTAZIONE'!$B$13</f>
        <v>109.45639393938686</v>
      </c>
      <c r="R13" s="457">
        <v>101.06189907269865</v>
      </c>
    </row>
    <row r="14" spans="1:18" ht="30" customHeight="1" thickBot="1" x14ac:dyDescent="0.3">
      <c r="A14" s="309" t="s">
        <v>438</v>
      </c>
      <c r="B14" s="310" t="s">
        <v>436</v>
      </c>
      <c r="C14" s="311">
        <v>5.67</v>
      </c>
      <c r="D14" s="311">
        <v>5.407</v>
      </c>
      <c r="E14" s="312">
        <v>5.668577924</v>
      </c>
      <c r="F14" s="312">
        <v>1.7993247429999999</v>
      </c>
      <c r="G14" s="311">
        <v>4.9462170609999996</v>
      </c>
      <c r="H14" s="311">
        <f>'[2]INDICATORI DI PRESTAZIONE'!$B$14</f>
        <v>5.5608057379878337</v>
      </c>
      <c r="I14" s="313">
        <f>'[3]INDICATORI DI PRESTAZIONE'!$B$14</f>
        <v>7.4380619527277245</v>
      </c>
      <c r="J14" s="311">
        <f>'[4]INDICATORI DI PRESTAZIONE'!$B$14</f>
        <v>9.0555955434358708</v>
      </c>
      <c r="K14" s="314">
        <f>'[5]INDICATORI DI PRESTAZIONE'!$B$14</f>
        <v>8.4495950450952257</v>
      </c>
      <c r="L14" s="311">
        <f>'[6]INDICATORI DI PRESTAZIONE'!$B$14</f>
        <v>7.5902459063022762</v>
      </c>
      <c r="M14" s="313">
        <f>'[7]INDICATORI DI PRESTAZIONE'!$B$14</f>
        <v>8.1748590890539585</v>
      </c>
      <c r="N14" s="453">
        <f>'[8]INDICATORI DI PRESTAZIONE'!$B$14</f>
        <v>7.6795786674458348</v>
      </c>
      <c r="O14" s="453">
        <f>'[9]INDICATORI DI PRESTAZIONE'!$B$14</f>
        <v>11.266602752385381</v>
      </c>
      <c r="P14" s="453">
        <f>'[10]INDICATORI DI PRESTAZIONE'!$B$14</f>
        <v>14.897569625822037</v>
      </c>
      <c r="Q14" s="456">
        <f>'[11]INDICATORI DI PRESTAZIONE'!$B$14</f>
        <v>10.614539774030936</v>
      </c>
      <c r="R14" s="456">
        <v>7.5269607009644002</v>
      </c>
    </row>
    <row r="15" spans="1:18" ht="24" customHeight="1" thickBot="1" x14ac:dyDescent="0.3">
      <c r="A15" s="315" t="s">
        <v>439</v>
      </c>
      <c r="B15" s="315"/>
      <c r="C15" s="316"/>
      <c r="D15" s="316"/>
      <c r="E15" s="317"/>
      <c r="F15" s="317"/>
      <c r="G15" s="316"/>
      <c r="H15" s="316"/>
      <c r="I15" s="318"/>
      <c r="N15" s="454"/>
      <c r="O15" s="454"/>
      <c r="P15" s="525"/>
    </row>
    <row r="16" spans="1:18" ht="24" customHeight="1" x14ac:dyDescent="0.25">
      <c r="A16" s="319" t="s">
        <v>440</v>
      </c>
      <c r="B16" s="319" t="s">
        <v>441</v>
      </c>
      <c r="C16" s="298">
        <v>3.9740000000000001E-3</v>
      </c>
      <c r="D16" s="298">
        <v>1.04E-2</v>
      </c>
      <c r="E16" s="299" t="s">
        <v>81</v>
      </c>
      <c r="F16" s="299">
        <v>6.362281E-3</v>
      </c>
      <c r="G16" s="298">
        <v>1.606049E-3</v>
      </c>
      <c r="H16" s="298">
        <f>'[2]INDICATORI DI PRESTAZIONE'!$B$16</f>
        <v>1.2919569879039725E-2</v>
      </c>
      <c r="I16" s="320">
        <f>'[3]INDICATORI DI PRESTAZIONE'!$B$16</f>
        <v>8.4967511498756348E-3</v>
      </c>
      <c r="J16" s="298">
        <f>'[4]INDICATORI DI PRESTAZIONE'!$B$16</f>
        <v>5.3493850195616499E-3</v>
      </c>
      <c r="K16" s="321">
        <f>'[5]INDICATORI DI PRESTAZIONE'!$B$16</f>
        <v>5.7830921997391784E-3</v>
      </c>
      <c r="L16" s="298">
        <f>'[6]INDICATORI DI PRESTAZIONE'!$B$16</f>
        <v>7.8623077383373208E-3</v>
      </c>
      <c r="M16" s="320">
        <f>'[7]INDICATORI DI PRESTAZIONE'!$B$16</f>
        <v>5.5740337261661341E-3</v>
      </c>
      <c r="N16" s="455">
        <f>'[8]INDICATORI DI PRESTAZIONE'!$B$16</f>
        <v>4.3221842856308737E-3</v>
      </c>
      <c r="O16" s="455">
        <f>'[9]INDICATORI DI PRESTAZIONE'!$B$16</f>
        <v>2.2200170405382341E-2</v>
      </c>
      <c r="P16" s="455">
        <f>'[10]INDICATORI DI PRESTAZIONE'!$B$16</f>
        <v>1.5941204221130052E-2</v>
      </c>
      <c r="Q16" s="505">
        <f>'[11]INDICATORI DI PRESTAZIONE'!$B$16</f>
        <v>1.636646824343399E-2</v>
      </c>
      <c r="R16" s="505">
        <v>5.7966409427539058E-3</v>
      </c>
    </row>
    <row r="17" spans="1:18" ht="30" customHeight="1" thickBot="1" x14ac:dyDescent="0.3">
      <c r="A17" s="322"/>
      <c r="B17" s="322"/>
      <c r="C17" s="311"/>
      <c r="D17" s="311"/>
      <c r="E17" s="312"/>
      <c r="F17" s="312"/>
      <c r="G17" s="311"/>
      <c r="H17" s="311"/>
      <c r="I17" s="313"/>
      <c r="J17" s="311"/>
      <c r="K17" s="314"/>
      <c r="L17" s="311"/>
      <c r="M17" s="313"/>
      <c r="N17" s="453"/>
      <c r="O17" s="453"/>
      <c r="P17" s="453"/>
      <c r="Q17" s="456"/>
      <c r="R17" s="456"/>
    </row>
    <row r="18" spans="1:18" ht="27.75" customHeight="1" thickBot="1" x14ac:dyDescent="0.3">
      <c r="A18" s="323" t="s">
        <v>442</v>
      </c>
      <c r="B18" s="324"/>
      <c r="C18" s="318"/>
      <c r="D18" s="318"/>
      <c r="E18" s="325"/>
      <c r="F18" s="325"/>
      <c r="G18" s="318"/>
      <c r="H18" s="318"/>
      <c r="I18" s="318"/>
      <c r="J18" s="326"/>
      <c r="K18" s="326"/>
      <c r="L18" s="326"/>
      <c r="M18" s="326"/>
      <c r="N18" s="454"/>
      <c r="O18" s="454"/>
    </row>
    <row r="19" spans="1:18" ht="30" customHeight="1" x14ac:dyDescent="0.25">
      <c r="A19" s="319" t="s">
        <v>443</v>
      </c>
      <c r="B19" s="319" t="s">
        <v>444</v>
      </c>
      <c r="C19" s="298">
        <v>60.75</v>
      </c>
      <c r="D19" s="298">
        <v>51.66</v>
      </c>
      <c r="E19" s="299">
        <v>74.36</v>
      </c>
      <c r="F19" s="299">
        <v>64.739999999999995</v>
      </c>
      <c r="G19" s="298">
        <v>72.64</v>
      </c>
      <c r="H19" s="300">
        <f>'[2]INDICATORI DI PRESTAZIONE'!$B$19</f>
        <v>61.300105011653145</v>
      </c>
      <c r="I19" s="301">
        <f>'[3]INDICATORI DI PRESTAZIONE'!$B$19</f>
        <v>61.01986646391493</v>
      </c>
      <c r="J19" s="300">
        <f>'[4]INDICATORI DI PRESTAZIONE'!$B$19</f>
        <v>76.670424383793943</v>
      </c>
      <c r="K19" s="302">
        <f>'[5]INDICATORI DI PRESTAZIONE'!$B$19</f>
        <v>64.93719345874996</v>
      </c>
      <c r="L19" s="300">
        <f>'[6]INDICATORI DI PRESTAZIONE'!$B$19</f>
        <v>60.271981769399325</v>
      </c>
      <c r="M19" s="301">
        <f>'[7]INDICATORI DI PRESTAZIONE'!$B$19</f>
        <v>69.534529058832362</v>
      </c>
      <c r="N19" s="451">
        <f>'[8]INDICATORI DI PRESTAZIONE'!$B$19</f>
        <v>74.816009271556354</v>
      </c>
      <c r="O19" s="451">
        <f>'[9]INDICATORI DI PRESTAZIONE'!$B$19</f>
        <v>68.061803173726361</v>
      </c>
      <c r="P19" s="451">
        <f>'[10]INDICATORI DI PRESTAZIONE'!$B$19</f>
        <v>61.753749620986035</v>
      </c>
      <c r="Q19" s="529">
        <f>'[11]INDICATORI DI PRESTAZIONE'!$B$19</f>
        <v>61.829082626041583</v>
      </c>
      <c r="R19" s="529">
        <v>61.086417560495534</v>
      </c>
    </row>
    <row r="20" spans="1:18" ht="30" customHeight="1" x14ac:dyDescent="0.25">
      <c r="A20" s="327" t="s">
        <v>445</v>
      </c>
      <c r="B20" s="328" t="s">
        <v>444</v>
      </c>
      <c r="C20" s="305">
        <v>49.37</v>
      </c>
      <c r="D20" s="305">
        <v>41.718000000000004</v>
      </c>
      <c r="E20" s="306">
        <v>61.510334579999999</v>
      </c>
      <c r="F20" s="306">
        <v>50.89994385</v>
      </c>
      <c r="G20" s="305">
        <v>59.529453349999997</v>
      </c>
      <c r="H20" s="305">
        <f>'[2]INDICATORI DI PRESTAZIONE'!$B$20</f>
        <v>51.135971936640253</v>
      </c>
      <c r="I20" s="307">
        <f>'[3]INDICATORI DI PRESTAZIONE'!$B$20</f>
        <v>55.290161650800322</v>
      </c>
      <c r="J20" s="305">
        <f>'[4]INDICATORI DI PRESTAZIONE'!$B$20</f>
        <v>64.70014024520141</v>
      </c>
      <c r="K20" s="308">
        <f>'[5]INDICATORI DI PRESTAZIONE'!$B$20</f>
        <v>54.975637068523518</v>
      </c>
      <c r="L20" s="305">
        <f>'[6]INDICATORI DI PRESTAZIONE'!$B$20</f>
        <v>52.019059360410481</v>
      </c>
      <c r="M20" s="307">
        <f>'[7]INDICATORI DI PRESTAZIONE'!$B$20</f>
        <v>58.32472260514546</v>
      </c>
      <c r="N20" s="452">
        <f>'[8]INDICATORI DI PRESTAZIONE'!$B$20</f>
        <v>63.950651747855005</v>
      </c>
      <c r="O20" s="475">
        <f>'[9]INDICATORI DI PRESTAZIONE'!$B$20</f>
        <v>67.176215058067328</v>
      </c>
      <c r="P20" s="475">
        <f>'[10]INDICATORI DI PRESTAZIONE'!$B$20</f>
        <v>59.853040617140209</v>
      </c>
      <c r="Q20" s="530">
        <f>'[11]INDICATORI DI PRESTAZIONE'!$B$20</f>
        <v>62.916014604935384</v>
      </c>
      <c r="R20" s="530">
        <v>57.519922247568715</v>
      </c>
    </row>
    <row r="21" spans="1:18" ht="30" customHeight="1" x14ac:dyDescent="0.25">
      <c r="A21" s="329"/>
      <c r="B21" s="330"/>
      <c r="C21" s="305"/>
      <c r="D21" s="305"/>
      <c r="E21" s="306"/>
      <c r="F21" s="306"/>
      <c r="G21" s="305"/>
      <c r="H21" s="305"/>
      <c r="I21" s="331"/>
      <c r="J21" s="332"/>
      <c r="K21" s="308"/>
      <c r="L21" s="305"/>
      <c r="M21" s="307"/>
      <c r="N21" s="452"/>
      <c r="O21" s="452"/>
      <c r="P21" s="452"/>
      <c r="Q21" s="457"/>
      <c r="R21" s="457"/>
    </row>
    <row r="22" spans="1:18" ht="30" customHeight="1" x14ac:dyDescent="0.25">
      <c r="A22" s="333"/>
      <c r="B22" s="334"/>
      <c r="C22" s="305"/>
      <c r="D22" s="305"/>
      <c r="E22" s="306"/>
      <c r="F22" s="306"/>
      <c r="G22" s="305"/>
      <c r="H22" s="305"/>
      <c r="I22" s="331"/>
      <c r="J22" s="332"/>
      <c r="K22" s="335"/>
      <c r="L22" s="332"/>
      <c r="M22" s="331"/>
      <c r="N22" s="452"/>
      <c r="O22" s="452"/>
      <c r="P22" s="452"/>
      <c r="Q22" s="457"/>
      <c r="R22" s="457"/>
    </row>
    <row r="23" spans="1:18" ht="30" customHeight="1" thickBot="1" x14ac:dyDescent="0.3">
      <c r="A23" s="336"/>
      <c r="B23" s="337"/>
      <c r="C23" s="311"/>
      <c r="D23" s="311"/>
      <c r="E23" s="312"/>
      <c r="F23" s="312"/>
      <c r="G23" s="311"/>
      <c r="H23" s="311"/>
      <c r="I23" s="338"/>
      <c r="J23" s="339"/>
      <c r="K23" s="340"/>
      <c r="L23" s="339"/>
      <c r="M23" s="338"/>
      <c r="N23" s="453"/>
      <c r="O23" s="453"/>
      <c r="P23" s="453"/>
      <c r="Q23" s="456"/>
      <c r="R23" s="456"/>
    </row>
    <row r="24" spans="1:18" ht="29.25" customHeight="1" thickBot="1" x14ac:dyDescent="0.3">
      <c r="A24" s="341" t="s">
        <v>446</v>
      </c>
      <c r="B24" s="315"/>
      <c r="C24" s="318"/>
      <c r="D24" s="318"/>
      <c r="E24" s="325"/>
      <c r="F24" s="325"/>
      <c r="G24" s="318"/>
      <c r="H24" s="318"/>
      <c r="I24" s="316"/>
      <c r="N24" s="454"/>
      <c r="O24" s="454"/>
      <c r="P24" s="525"/>
    </row>
    <row r="25" spans="1:18" ht="30" customHeight="1" x14ac:dyDescent="0.25">
      <c r="A25" s="296" t="s">
        <v>447</v>
      </c>
      <c r="B25" s="297" t="s">
        <v>441</v>
      </c>
      <c r="C25" s="298">
        <v>1.56</v>
      </c>
      <c r="D25" s="298">
        <v>1.833</v>
      </c>
      <c r="E25" s="299">
        <v>1.6337427</v>
      </c>
      <c r="F25" s="299">
        <v>1.4446201569999999</v>
      </c>
      <c r="G25" s="298">
        <v>1.6225257420000001</v>
      </c>
      <c r="H25" s="298">
        <f>'[2]INDICATORI DI PRESTAZIONE'!$B$25</f>
        <v>1.8140360805707152</v>
      </c>
      <c r="I25" s="320">
        <f>'[3]INDICATORI DI PRESTAZIONE'!$B$25</f>
        <v>2.2987296729778839</v>
      </c>
      <c r="J25" s="298">
        <f>'[4]INDICATORI DI PRESTAZIONE'!$B$25</f>
        <v>3.807395474210761</v>
      </c>
      <c r="K25" s="321">
        <f>'[5]INDICATORI DI PRESTAZIONE'!$B$25</f>
        <v>2.4095622865436184</v>
      </c>
      <c r="L25" s="298">
        <f>'[6]INDICATORI DI PRESTAZIONE'!$B$25</f>
        <v>2.3117806030579016</v>
      </c>
      <c r="M25" s="320">
        <f>'[7]INDICATORI DI PRESTAZIONE'!$B$25</f>
        <v>2.2756327699024639</v>
      </c>
      <c r="N25" s="455">
        <f>'[8]INDICATORI DI PRESTAZIONE'!$B$25</f>
        <v>1.7575403256220841</v>
      </c>
      <c r="O25" s="455">
        <f>'[9]INDICATORI DI PRESTAZIONE'!$B$25</f>
        <v>2.1119856200224856</v>
      </c>
      <c r="P25" s="455">
        <f>'[10]INDICATORI DI PRESTAZIONE'!$B$25</f>
        <v>1.896406888436087</v>
      </c>
      <c r="Q25" s="505">
        <f>'[11]INDICATORI DI PRESTAZIONE'!$B$25</f>
        <v>3.8386721119035006</v>
      </c>
      <c r="R25" s="505">
        <v>1.964211034789628</v>
      </c>
    </row>
    <row r="26" spans="1:18" ht="30" customHeight="1" x14ac:dyDescent="0.25">
      <c r="A26" s="303" t="s">
        <v>448</v>
      </c>
      <c r="B26" s="304" t="s">
        <v>441</v>
      </c>
      <c r="C26" s="305">
        <v>1.54</v>
      </c>
      <c r="D26" s="305">
        <v>1.8009999999999999</v>
      </c>
      <c r="E26" s="306">
        <v>1.628731632</v>
      </c>
      <c r="F26" s="306">
        <v>1.4402103930000001</v>
      </c>
      <c r="G26" s="305">
        <v>1.5935361159999999</v>
      </c>
      <c r="H26" s="305">
        <f>'[2]INDICATORI DI PRESTAZIONE'!$B$26</f>
        <v>1.7917821063481008</v>
      </c>
      <c r="I26" s="307">
        <f>'[3]INDICATORI DI PRESTAZIONE'!$B$26</f>
        <v>2.2796298458008413</v>
      </c>
      <c r="J26" s="305">
        <f>'[4]INDICATORI DI PRESTAZIONE'!$B$26</f>
        <v>3.7744105231401703</v>
      </c>
      <c r="K26" s="308">
        <f>'[5]INDICATORI DI PRESTAZIONE'!$B$26</f>
        <v>2.3756403298553623</v>
      </c>
      <c r="L26" s="305">
        <f>'[6]INDICATORI DI PRESTAZIONE'!$B$26</f>
        <v>2.2263444311138003</v>
      </c>
      <c r="M26" s="307">
        <f>'[7]INDICATORI DI PRESTAZIONE'!$B$26</f>
        <v>2.2464704085998908</v>
      </c>
      <c r="N26" s="452">
        <f>'[8]INDICATORI DI PRESTAZIONE'!$B$26</f>
        <v>1.5977012848016716</v>
      </c>
      <c r="O26" s="452">
        <f>'[9]INDICATORI DI PRESTAZIONE'!$B$26</f>
        <v>2.0772754563273668</v>
      </c>
      <c r="P26" s="452">
        <f>'[10]INDICATORI DI PRESTAZIONE'!$B$26</f>
        <v>1.773293518158721</v>
      </c>
      <c r="Q26" s="457">
        <f>'[11]INDICATORI DI PRESTAZIONE'!$B$26</f>
        <v>3.7475959182709273</v>
      </c>
      <c r="R26" s="457">
        <v>1.9411371404782822</v>
      </c>
    </row>
    <row r="27" spans="1:18" ht="30" customHeight="1" x14ac:dyDescent="0.25">
      <c r="A27" s="342" t="s">
        <v>449</v>
      </c>
      <c r="B27" s="304" t="s">
        <v>441</v>
      </c>
      <c r="C27" s="305">
        <v>0.03</v>
      </c>
      <c r="D27" s="305">
        <v>3.1E-2</v>
      </c>
      <c r="E27" s="306">
        <v>3.4642638000000003E-2</v>
      </c>
      <c r="F27" s="306">
        <v>4.4097650000000004E-3</v>
      </c>
      <c r="G27" s="305">
        <v>2.8989626000000001E-2</v>
      </c>
      <c r="H27" s="305">
        <f>'[2]INDICATORI DI PRESTAZIONE'!$B$27</f>
        <v>2.2253974222614728E-2</v>
      </c>
      <c r="I27" s="307">
        <f>'[3]INDICATORI DI PRESTAZIONE'!$B$27</f>
        <v>1.9099827177042495E-2</v>
      </c>
      <c r="J27" s="305">
        <f>'[4]INDICATORI DI PRESTAZIONE'!$B$27</f>
        <v>3.298495107059108E-2</v>
      </c>
      <c r="K27" s="308">
        <f>'[5]INDICATORI DI PRESTAZIONE'!$B$27</f>
        <v>3.392195668825581E-2</v>
      </c>
      <c r="L27" s="305">
        <f>'[6]INDICATORI DI PRESTAZIONE'!$B$27</f>
        <v>1.9044557539417591E-2</v>
      </c>
      <c r="M27" s="307">
        <f>'[7]INDICATORI DI PRESTAZIONE'!$B$27</f>
        <v>2.9162361302572732E-2</v>
      </c>
      <c r="N27" s="452">
        <f>'[8]INDICATORI DI PRESTAZIONE'!$B$27</f>
        <v>2.7527347548988525E-2</v>
      </c>
      <c r="O27" s="452">
        <f>'[9]INDICATORI DI PRESTAZIONE'!$B$27</f>
        <v>3.4710163695118583E-2</v>
      </c>
      <c r="P27" s="452">
        <f>'[10]INDICATORI DI PRESTAZIONE'!$B$27</f>
        <v>1.9892555148601641E-2</v>
      </c>
      <c r="Q27" s="457">
        <f>'[11]INDICATORI DI PRESTAZIONE'!$B$27</f>
        <v>9.1076193632571883E-2</v>
      </c>
      <c r="R27" s="457">
        <v>2.307389431134562E-2</v>
      </c>
    </row>
    <row r="28" spans="1:18" ht="30" customHeight="1" x14ac:dyDescent="0.25">
      <c r="A28" s="342" t="s">
        <v>450</v>
      </c>
      <c r="B28" s="343" t="s">
        <v>451</v>
      </c>
      <c r="C28" s="305">
        <v>69.41</v>
      </c>
      <c r="D28" s="305">
        <v>75.3</v>
      </c>
      <c r="E28" s="306">
        <v>71.297057589999994</v>
      </c>
      <c r="F28" s="306">
        <v>74.637916480000001</v>
      </c>
      <c r="G28" s="305">
        <v>71.8522277</v>
      </c>
      <c r="H28" s="305">
        <f>'[2]INDICATORI DI PRESTAZIONE'!$B$28</f>
        <v>70.496548061603846</v>
      </c>
      <c r="I28" s="307">
        <f>'[3]INDICATORI DI PRESTAZIONE'!$B$28</f>
        <v>72.22522319017078</v>
      </c>
      <c r="J28" s="305">
        <f>'[4]INDICATORI DI PRESTAZIONE'!$B$28</f>
        <v>84.353599702882875</v>
      </c>
      <c r="K28" s="308">
        <f>'[5]INDICATORI DI PRESTAZIONE'!$B$28</f>
        <v>73.694158990469106</v>
      </c>
      <c r="L28" s="305">
        <f>'[6]INDICATORI DI PRESTAZIONE'!$B$28</f>
        <v>71.975748550763186</v>
      </c>
      <c r="M28" s="307">
        <f>'[7]INDICATORI DI PRESTAZIONE'!$B$28</f>
        <v>86.276156403501716</v>
      </c>
      <c r="N28" s="452">
        <f>'[8]INDICATORI DI PRESTAZIONE'!$B$28</f>
        <v>87.736683015854922</v>
      </c>
      <c r="O28" s="452">
        <f>'[9]INDICATORI DI PRESTAZIONE'!$B$28</f>
        <v>86.2955834066384</v>
      </c>
      <c r="P28" s="452">
        <f>'[10]INDICATORI DI PRESTAZIONE'!$B$28</f>
        <v>85.732026316484749</v>
      </c>
      <c r="Q28" s="457">
        <f>'[11]INDICATORI DI PRESTAZIONE'!$B$28</f>
        <v>92.455704223635792</v>
      </c>
      <c r="R28" s="457">
        <v>89.706321088942758</v>
      </c>
    </row>
    <row r="29" spans="1:18" ht="30" customHeight="1" x14ac:dyDescent="0.25">
      <c r="A29" s="342" t="s">
        <v>452</v>
      </c>
      <c r="B29" s="304" t="s">
        <v>441</v>
      </c>
      <c r="C29" s="305">
        <v>0.25800000000000001</v>
      </c>
      <c r="D29" s="305">
        <v>0.23100000000000001</v>
      </c>
      <c r="E29" s="306">
        <v>0.12940100099999999</v>
      </c>
      <c r="F29" s="306">
        <v>0.118133984</v>
      </c>
      <c r="G29" s="305">
        <v>0.12738294</v>
      </c>
      <c r="H29" s="305">
        <f>'[2]INDICATORI DI PRESTAZIONE'!$B$29</f>
        <v>0.15336574878574866</v>
      </c>
      <c r="I29" s="307">
        <f>'[3]INDICATORI DI PRESTAZIONE'!$B$29</f>
        <v>0.14675664086258022</v>
      </c>
      <c r="J29" s="305">
        <f>'[4]INDICATORI DI PRESTAZIONE'!$B$29</f>
        <v>0.44456535102110672</v>
      </c>
      <c r="K29" s="308">
        <f>'[5]INDICATORI DI PRESTAZIONE'!$B$29</f>
        <v>0.20003989583558918</v>
      </c>
      <c r="L29" s="305">
        <f>'[6]INDICATORI DI PRESTAZIONE'!$B$29</f>
        <v>0.18932040598329405</v>
      </c>
      <c r="M29" s="307">
        <f>'[7]INDICATORI DI PRESTAZIONE'!$B$29</f>
        <v>8.8946771910983949E-2</v>
      </c>
      <c r="N29" s="452">
        <f>'[8]INDICATORI DI PRESTAZIONE'!$B$29</f>
        <v>0.1436514284602767</v>
      </c>
      <c r="O29" s="452">
        <f>'[9]INDICATORI DI PRESTAZIONE'!$B$29</f>
        <v>0.16773171647413396</v>
      </c>
      <c r="P29" s="452">
        <f>'[10]INDICATORI DI PRESTAZIONE'!$B$29</f>
        <v>0.18094443170653085</v>
      </c>
      <c r="Q29" s="457">
        <f>'[11]INDICATORI DI PRESTAZIONE'!$B$29</f>
        <v>0.70885089523684852</v>
      </c>
      <c r="R29" s="457">
        <v>0.37340312548917998</v>
      </c>
    </row>
    <row r="30" spans="1:18" ht="30" customHeight="1" x14ac:dyDescent="0.25">
      <c r="A30" s="416" t="s">
        <v>453</v>
      </c>
      <c r="B30" s="417" t="s">
        <v>441</v>
      </c>
      <c r="C30" s="305">
        <v>0.88</v>
      </c>
      <c r="D30" s="305">
        <v>1.266</v>
      </c>
      <c r="E30" s="306">
        <v>1.0242727119999999</v>
      </c>
      <c r="F30" s="306">
        <v>1.0572394949999999</v>
      </c>
      <c r="G30" s="305">
        <v>1.0301774669999999</v>
      </c>
      <c r="H30" s="305">
        <f>'[2]INDICATORI DI PRESTAZIONE'!$B$30</f>
        <v>1.125991002003802</v>
      </c>
      <c r="I30" s="307">
        <f>'[3]INDICATORI DI PRESTAZIONE'!$B$30</f>
        <v>1.4214713686265199</v>
      </c>
      <c r="J30" s="305">
        <f>'[4]INDICATORI DI PRESTAZIONE'!$B$30</f>
        <v>1.8870089284111287</v>
      </c>
      <c r="K30" s="308">
        <f>'[5]INDICATORI DI PRESTAZIONE'!$B$30</f>
        <v>1.544247377700495</v>
      </c>
      <c r="L30" s="305">
        <f>'[6]INDICATORI DI PRESTAZIONE'!$B$30</f>
        <v>1.5097198364265989</v>
      </c>
      <c r="M30" s="307">
        <f>'[7]INDICATORI DI PRESTAZIONE'!$B$30</f>
        <v>1.8142020530475427</v>
      </c>
      <c r="N30" s="452">
        <f>'[8]INDICATORI DI PRESTAZIONE'!$B$30</f>
        <v>1.3139708211407353</v>
      </c>
      <c r="O30" s="452">
        <f>'[9]INDICATORI DI PRESTAZIONE'!$B$30</f>
        <v>1.3135257085663288</v>
      </c>
      <c r="P30" s="452">
        <f>'[10]INDICATORI DI PRESTAZIONE'!$B$30</f>
        <v>1.2593732446774548</v>
      </c>
      <c r="Q30" s="457">
        <f>'[11]INDICATORI DI PRESTAZIONE'!$B$30</f>
        <v>2.4533963864325945</v>
      </c>
      <c r="R30" s="457">
        <v>1.2516783935668554</v>
      </c>
    </row>
    <row r="31" spans="1:18" ht="30" customHeight="1" thickBot="1" x14ac:dyDescent="0.3">
      <c r="A31" s="412" t="s">
        <v>497</v>
      </c>
      <c r="B31" s="413" t="s">
        <v>441</v>
      </c>
      <c r="C31" s="414" t="s">
        <v>278</v>
      </c>
      <c r="D31" s="414" t="s">
        <v>278</v>
      </c>
      <c r="E31" s="414" t="s">
        <v>278</v>
      </c>
      <c r="F31" s="414" t="s">
        <v>278</v>
      </c>
      <c r="G31" s="414" t="s">
        <v>278</v>
      </c>
      <c r="H31" s="414" t="s">
        <v>278</v>
      </c>
      <c r="I31" s="414" t="s">
        <v>278</v>
      </c>
      <c r="J31" s="414" t="s">
        <v>278</v>
      </c>
      <c r="K31" s="414" t="s">
        <v>278</v>
      </c>
      <c r="L31" s="414" t="s">
        <v>278</v>
      </c>
      <c r="M31" s="415">
        <f>[12]RIFIUTI!$R$31*1000/'[12]MATERIE PRIME'!$N$87</f>
        <v>0.1866321740448014</v>
      </c>
      <c r="N31" s="415">
        <f>[8]RIFIUTI!$R$31*1000/'[8]MATERIE PRIME'!$N$87</f>
        <v>0.15479174332046144</v>
      </c>
      <c r="O31" s="476">
        <f>[9]RIFIUTI!$R$31*1000/'[9]MATERIE PRIME'!$N$87</f>
        <v>0.20090532262124045</v>
      </c>
      <c r="P31" s="476">
        <f>[10]RIFIUTI!$R$31*1000/'[10]MATERIE PRIME'!$N$87</f>
        <v>0.10649872266155816</v>
      </c>
      <c r="Q31" s="506">
        <f>[11]RIFIUTI!$R$19*1000/'[11]MATERIE PRIME'!$N$56</f>
        <v>0.31952790974909723</v>
      </c>
      <c r="R31" s="599"/>
    </row>
    <row r="32" spans="1:18" ht="20.100000000000001" customHeight="1" thickBot="1" x14ac:dyDescent="0.3">
      <c r="A32" s="344" t="s">
        <v>454</v>
      </c>
      <c r="C32" s="318"/>
      <c r="D32" s="318"/>
      <c r="E32" s="325"/>
      <c r="F32" s="325"/>
      <c r="G32" s="318"/>
      <c r="H32" s="318"/>
      <c r="I32" s="318"/>
      <c r="N32" s="454"/>
      <c r="O32" s="454"/>
      <c r="P32" s="525"/>
    </row>
    <row r="33" spans="1:18" ht="28.5" customHeight="1" x14ac:dyDescent="0.25">
      <c r="A33" s="290" t="s">
        <v>455</v>
      </c>
      <c r="B33" s="291" t="s">
        <v>456</v>
      </c>
      <c r="C33" s="298">
        <v>1.64</v>
      </c>
      <c r="D33" s="298">
        <v>1.5549999999999999</v>
      </c>
      <c r="E33" s="299">
        <v>1.685263636</v>
      </c>
      <c r="F33" s="299">
        <v>2.0725565800000001</v>
      </c>
      <c r="G33" s="298">
        <v>1.7575683550000001</v>
      </c>
      <c r="H33" s="298">
        <f>'[2]INDICATORI DI PRESTAZIONE'!$B$32</f>
        <v>1.5789262147230674</v>
      </c>
      <c r="I33" s="320">
        <f>'[3]INDICATORI DI PRESTAZIONE'!$B$32</f>
        <v>1.6142898495176317</v>
      </c>
      <c r="J33" s="298">
        <f>'[4]INDICATORI DI PRESTAZIONE'!$B$32</f>
        <v>1.52347763773266</v>
      </c>
      <c r="K33" s="321">
        <f>'[5]INDICATORI DI PRESTAZIONE'!$B$32</f>
        <v>1.7827245558799254</v>
      </c>
      <c r="L33" s="298">
        <f>'[6]INDICATORI DI PRESTAZIONE'!$B$32</f>
        <v>1.6690864156080882</v>
      </c>
      <c r="M33" s="320">
        <f>'[7]INDICATORI DI PRESTAZIONE'!$B$32</f>
        <v>1.931616383168506</v>
      </c>
      <c r="N33" s="455">
        <f>'[8]INDICATORI DI PRESTAZIONE'!$B$32</f>
        <v>2.2068425192647583</v>
      </c>
      <c r="O33" s="455">
        <f>'[9]INDICATORI DI PRESTAZIONE'!$B$32</f>
        <v>2.593984160245808</v>
      </c>
      <c r="P33" s="455">
        <f>'[10]INDICATORI DI PRESTAZIONE'!$B$32</f>
        <v>2.0543948642132679</v>
      </c>
      <c r="Q33" s="505">
        <f>'[11]INDICATORI DI PRESTAZIONE'!$B$32</f>
        <v>2.2326741808814372</v>
      </c>
      <c r="R33" s="505">
        <v>1.7070030386304424</v>
      </c>
    </row>
    <row r="34" spans="1:18" ht="28.5" customHeight="1" thickBot="1" x14ac:dyDescent="0.3">
      <c r="A34" s="345" t="s">
        <v>457</v>
      </c>
      <c r="B34" s="295" t="s">
        <v>456</v>
      </c>
      <c r="C34" s="311">
        <v>2.02</v>
      </c>
      <c r="D34" s="311">
        <v>1.925</v>
      </c>
      <c r="E34" s="312">
        <v>2.0373198210000001</v>
      </c>
      <c r="F34" s="312">
        <v>2.6358973379999999</v>
      </c>
      <c r="G34" s="311">
        <v>2.1445324029999999</v>
      </c>
      <c r="H34" s="311">
        <f>'[2]INDICATORI DI PRESTAZIONE'!$B$33</f>
        <v>1.8927643125293698</v>
      </c>
      <c r="I34" s="313">
        <f>'[3]INDICATORI DI PRESTAZIONE'!$B$33</f>
        <v>1.7815782792198327</v>
      </c>
      <c r="J34" s="311">
        <f>'[4]INDICATORI DI PRESTAZIONE'!$B$33</f>
        <v>1.8053388536950816</v>
      </c>
      <c r="K34" s="314">
        <f>'[5]INDICATORI DI PRESTAZIONE'!$B$33</f>
        <v>2.1057533034959683</v>
      </c>
      <c r="L34" s="311">
        <f>'[6]INDICATORI DI PRESTAZIONE'!$B$33</f>
        <v>1.9338901404596436</v>
      </c>
      <c r="M34" s="313">
        <f>'[7]INDICATORI DI PRESTAZIONE'!$B$33</f>
        <v>2.3028662551083929</v>
      </c>
      <c r="N34" s="453">
        <f>'[8]INDICATORI DI PRESTAZIONE'!$B$33</f>
        <v>2.5817899563113502</v>
      </c>
      <c r="O34" s="453">
        <f>'[9]INDICATORI DI PRESTAZIONE'!$B$33</f>
        <v>2.6281808106902509</v>
      </c>
      <c r="P34" s="453">
        <f>'[10]INDICATORI DI PRESTAZIONE'!$B$33</f>
        <v>2.1196347714193617</v>
      </c>
      <c r="Q34" s="456">
        <f>'[11]INDICATORI DI PRESTAZIONE'!$B$33</f>
        <v>2.1941026823386767</v>
      </c>
      <c r="R34" s="456">
        <v>1.8128449469387351</v>
      </c>
    </row>
    <row r="35" spans="1:18" ht="20.100000000000001" customHeight="1" x14ac:dyDescent="0.25">
      <c r="C35" s="279"/>
    </row>
    <row r="36" spans="1:18" ht="20.100000000000001" customHeight="1" x14ac:dyDescent="0.25">
      <c r="C36" s="279"/>
    </row>
    <row r="37" spans="1:18" ht="20.100000000000001" customHeight="1" x14ac:dyDescent="0.25">
      <c r="C37" s="279"/>
    </row>
    <row r="38" spans="1:18" ht="20.100000000000001" customHeight="1" x14ac:dyDescent="0.25">
      <c r="C38" s="279"/>
    </row>
    <row r="39" spans="1:18" ht="20.100000000000001" customHeight="1" x14ac:dyDescent="0.25">
      <c r="C39" s="279"/>
    </row>
    <row r="40" spans="1:18" ht="20.100000000000001" customHeight="1" x14ac:dyDescent="0.25">
      <c r="C40" s="279"/>
    </row>
    <row r="41" spans="1:18" ht="20.100000000000001" customHeight="1" x14ac:dyDescent="0.25">
      <c r="C41" s="279"/>
    </row>
    <row r="42" spans="1:18" x14ac:dyDescent="0.25">
      <c r="C42" s="279"/>
    </row>
    <row r="43" spans="1:18" x14ac:dyDescent="0.25">
      <c r="C43" s="279"/>
    </row>
    <row r="44" spans="1:18" x14ac:dyDescent="0.25">
      <c r="C44" s="279"/>
    </row>
    <row r="45" spans="1:18" x14ac:dyDescent="0.25">
      <c r="C45" s="279"/>
    </row>
    <row r="46" spans="1:18" x14ac:dyDescent="0.25">
      <c r="C46" s="279"/>
    </row>
    <row r="47" spans="1:18" x14ac:dyDescent="0.25">
      <c r="C47" s="279"/>
    </row>
    <row r="48" spans="1:18" x14ac:dyDescent="0.25">
      <c r="C48" s="279"/>
    </row>
    <row r="49" spans="3:3" x14ac:dyDescent="0.25">
      <c r="C49" s="279"/>
    </row>
    <row r="50" spans="3:3" x14ac:dyDescent="0.25">
      <c r="C50" s="279"/>
    </row>
    <row r="51" spans="3:3" x14ac:dyDescent="0.25">
      <c r="C51" s="279"/>
    </row>
    <row r="52" spans="3:3" x14ac:dyDescent="0.25">
      <c r="C52" s="279"/>
    </row>
    <row r="53" spans="3:3" x14ac:dyDescent="0.25">
      <c r="C53" s="279"/>
    </row>
    <row r="54" spans="3:3" x14ac:dyDescent="0.25">
      <c r="C54" s="279"/>
    </row>
    <row r="55" spans="3:3" x14ac:dyDescent="0.25">
      <c r="C55" s="279"/>
    </row>
    <row r="56" spans="3:3" x14ac:dyDescent="0.25">
      <c r="C56" s="279"/>
    </row>
    <row r="57" spans="3:3" x14ac:dyDescent="0.25">
      <c r="C57" s="279"/>
    </row>
    <row r="58" spans="3:3" x14ac:dyDescent="0.25">
      <c r="C58" s="279"/>
    </row>
    <row r="59" spans="3:3" x14ac:dyDescent="0.25">
      <c r="C59" s="279"/>
    </row>
    <row r="60" spans="3:3" x14ac:dyDescent="0.25">
      <c r="C60" s="279"/>
    </row>
    <row r="61" spans="3:3" x14ac:dyDescent="0.25">
      <c r="C61" s="279"/>
    </row>
    <row r="62" spans="3:3" x14ac:dyDescent="0.25">
      <c r="C62" s="279"/>
    </row>
    <row r="63" spans="3:3" x14ac:dyDescent="0.25">
      <c r="C63" s="279"/>
    </row>
    <row r="64" spans="3:3" x14ac:dyDescent="0.25">
      <c r="C64" s="279"/>
    </row>
    <row r="65" spans="3:3" x14ac:dyDescent="0.25">
      <c r="C65" s="279"/>
    </row>
    <row r="66" spans="3:3" x14ac:dyDescent="0.25">
      <c r="C66" s="279"/>
    </row>
    <row r="67" spans="3:3" x14ac:dyDescent="0.25">
      <c r="C67" s="279"/>
    </row>
    <row r="68" spans="3:3" x14ac:dyDescent="0.25">
      <c r="C68" s="279"/>
    </row>
    <row r="69" spans="3:3" x14ac:dyDescent="0.25">
      <c r="C69" s="279"/>
    </row>
    <row r="70" spans="3:3" x14ac:dyDescent="0.25">
      <c r="C70" s="279"/>
    </row>
    <row r="71" spans="3:3" x14ac:dyDescent="0.25">
      <c r="C71" s="279"/>
    </row>
    <row r="72" spans="3:3" x14ac:dyDescent="0.25">
      <c r="C72" s="279"/>
    </row>
    <row r="73" spans="3:3" x14ac:dyDescent="0.25">
      <c r="C73" s="279"/>
    </row>
    <row r="74" spans="3:3" x14ac:dyDescent="0.25">
      <c r="C74" s="279"/>
    </row>
    <row r="75" spans="3:3" x14ac:dyDescent="0.25">
      <c r="C75" s="279"/>
    </row>
    <row r="76" spans="3:3" x14ac:dyDescent="0.25">
      <c r="C76" s="279"/>
    </row>
    <row r="77" spans="3:3" x14ac:dyDescent="0.25">
      <c r="C77" s="279"/>
    </row>
    <row r="78" spans="3:3" x14ac:dyDescent="0.25">
      <c r="C78" s="279"/>
    </row>
    <row r="79" spans="3:3" x14ac:dyDescent="0.25">
      <c r="C79" s="279"/>
    </row>
    <row r="80" spans="3:3" x14ac:dyDescent="0.25">
      <c r="C80" s="279"/>
    </row>
    <row r="81" spans="3:3" x14ac:dyDescent="0.25">
      <c r="C81" s="279"/>
    </row>
    <row r="82" spans="3:3" x14ac:dyDescent="0.25">
      <c r="C82" s="279"/>
    </row>
    <row r="83" spans="3:3" x14ac:dyDescent="0.25">
      <c r="C83" s="279"/>
    </row>
    <row r="84" spans="3:3" x14ac:dyDescent="0.25">
      <c r="C84" s="279"/>
    </row>
    <row r="85" spans="3:3" x14ac:dyDescent="0.25">
      <c r="C85" s="279"/>
    </row>
    <row r="86" spans="3:3" x14ac:dyDescent="0.25">
      <c r="C86" s="279"/>
    </row>
    <row r="87" spans="3:3" x14ac:dyDescent="0.25">
      <c r="C87" s="279"/>
    </row>
    <row r="88" spans="3:3" x14ac:dyDescent="0.25">
      <c r="C88" s="279"/>
    </row>
    <row r="89" spans="3:3" x14ac:dyDescent="0.25">
      <c r="C89" s="279"/>
    </row>
    <row r="90" spans="3:3" x14ac:dyDescent="0.25">
      <c r="C90" s="279"/>
    </row>
    <row r="91" spans="3:3" x14ac:dyDescent="0.25">
      <c r="C91" s="279"/>
    </row>
    <row r="92" spans="3:3" x14ac:dyDescent="0.25">
      <c r="C92" s="279"/>
    </row>
    <row r="93" spans="3:3" x14ac:dyDescent="0.25">
      <c r="C93" s="346"/>
    </row>
    <row r="94" spans="3:3" x14ac:dyDescent="0.25">
      <c r="C94" s="346"/>
    </row>
    <row r="95" spans="3:3" x14ac:dyDescent="0.25">
      <c r="C95" s="346"/>
    </row>
    <row r="96" spans="3:3" x14ac:dyDescent="0.25">
      <c r="C96" s="346"/>
    </row>
    <row r="97" spans="3:3" x14ac:dyDescent="0.25">
      <c r="C97" s="346"/>
    </row>
    <row r="98" spans="3:3" x14ac:dyDescent="0.25">
      <c r="C98" s="346"/>
    </row>
    <row r="99" spans="3:3" x14ac:dyDescent="0.25">
      <c r="C99" s="346"/>
    </row>
    <row r="100" spans="3:3" x14ac:dyDescent="0.25">
      <c r="C100" s="346"/>
    </row>
    <row r="101" spans="3:3" x14ac:dyDescent="0.25">
      <c r="C101" s="346"/>
    </row>
    <row r="102" spans="3:3" x14ac:dyDescent="0.25">
      <c r="C102" s="346"/>
    </row>
    <row r="103" spans="3:3" x14ac:dyDescent="0.25">
      <c r="C103" s="346"/>
    </row>
    <row r="104" spans="3:3" x14ac:dyDescent="0.25">
      <c r="C104" s="346"/>
    </row>
    <row r="105" spans="3:3" x14ac:dyDescent="0.25">
      <c r="C105" s="346"/>
    </row>
    <row r="106" spans="3:3" x14ac:dyDescent="0.25">
      <c r="C106" s="346"/>
    </row>
    <row r="107" spans="3:3" x14ac:dyDescent="0.25">
      <c r="C107" s="346"/>
    </row>
    <row r="108" spans="3:3" x14ac:dyDescent="0.25">
      <c r="C108" s="346"/>
    </row>
    <row r="109" spans="3:3" x14ac:dyDescent="0.25">
      <c r="C109" s="346"/>
    </row>
    <row r="110" spans="3:3" x14ac:dyDescent="0.25">
      <c r="C110" s="346"/>
    </row>
    <row r="111" spans="3:3" x14ac:dyDescent="0.25">
      <c r="C111" s="346"/>
    </row>
    <row r="112" spans="3:3" x14ac:dyDescent="0.25">
      <c r="C112" s="346"/>
    </row>
    <row r="113" spans="3:3" x14ac:dyDescent="0.25">
      <c r="C113" s="346"/>
    </row>
    <row r="114" spans="3:3" x14ac:dyDescent="0.25">
      <c r="C114" s="346"/>
    </row>
    <row r="115" spans="3:3" x14ac:dyDescent="0.25">
      <c r="C115" s="346"/>
    </row>
    <row r="116" spans="3:3" x14ac:dyDescent="0.25">
      <c r="C116" s="346"/>
    </row>
    <row r="117" spans="3:3" x14ac:dyDescent="0.25">
      <c r="C117" s="346"/>
    </row>
    <row r="118" spans="3:3" x14ac:dyDescent="0.25">
      <c r="C118" s="346"/>
    </row>
    <row r="119" spans="3:3" x14ac:dyDescent="0.25">
      <c r="C119" s="346"/>
    </row>
    <row r="120" spans="3:3" x14ac:dyDescent="0.25">
      <c r="C120" s="346"/>
    </row>
    <row r="121" spans="3:3" x14ac:dyDescent="0.25">
      <c r="C121" s="346"/>
    </row>
    <row r="122" spans="3:3" x14ac:dyDescent="0.25">
      <c r="C122" s="346"/>
    </row>
    <row r="123" spans="3:3" x14ac:dyDescent="0.25">
      <c r="C123" s="346"/>
    </row>
    <row r="124" spans="3:3" x14ac:dyDescent="0.25">
      <c r="C124" s="346"/>
    </row>
    <row r="125" spans="3:3" x14ac:dyDescent="0.25">
      <c r="C125" s="346"/>
    </row>
    <row r="126" spans="3:3" x14ac:dyDescent="0.25">
      <c r="C126" s="346"/>
    </row>
    <row r="127" spans="3:3" x14ac:dyDescent="0.25">
      <c r="C127" s="346"/>
    </row>
    <row r="128" spans="3:3" x14ac:dyDescent="0.25">
      <c r="C128" s="346"/>
    </row>
    <row r="129" spans="3:3" x14ac:dyDescent="0.25">
      <c r="C129" s="346"/>
    </row>
    <row r="130" spans="3:3" x14ac:dyDescent="0.25">
      <c r="C130" s="346"/>
    </row>
    <row r="131" spans="3:3" x14ac:dyDescent="0.25">
      <c r="C131" s="346"/>
    </row>
    <row r="132" spans="3:3" x14ac:dyDescent="0.25">
      <c r="C132" s="346"/>
    </row>
    <row r="133" spans="3:3" x14ac:dyDescent="0.25">
      <c r="C133" s="346"/>
    </row>
    <row r="134" spans="3:3" x14ac:dyDescent="0.25">
      <c r="C134" s="346"/>
    </row>
    <row r="135" spans="3:3" x14ac:dyDescent="0.25">
      <c r="C135" s="346"/>
    </row>
    <row r="136" spans="3:3" x14ac:dyDescent="0.25">
      <c r="C136" s="346"/>
    </row>
    <row r="137" spans="3:3" x14ac:dyDescent="0.25">
      <c r="C137" s="346"/>
    </row>
    <row r="138" spans="3:3" x14ac:dyDescent="0.25">
      <c r="C138" s="346"/>
    </row>
    <row r="139" spans="3:3" x14ac:dyDescent="0.25">
      <c r="C139" s="346"/>
    </row>
    <row r="140" spans="3:3" x14ac:dyDescent="0.25">
      <c r="C140" s="346"/>
    </row>
    <row r="141" spans="3:3" x14ac:dyDescent="0.25">
      <c r="C141" s="346"/>
    </row>
    <row r="142" spans="3:3" x14ac:dyDescent="0.25">
      <c r="C142" s="346"/>
    </row>
    <row r="143" spans="3:3" x14ac:dyDescent="0.25">
      <c r="C143" s="346"/>
    </row>
    <row r="144" spans="3:3" x14ac:dyDescent="0.25">
      <c r="C144" s="346"/>
    </row>
    <row r="145" spans="3:3" x14ac:dyDescent="0.25">
      <c r="C145" s="346"/>
    </row>
    <row r="146" spans="3:3" x14ac:dyDescent="0.25">
      <c r="C146" s="346"/>
    </row>
    <row r="147" spans="3:3" x14ac:dyDescent="0.25">
      <c r="C147" s="346"/>
    </row>
    <row r="148" spans="3:3" x14ac:dyDescent="0.25">
      <c r="C148" s="346"/>
    </row>
    <row r="149" spans="3:3" x14ac:dyDescent="0.25">
      <c r="C149" s="346"/>
    </row>
    <row r="150" spans="3:3" x14ac:dyDescent="0.25">
      <c r="C150" s="346"/>
    </row>
    <row r="151" spans="3:3" x14ac:dyDescent="0.25">
      <c r="C151" s="346"/>
    </row>
    <row r="152" spans="3:3" x14ac:dyDescent="0.25">
      <c r="C152" s="346"/>
    </row>
    <row r="153" spans="3:3" x14ac:dyDescent="0.25">
      <c r="C153" s="346"/>
    </row>
    <row r="154" spans="3:3" x14ac:dyDescent="0.25">
      <c r="C154" s="346"/>
    </row>
    <row r="155" spans="3:3" x14ac:dyDescent="0.25">
      <c r="C155" s="346"/>
    </row>
    <row r="156" spans="3:3" x14ac:dyDescent="0.25">
      <c r="C156" s="346"/>
    </row>
    <row r="157" spans="3:3" x14ac:dyDescent="0.25">
      <c r="C157" s="346"/>
    </row>
    <row r="158" spans="3:3" x14ac:dyDescent="0.25">
      <c r="C158" s="346"/>
    </row>
    <row r="159" spans="3:3" x14ac:dyDescent="0.25">
      <c r="C159" s="346"/>
    </row>
    <row r="160" spans="3:3" x14ac:dyDescent="0.25">
      <c r="C160" s="346"/>
    </row>
    <row r="161" spans="3:3" x14ac:dyDescent="0.25">
      <c r="C161" s="346"/>
    </row>
    <row r="162" spans="3:3" x14ac:dyDescent="0.25">
      <c r="C162" s="346"/>
    </row>
    <row r="163" spans="3:3" x14ac:dyDescent="0.25">
      <c r="C163" s="346"/>
    </row>
    <row r="164" spans="3:3" x14ac:dyDescent="0.25">
      <c r="C164" s="346"/>
    </row>
    <row r="165" spans="3:3" x14ac:dyDescent="0.25">
      <c r="C165" s="346"/>
    </row>
    <row r="166" spans="3:3" x14ac:dyDescent="0.25">
      <c r="C166" s="346"/>
    </row>
    <row r="167" spans="3:3" x14ac:dyDescent="0.25">
      <c r="C167" s="346"/>
    </row>
    <row r="168" spans="3:3" x14ac:dyDescent="0.25">
      <c r="C168" s="346"/>
    </row>
    <row r="169" spans="3:3" x14ac:dyDescent="0.25">
      <c r="C169" s="346"/>
    </row>
    <row r="170" spans="3:3" x14ac:dyDescent="0.25">
      <c r="C170" s="346"/>
    </row>
    <row r="171" spans="3:3" x14ac:dyDescent="0.25">
      <c r="C171" s="346"/>
    </row>
    <row r="172" spans="3:3" x14ac:dyDescent="0.25">
      <c r="C172" s="346"/>
    </row>
    <row r="173" spans="3:3" x14ac:dyDescent="0.25">
      <c r="C173" s="346"/>
    </row>
    <row r="174" spans="3:3" x14ac:dyDescent="0.25">
      <c r="C174" s="346"/>
    </row>
    <row r="175" spans="3:3" x14ac:dyDescent="0.25">
      <c r="C175" s="346"/>
    </row>
    <row r="176" spans="3:3" x14ac:dyDescent="0.25">
      <c r="C176" s="346"/>
    </row>
    <row r="177" spans="3:3" x14ac:dyDescent="0.25">
      <c r="C177" s="346"/>
    </row>
    <row r="178" spans="3:3" x14ac:dyDescent="0.25">
      <c r="C178" s="346"/>
    </row>
    <row r="179" spans="3:3" x14ac:dyDescent="0.25">
      <c r="C179" s="346"/>
    </row>
    <row r="180" spans="3:3" x14ac:dyDescent="0.25">
      <c r="C180" s="346"/>
    </row>
    <row r="181" spans="3:3" x14ac:dyDescent="0.25">
      <c r="C181" s="346"/>
    </row>
    <row r="182" spans="3:3" x14ac:dyDescent="0.25">
      <c r="C182" s="346"/>
    </row>
    <row r="183" spans="3:3" x14ac:dyDescent="0.25">
      <c r="C183" s="346"/>
    </row>
    <row r="184" spans="3:3" x14ac:dyDescent="0.25">
      <c r="C184" s="346"/>
    </row>
    <row r="185" spans="3:3" x14ac:dyDescent="0.25">
      <c r="C185" s="346"/>
    </row>
    <row r="186" spans="3:3" x14ac:dyDescent="0.25">
      <c r="C186" s="346"/>
    </row>
    <row r="187" spans="3:3" x14ac:dyDescent="0.25">
      <c r="C187" s="346"/>
    </row>
    <row r="188" spans="3:3" x14ac:dyDescent="0.25">
      <c r="C188" s="346"/>
    </row>
    <row r="189" spans="3:3" x14ac:dyDescent="0.25">
      <c r="C189" s="346"/>
    </row>
    <row r="190" spans="3:3" x14ac:dyDescent="0.25">
      <c r="C190" s="346"/>
    </row>
    <row r="191" spans="3:3" x14ac:dyDescent="0.25">
      <c r="C191" s="346"/>
    </row>
    <row r="192" spans="3:3" x14ac:dyDescent="0.25">
      <c r="C192" s="346"/>
    </row>
    <row r="193" spans="3:3" x14ac:dyDescent="0.25">
      <c r="C193" s="346"/>
    </row>
    <row r="194" spans="3:3" x14ac:dyDescent="0.25">
      <c r="C194" s="346"/>
    </row>
    <row r="195" spans="3:3" x14ac:dyDescent="0.25">
      <c r="C195" s="346"/>
    </row>
    <row r="196" spans="3:3" x14ac:dyDescent="0.25">
      <c r="C196" s="346"/>
    </row>
    <row r="197" spans="3:3" x14ac:dyDescent="0.25">
      <c r="C197" s="346"/>
    </row>
    <row r="198" spans="3:3" x14ac:dyDescent="0.25">
      <c r="C198" s="346"/>
    </row>
    <row r="199" spans="3:3" x14ac:dyDescent="0.25">
      <c r="C199" s="346"/>
    </row>
    <row r="200" spans="3:3" x14ac:dyDescent="0.25">
      <c r="C200" s="346"/>
    </row>
    <row r="201" spans="3:3" x14ac:dyDescent="0.25">
      <c r="C201" s="346"/>
    </row>
    <row r="202" spans="3:3" x14ac:dyDescent="0.25">
      <c r="C202" s="346"/>
    </row>
    <row r="203" spans="3:3" x14ac:dyDescent="0.25">
      <c r="C203" s="346"/>
    </row>
    <row r="204" spans="3:3" x14ac:dyDescent="0.25">
      <c r="C204" s="346"/>
    </row>
    <row r="205" spans="3:3" x14ac:dyDescent="0.25">
      <c r="C205" s="346"/>
    </row>
    <row r="206" spans="3:3" x14ac:dyDescent="0.25">
      <c r="C206" s="346"/>
    </row>
    <row r="207" spans="3:3" x14ac:dyDescent="0.25">
      <c r="C207" s="346"/>
    </row>
    <row r="208" spans="3:3" x14ac:dyDescent="0.25">
      <c r="C208" s="346"/>
    </row>
    <row r="209" spans="3:3" x14ac:dyDescent="0.25">
      <c r="C209" s="346"/>
    </row>
    <row r="210" spans="3:3" x14ac:dyDescent="0.25">
      <c r="C210" s="346"/>
    </row>
    <row r="211" spans="3:3" x14ac:dyDescent="0.25">
      <c r="C211" s="346"/>
    </row>
    <row r="212" spans="3:3" x14ac:dyDescent="0.25">
      <c r="C212" s="346"/>
    </row>
    <row r="213" spans="3:3" x14ac:dyDescent="0.25">
      <c r="C213" s="346"/>
    </row>
    <row r="214" spans="3:3" x14ac:dyDescent="0.25">
      <c r="C214" s="346"/>
    </row>
    <row r="215" spans="3:3" x14ac:dyDescent="0.25">
      <c r="C215" s="346"/>
    </row>
    <row r="216" spans="3:3" x14ac:dyDescent="0.25">
      <c r="C216" s="346"/>
    </row>
    <row r="217" spans="3:3" x14ac:dyDescent="0.25">
      <c r="C217" s="346"/>
    </row>
    <row r="218" spans="3:3" x14ac:dyDescent="0.25">
      <c r="C218" s="346"/>
    </row>
    <row r="219" spans="3:3" x14ac:dyDescent="0.25">
      <c r="C219" s="346"/>
    </row>
    <row r="220" spans="3:3" x14ac:dyDescent="0.25">
      <c r="C220" s="346"/>
    </row>
    <row r="221" spans="3:3" x14ac:dyDescent="0.25">
      <c r="C221" s="346"/>
    </row>
    <row r="222" spans="3:3" x14ac:dyDescent="0.25">
      <c r="C222" s="346"/>
    </row>
    <row r="223" spans="3:3" x14ac:dyDescent="0.25">
      <c r="C223" s="346"/>
    </row>
    <row r="224" spans="3:3" x14ac:dyDescent="0.25">
      <c r="C224" s="346"/>
    </row>
    <row r="225" spans="3:3" x14ac:dyDescent="0.25">
      <c r="C225" s="346"/>
    </row>
    <row r="226" spans="3:3" x14ac:dyDescent="0.25">
      <c r="C226" s="346"/>
    </row>
    <row r="227" spans="3:3" x14ac:dyDescent="0.25">
      <c r="C227" s="346"/>
    </row>
    <row r="228" spans="3:3" x14ac:dyDescent="0.25">
      <c r="C228" s="346"/>
    </row>
    <row r="229" spans="3:3" x14ac:dyDescent="0.25">
      <c r="C229" s="346"/>
    </row>
    <row r="230" spans="3:3" x14ac:dyDescent="0.25">
      <c r="C230" s="346"/>
    </row>
    <row r="231" spans="3:3" x14ac:dyDescent="0.25">
      <c r="C231" s="346"/>
    </row>
    <row r="232" spans="3:3" x14ac:dyDescent="0.25">
      <c r="C232" s="346"/>
    </row>
    <row r="233" spans="3:3" x14ac:dyDescent="0.25">
      <c r="C233" s="346"/>
    </row>
    <row r="234" spans="3:3" x14ac:dyDescent="0.25">
      <c r="C234" s="346"/>
    </row>
    <row r="235" spans="3:3" x14ac:dyDescent="0.25">
      <c r="C235" s="346"/>
    </row>
    <row r="236" spans="3:3" x14ac:dyDescent="0.25">
      <c r="C236" s="346"/>
    </row>
    <row r="237" spans="3:3" x14ac:dyDescent="0.25">
      <c r="C237" s="346"/>
    </row>
    <row r="238" spans="3:3" x14ac:dyDescent="0.25">
      <c r="C238" s="346"/>
    </row>
    <row r="239" spans="3:3" x14ac:dyDescent="0.25">
      <c r="C239" s="346"/>
    </row>
    <row r="240" spans="3:3" x14ac:dyDescent="0.25">
      <c r="C240" s="346"/>
    </row>
    <row r="241" spans="3:3" x14ac:dyDescent="0.25">
      <c r="C241" s="346"/>
    </row>
    <row r="242" spans="3:3" x14ac:dyDescent="0.25">
      <c r="C242" s="346"/>
    </row>
    <row r="243" spans="3:3" x14ac:dyDescent="0.25">
      <c r="C243" s="346"/>
    </row>
    <row r="244" spans="3:3" x14ac:dyDescent="0.25">
      <c r="C244" s="346"/>
    </row>
    <row r="245" spans="3:3" x14ac:dyDescent="0.25">
      <c r="C245" s="346"/>
    </row>
    <row r="246" spans="3:3" x14ac:dyDescent="0.25">
      <c r="C246" s="346"/>
    </row>
    <row r="247" spans="3:3" x14ac:dyDescent="0.25">
      <c r="C247" s="346"/>
    </row>
    <row r="248" spans="3:3" x14ac:dyDescent="0.25">
      <c r="C248" s="346"/>
    </row>
    <row r="249" spans="3:3" x14ac:dyDescent="0.25">
      <c r="C249" s="346"/>
    </row>
    <row r="250" spans="3:3" x14ac:dyDescent="0.25">
      <c r="C250" s="346"/>
    </row>
    <row r="251" spans="3:3" x14ac:dyDescent="0.25">
      <c r="C251" s="346"/>
    </row>
    <row r="252" spans="3:3" x14ac:dyDescent="0.25">
      <c r="C252" s="346"/>
    </row>
    <row r="253" spans="3:3" x14ac:dyDescent="0.25">
      <c r="C253" s="346"/>
    </row>
    <row r="254" spans="3:3" x14ac:dyDescent="0.25">
      <c r="C254" s="346"/>
    </row>
    <row r="255" spans="3:3" x14ac:dyDescent="0.25">
      <c r="C255" s="346"/>
    </row>
    <row r="256" spans="3:3" x14ac:dyDescent="0.25">
      <c r="C256" s="346"/>
    </row>
    <row r="257" spans="3:3" x14ac:dyDescent="0.25">
      <c r="C257" s="346"/>
    </row>
    <row r="258" spans="3:3" x14ac:dyDescent="0.25">
      <c r="C258" s="346"/>
    </row>
    <row r="259" spans="3:3" x14ac:dyDescent="0.25">
      <c r="C259" s="346"/>
    </row>
    <row r="260" spans="3:3" x14ac:dyDescent="0.25">
      <c r="C260" s="346"/>
    </row>
    <row r="261" spans="3:3" x14ac:dyDescent="0.25">
      <c r="C261" s="346"/>
    </row>
    <row r="262" spans="3:3" x14ac:dyDescent="0.25">
      <c r="C262" s="346"/>
    </row>
    <row r="263" spans="3:3" x14ac:dyDescent="0.25">
      <c r="C263" s="346"/>
    </row>
    <row r="264" spans="3:3" x14ac:dyDescent="0.25">
      <c r="C264" s="346"/>
    </row>
    <row r="265" spans="3:3" x14ac:dyDescent="0.25">
      <c r="C265" s="346"/>
    </row>
    <row r="266" spans="3:3" x14ac:dyDescent="0.25">
      <c r="C266" s="346"/>
    </row>
    <row r="267" spans="3:3" x14ac:dyDescent="0.25">
      <c r="C267" s="346"/>
    </row>
    <row r="268" spans="3:3" x14ac:dyDescent="0.25">
      <c r="C268" s="346"/>
    </row>
    <row r="269" spans="3:3" x14ac:dyDescent="0.25">
      <c r="C269" s="346"/>
    </row>
    <row r="270" spans="3:3" x14ac:dyDescent="0.25">
      <c r="C270" s="346"/>
    </row>
    <row r="271" spans="3:3" x14ac:dyDescent="0.25">
      <c r="C271" s="346"/>
    </row>
    <row r="272" spans="3:3" x14ac:dyDescent="0.25">
      <c r="C272" s="346"/>
    </row>
    <row r="273" spans="3:3" x14ac:dyDescent="0.25">
      <c r="C273" s="346"/>
    </row>
    <row r="274" spans="3:3" x14ac:dyDescent="0.25">
      <c r="C274" s="346"/>
    </row>
    <row r="275" spans="3:3" x14ac:dyDescent="0.25">
      <c r="C275" s="346"/>
    </row>
    <row r="276" spans="3:3" x14ac:dyDescent="0.25">
      <c r="C276" s="346"/>
    </row>
    <row r="277" spans="3:3" x14ac:dyDescent="0.25">
      <c r="C277" s="346"/>
    </row>
    <row r="278" spans="3:3" x14ac:dyDescent="0.25">
      <c r="C278" s="346"/>
    </row>
    <row r="279" spans="3:3" x14ac:dyDescent="0.25">
      <c r="C279" s="346"/>
    </row>
    <row r="280" spans="3:3" x14ac:dyDescent="0.25">
      <c r="C280" s="346"/>
    </row>
    <row r="281" spans="3:3" x14ac:dyDescent="0.25">
      <c r="C281" s="346"/>
    </row>
    <row r="282" spans="3:3" x14ac:dyDescent="0.25">
      <c r="C282" s="346"/>
    </row>
    <row r="283" spans="3:3" x14ac:dyDescent="0.25">
      <c r="C283" s="346"/>
    </row>
    <row r="284" spans="3:3" x14ac:dyDescent="0.25">
      <c r="C284" s="346"/>
    </row>
    <row r="285" spans="3:3" x14ac:dyDescent="0.25">
      <c r="C285" s="346"/>
    </row>
    <row r="286" spans="3:3" x14ac:dyDescent="0.25">
      <c r="C286" s="346"/>
    </row>
    <row r="287" spans="3:3" x14ac:dyDescent="0.25">
      <c r="C287" s="346"/>
    </row>
    <row r="288" spans="3:3" x14ac:dyDescent="0.25">
      <c r="C288" s="346"/>
    </row>
    <row r="289" spans="3:3" x14ac:dyDescent="0.25">
      <c r="C289" s="346"/>
    </row>
    <row r="290" spans="3:3" x14ac:dyDescent="0.25">
      <c r="C290" s="346"/>
    </row>
    <row r="291" spans="3:3" x14ac:dyDescent="0.25">
      <c r="C291" s="346"/>
    </row>
    <row r="292" spans="3:3" x14ac:dyDescent="0.25">
      <c r="C292" s="346"/>
    </row>
    <row r="293" spans="3:3" x14ac:dyDescent="0.25">
      <c r="C293" s="346"/>
    </row>
    <row r="294" spans="3:3" x14ac:dyDescent="0.25">
      <c r="C294" s="346"/>
    </row>
    <row r="295" spans="3:3" x14ac:dyDescent="0.25">
      <c r="C295" s="346"/>
    </row>
    <row r="296" spans="3:3" x14ac:dyDescent="0.25">
      <c r="C296" s="346"/>
    </row>
    <row r="297" spans="3:3" x14ac:dyDescent="0.25">
      <c r="C297" s="346"/>
    </row>
    <row r="298" spans="3:3" x14ac:dyDescent="0.25">
      <c r="C298" s="346"/>
    </row>
    <row r="299" spans="3:3" x14ac:dyDescent="0.25">
      <c r="C299" s="346"/>
    </row>
    <row r="300" spans="3:3" x14ac:dyDescent="0.25">
      <c r="C300" s="346"/>
    </row>
    <row r="301" spans="3:3" x14ac:dyDescent="0.25">
      <c r="C301" s="346"/>
    </row>
    <row r="302" spans="3:3" x14ac:dyDescent="0.25">
      <c r="C302" s="346"/>
    </row>
    <row r="303" spans="3:3" x14ac:dyDescent="0.25">
      <c r="C303" s="346"/>
    </row>
    <row r="304" spans="3:3" x14ac:dyDescent="0.25">
      <c r="C304" s="346"/>
    </row>
    <row r="305" spans="3:3" x14ac:dyDescent="0.25">
      <c r="C305" s="346"/>
    </row>
    <row r="306" spans="3:3" x14ac:dyDescent="0.25">
      <c r="C306" s="346"/>
    </row>
    <row r="307" spans="3:3" x14ac:dyDescent="0.25">
      <c r="C307" s="346"/>
    </row>
    <row r="308" spans="3:3" x14ac:dyDescent="0.25">
      <c r="C308" s="346"/>
    </row>
    <row r="309" spans="3:3" x14ac:dyDescent="0.25">
      <c r="C309" s="346"/>
    </row>
    <row r="310" spans="3:3" x14ac:dyDescent="0.25">
      <c r="C310" s="346"/>
    </row>
    <row r="311" spans="3:3" x14ac:dyDescent="0.25">
      <c r="C311" s="346"/>
    </row>
    <row r="312" spans="3:3" x14ac:dyDescent="0.25">
      <c r="C312" s="346"/>
    </row>
    <row r="313" spans="3:3" x14ac:dyDescent="0.25">
      <c r="C313" s="346"/>
    </row>
    <row r="314" spans="3:3" x14ac:dyDescent="0.25">
      <c r="C314" s="346"/>
    </row>
    <row r="315" spans="3:3" x14ac:dyDescent="0.25">
      <c r="C315" s="346"/>
    </row>
    <row r="316" spans="3:3" x14ac:dyDescent="0.25">
      <c r="C316" s="346"/>
    </row>
    <row r="317" spans="3:3" x14ac:dyDescent="0.25">
      <c r="C317" s="346"/>
    </row>
    <row r="318" spans="3:3" x14ac:dyDescent="0.25">
      <c r="C318" s="346"/>
    </row>
    <row r="319" spans="3:3" x14ac:dyDescent="0.25">
      <c r="C319" s="346"/>
    </row>
    <row r="320" spans="3:3" x14ac:dyDescent="0.25">
      <c r="C320" s="346"/>
    </row>
    <row r="321" spans="3:3" x14ac:dyDescent="0.25">
      <c r="C321" s="346"/>
    </row>
    <row r="322" spans="3:3" x14ac:dyDescent="0.25">
      <c r="C322" s="346"/>
    </row>
    <row r="323" spans="3:3" x14ac:dyDescent="0.25">
      <c r="C323" s="346"/>
    </row>
    <row r="324" spans="3:3" x14ac:dyDescent="0.25">
      <c r="C324" s="346"/>
    </row>
    <row r="325" spans="3:3" x14ac:dyDescent="0.25">
      <c r="C325" s="346"/>
    </row>
    <row r="326" spans="3:3" x14ac:dyDescent="0.25">
      <c r="C326" s="346"/>
    </row>
    <row r="327" spans="3:3" x14ac:dyDescent="0.25">
      <c r="C327" s="346"/>
    </row>
    <row r="328" spans="3:3" x14ac:dyDescent="0.25">
      <c r="C328" s="346"/>
    </row>
    <row r="329" spans="3:3" x14ac:dyDescent="0.25">
      <c r="C329" s="346"/>
    </row>
    <row r="330" spans="3:3" x14ac:dyDescent="0.25">
      <c r="C330" s="346"/>
    </row>
    <row r="331" spans="3:3" x14ac:dyDescent="0.25">
      <c r="C331" s="346"/>
    </row>
    <row r="332" spans="3:3" x14ac:dyDescent="0.25">
      <c r="C332" s="346"/>
    </row>
    <row r="333" spans="3:3" x14ac:dyDescent="0.25">
      <c r="C333" s="346"/>
    </row>
    <row r="334" spans="3:3" x14ac:dyDescent="0.25">
      <c r="C334" s="346"/>
    </row>
    <row r="335" spans="3:3" x14ac:dyDescent="0.25">
      <c r="C335" s="346"/>
    </row>
    <row r="336" spans="3:3" x14ac:dyDescent="0.25">
      <c r="C336" s="346"/>
    </row>
    <row r="337" spans="3:3" x14ac:dyDescent="0.25">
      <c r="C337" s="346"/>
    </row>
    <row r="338" spans="3:3" x14ac:dyDescent="0.25">
      <c r="C338" s="346"/>
    </row>
    <row r="339" spans="3:3" x14ac:dyDescent="0.25">
      <c r="C339" s="346"/>
    </row>
    <row r="340" spans="3:3" x14ac:dyDescent="0.25">
      <c r="C340" s="346"/>
    </row>
    <row r="341" spans="3:3" x14ac:dyDescent="0.25">
      <c r="C341" s="346"/>
    </row>
    <row r="342" spans="3:3" x14ac:dyDescent="0.25">
      <c r="C342" s="346"/>
    </row>
    <row r="343" spans="3:3" x14ac:dyDescent="0.25">
      <c r="C343" s="346"/>
    </row>
    <row r="344" spans="3:3" x14ac:dyDescent="0.25">
      <c r="C344" s="346"/>
    </row>
    <row r="345" spans="3:3" x14ac:dyDescent="0.25">
      <c r="C345" s="346"/>
    </row>
    <row r="346" spans="3:3" x14ac:dyDescent="0.25">
      <c r="C346" s="346"/>
    </row>
    <row r="347" spans="3:3" x14ac:dyDescent="0.25">
      <c r="C347" s="346"/>
    </row>
    <row r="348" spans="3:3" x14ac:dyDescent="0.25">
      <c r="C348" s="346"/>
    </row>
    <row r="349" spans="3:3" x14ac:dyDescent="0.25">
      <c r="C349" s="346"/>
    </row>
    <row r="350" spans="3:3" x14ac:dyDescent="0.25">
      <c r="C350" s="346"/>
    </row>
    <row r="351" spans="3:3" x14ac:dyDescent="0.25">
      <c r="C351" s="346"/>
    </row>
    <row r="352" spans="3:3" x14ac:dyDescent="0.25">
      <c r="C352" s="346"/>
    </row>
    <row r="353" spans="3:3" x14ac:dyDescent="0.25">
      <c r="C353" s="346"/>
    </row>
    <row r="354" spans="3:3" x14ac:dyDescent="0.25">
      <c r="C354" s="346"/>
    </row>
    <row r="355" spans="3:3" x14ac:dyDescent="0.25">
      <c r="C355" s="346"/>
    </row>
    <row r="356" spans="3:3" x14ac:dyDescent="0.25">
      <c r="C356" s="346"/>
    </row>
    <row r="357" spans="3:3" x14ac:dyDescent="0.25">
      <c r="C357" s="346"/>
    </row>
    <row r="358" spans="3:3" x14ac:dyDescent="0.25">
      <c r="C358" s="346"/>
    </row>
    <row r="359" spans="3:3" x14ac:dyDescent="0.25">
      <c r="C359" s="346"/>
    </row>
    <row r="360" spans="3:3" x14ac:dyDescent="0.25">
      <c r="C360" s="346"/>
    </row>
    <row r="361" spans="3:3" x14ac:dyDescent="0.25">
      <c r="C361" s="346"/>
    </row>
    <row r="362" spans="3:3" x14ac:dyDescent="0.25">
      <c r="C362" s="346"/>
    </row>
    <row r="363" spans="3:3" x14ac:dyDescent="0.25">
      <c r="C363" s="346"/>
    </row>
    <row r="364" spans="3:3" x14ac:dyDescent="0.25">
      <c r="C364" s="346"/>
    </row>
    <row r="365" spans="3:3" x14ac:dyDescent="0.25">
      <c r="C365" s="346"/>
    </row>
    <row r="366" spans="3:3" x14ac:dyDescent="0.25">
      <c r="C366" s="346"/>
    </row>
    <row r="367" spans="3:3" x14ac:dyDescent="0.25">
      <c r="C367" s="346"/>
    </row>
    <row r="368" spans="3:3" x14ac:dyDescent="0.25">
      <c r="C368" s="346"/>
    </row>
    <row r="369" spans="3:3" x14ac:dyDescent="0.25">
      <c r="C369" s="346"/>
    </row>
    <row r="370" spans="3:3" x14ac:dyDescent="0.25">
      <c r="C370" s="346"/>
    </row>
    <row r="371" spans="3:3" x14ac:dyDescent="0.25">
      <c r="C371" s="346"/>
    </row>
    <row r="372" spans="3:3" x14ac:dyDescent="0.25">
      <c r="C372" s="346"/>
    </row>
    <row r="373" spans="3:3" x14ac:dyDescent="0.25">
      <c r="C373" s="346"/>
    </row>
    <row r="374" spans="3:3" x14ac:dyDescent="0.25">
      <c r="C374" s="346"/>
    </row>
    <row r="375" spans="3:3" x14ac:dyDescent="0.25">
      <c r="C375" s="346"/>
    </row>
    <row r="376" spans="3:3" x14ac:dyDescent="0.25">
      <c r="C376" s="346"/>
    </row>
    <row r="377" spans="3:3" x14ac:dyDescent="0.25">
      <c r="C377" s="346"/>
    </row>
    <row r="378" spans="3:3" x14ac:dyDescent="0.25">
      <c r="C378" s="346"/>
    </row>
    <row r="379" spans="3:3" x14ac:dyDescent="0.25">
      <c r="C379" s="346"/>
    </row>
    <row r="380" spans="3:3" x14ac:dyDescent="0.25">
      <c r="C380" s="346"/>
    </row>
    <row r="381" spans="3:3" x14ac:dyDescent="0.25">
      <c r="C381" s="346"/>
    </row>
    <row r="382" spans="3:3" x14ac:dyDescent="0.25">
      <c r="C382" s="346"/>
    </row>
    <row r="383" spans="3:3" x14ac:dyDescent="0.25">
      <c r="C383" s="346"/>
    </row>
    <row r="384" spans="3:3" x14ac:dyDescent="0.25">
      <c r="C384" s="346"/>
    </row>
    <row r="385" spans="3:3" x14ac:dyDescent="0.25">
      <c r="C385" s="346"/>
    </row>
    <row r="386" spans="3:3" x14ac:dyDescent="0.25">
      <c r="C386" s="346"/>
    </row>
    <row r="387" spans="3:3" x14ac:dyDescent="0.25">
      <c r="C387" s="346"/>
    </row>
    <row r="388" spans="3:3" x14ac:dyDescent="0.25">
      <c r="C388" s="346"/>
    </row>
    <row r="389" spans="3:3" x14ac:dyDescent="0.25">
      <c r="C389" s="346"/>
    </row>
    <row r="390" spans="3:3" x14ac:dyDescent="0.25">
      <c r="C390" s="346"/>
    </row>
    <row r="391" spans="3:3" x14ac:dyDescent="0.25">
      <c r="C391" s="346"/>
    </row>
    <row r="392" spans="3:3" x14ac:dyDescent="0.25">
      <c r="C392" s="346"/>
    </row>
    <row r="393" spans="3:3" x14ac:dyDescent="0.25">
      <c r="C393" s="346"/>
    </row>
    <row r="394" spans="3:3" x14ac:dyDescent="0.25">
      <c r="C394" s="346"/>
    </row>
    <row r="395" spans="3:3" x14ac:dyDescent="0.25">
      <c r="C395" s="346"/>
    </row>
    <row r="396" spans="3:3" x14ac:dyDescent="0.25">
      <c r="C396" s="346"/>
    </row>
    <row r="397" spans="3:3" x14ac:dyDescent="0.25">
      <c r="C397" s="346"/>
    </row>
    <row r="398" spans="3:3" x14ac:dyDescent="0.25">
      <c r="C398" s="346"/>
    </row>
    <row r="399" spans="3:3" x14ac:dyDescent="0.25">
      <c r="C399" s="346"/>
    </row>
    <row r="400" spans="3:3" x14ac:dyDescent="0.25">
      <c r="C400" s="346"/>
    </row>
    <row r="401" spans="3:3" x14ac:dyDescent="0.25">
      <c r="C401" s="346"/>
    </row>
    <row r="402" spans="3:3" x14ac:dyDescent="0.25">
      <c r="C402" s="346"/>
    </row>
    <row r="403" spans="3:3" x14ac:dyDescent="0.25">
      <c r="C403" s="346"/>
    </row>
    <row r="404" spans="3:3" x14ac:dyDescent="0.25">
      <c r="C404" s="346"/>
    </row>
    <row r="405" spans="3:3" x14ac:dyDescent="0.25">
      <c r="C405" s="346"/>
    </row>
    <row r="406" spans="3:3" x14ac:dyDescent="0.25">
      <c r="C406" s="346"/>
    </row>
    <row r="407" spans="3:3" x14ac:dyDescent="0.25">
      <c r="C407" s="346"/>
    </row>
    <row r="408" spans="3:3" x14ac:dyDescent="0.25">
      <c r="C408" s="346"/>
    </row>
    <row r="409" spans="3:3" x14ac:dyDescent="0.25">
      <c r="C409" s="346"/>
    </row>
    <row r="410" spans="3:3" x14ac:dyDescent="0.25">
      <c r="C410" s="346"/>
    </row>
    <row r="411" spans="3:3" x14ac:dyDescent="0.25">
      <c r="C411" s="346"/>
    </row>
    <row r="412" spans="3:3" x14ac:dyDescent="0.25">
      <c r="C412" s="346"/>
    </row>
    <row r="413" spans="3:3" x14ac:dyDescent="0.25">
      <c r="C413" s="346"/>
    </row>
    <row r="414" spans="3:3" x14ac:dyDescent="0.25">
      <c r="C414" s="346"/>
    </row>
    <row r="415" spans="3:3" x14ac:dyDescent="0.25">
      <c r="C415" s="346"/>
    </row>
    <row r="416" spans="3:3" x14ac:dyDescent="0.25">
      <c r="C416" s="346"/>
    </row>
    <row r="417" spans="3:3" x14ac:dyDescent="0.25">
      <c r="C417" s="346"/>
    </row>
    <row r="418" spans="3:3" x14ac:dyDescent="0.25">
      <c r="C418" s="346"/>
    </row>
    <row r="419" spans="3:3" x14ac:dyDescent="0.25">
      <c r="C419" s="346"/>
    </row>
    <row r="420" spans="3:3" x14ac:dyDescent="0.25">
      <c r="C420" s="346"/>
    </row>
    <row r="421" spans="3:3" x14ac:dyDescent="0.25">
      <c r="C421" s="346"/>
    </row>
    <row r="422" spans="3:3" x14ac:dyDescent="0.25">
      <c r="C422" s="346"/>
    </row>
    <row r="423" spans="3:3" x14ac:dyDescent="0.25">
      <c r="C423" s="346"/>
    </row>
    <row r="424" spans="3:3" x14ac:dyDescent="0.25">
      <c r="C424" s="346"/>
    </row>
    <row r="425" spans="3:3" x14ac:dyDescent="0.25">
      <c r="C425" s="346"/>
    </row>
    <row r="426" spans="3:3" x14ac:dyDescent="0.25">
      <c r="C426" s="346"/>
    </row>
    <row r="427" spans="3:3" x14ac:dyDescent="0.25">
      <c r="C427" s="346"/>
    </row>
    <row r="428" spans="3:3" x14ac:dyDescent="0.25">
      <c r="C428" s="346"/>
    </row>
    <row r="429" spans="3:3" x14ac:dyDescent="0.25">
      <c r="C429" s="346"/>
    </row>
    <row r="430" spans="3:3" x14ac:dyDescent="0.25">
      <c r="C430" s="346"/>
    </row>
    <row r="431" spans="3:3" x14ac:dyDescent="0.25">
      <c r="C431" s="346"/>
    </row>
    <row r="432" spans="3:3" x14ac:dyDescent="0.25">
      <c r="C432" s="346"/>
    </row>
    <row r="433" spans="3:3" x14ac:dyDescent="0.25">
      <c r="C433" s="346"/>
    </row>
    <row r="434" spans="3:3" x14ac:dyDescent="0.25">
      <c r="C434" s="346"/>
    </row>
    <row r="435" spans="3:3" x14ac:dyDescent="0.25">
      <c r="C435" s="346"/>
    </row>
    <row r="436" spans="3:3" x14ac:dyDescent="0.25">
      <c r="C436" s="346"/>
    </row>
    <row r="437" spans="3:3" x14ac:dyDescent="0.25">
      <c r="C437" s="346"/>
    </row>
    <row r="438" spans="3:3" x14ac:dyDescent="0.25">
      <c r="C438" s="346"/>
    </row>
    <row r="439" spans="3:3" x14ac:dyDescent="0.25">
      <c r="C439" s="346"/>
    </row>
    <row r="440" spans="3:3" x14ac:dyDescent="0.25">
      <c r="C440" s="346"/>
    </row>
    <row r="441" spans="3:3" x14ac:dyDescent="0.25">
      <c r="C441" s="346"/>
    </row>
    <row r="442" spans="3:3" x14ac:dyDescent="0.25">
      <c r="C442" s="346"/>
    </row>
    <row r="443" spans="3:3" x14ac:dyDescent="0.25">
      <c r="C443" s="346"/>
    </row>
    <row r="444" spans="3:3" x14ac:dyDescent="0.25">
      <c r="C444" s="346"/>
    </row>
    <row r="445" spans="3:3" x14ac:dyDescent="0.25">
      <c r="C445" s="346"/>
    </row>
    <row r="446" spans="3:3" x14ac:dyDescent="0.25">
      <c r="C446" s="346"/>
    </row>
    <row r="447" spans="3:3" x14ac:dyDescent="0.25">
      <c r="C447" s="346"/>
    </row>
    <row r="448" spans="3:3" x14ac:dyDescent="0.25">
      <c r="C448" s="346"/>
    </row>
    <row r="449" spans="3:3" x14ac:dyDescent="0.25">
      <c r="C449" s="346"/>
    </row>
    <row r="450" spans="3:3" x14ac:dyDescent="0.25">
      <c r="C450" s="346"/>
    </row>
    <row r="451" spans="3:3" x14ac:dyDescent="0.25">
      <c r="C451" s="346"/>
    </row>
    <row r="452" spans="3:3" x14ac:dyDescent="0.25">
      <c r="C452" s="346"/>
    </row>
    <row r="453" spans="3:3" x14ac:dyDescent="0.25">
      <c r="C453" s="346"/>
    </row>
    <row r="454" spans="3:3" x14ac:dyDescent="0.25">
      <c r="C454" s="346"/>
    </row>
    <row r="455" spans="3:3" x14ac:dyDescent="0.25">
      <c r="C455" s="346"/>
    </row>
    <row r="456" spans="3:3" x14ac:dyDescent="0.25">
      <c r="C456" s="346"/>
    </row>
    <row r="457" spans="3:3" x14ac:dyDescent="0.25">
      <c r="C457" s="346"/>
    </row>
    <row r="458" spans="3:3" x14ac:dyDescent="0.25">
      <c r="C458" s="346"/>
    </row>
    <row r="459" spans="3:3" x14ac:dyDescent="0.25">
      <c r="C459" s="346"/>
    </row>
    <row r="460" spans="3:3" x14ac:dyDescent="0.25">
      <c r="C460" s="346"/>
    </row>
    <row r="461" spans="3:3" x14ac:dyDescent="0.25">
      <c r="C461" s="346"/>
    </row>
    <row r="462" spans="3:3" x14ac:dyDescent="0.25">
      <c r="C462" s="346"/>
    </row>
    <row r="463" spans="3:3" x14ac:dyDescent="0.25">
      <c r="C463" s="346"/>
    </row>
    <row r="464" spans="3:3" x14ac:dyDescent="0.25">
      <c r="C464" s="346"/>
    </row>
    <row r="465" spans="3:3" x14ac:dyDescent="0.25">
      <c r="C465" s="346"/>
    </row>
    <row r="466" spans="3:3" x14ac:dyDescent="0.25">
      <c r="C466" s="346"/>
    </row>
    <row r="467" spans="3:3" x14ac:dyDescent="0.25">
      <c r="C467" s="346"/>
    </row>
    <row r="468" spans="3:3" x14ac:dyDescent="0.25">
      <c r="C468" s="346"/>
    </row>
    <row r="469" spans="3:3" x14ac:dyDescent="0.25">
      <c r="C469" s="346"/>
    </row>
    <row r="470" spans="3:3" x14ac:dyDescent="0.25">
      <c r="C470" s="346"/>
    </row>
    <row r="471" spans="3:3" x14ac:dyDescent="0.25">
      <c r="C471" s="346"/>
    </row>
    <row r="472" spans="3:3" x14ac:dyDescent="0.25">
      <c r="C472" s="346"/>
    </row>
    <row r="473" spans="3:3" x14ac:dyDescent="0.25">
      <c r="C473" s="346"/>
    </row>
    <row r="474" spans="3:3" x14ac:dyDescent="0.25">
      <c r="C474" s="346"/>
    </row>
    <row r="475" spans="3:3" x14ac:dyDescent="0.25">
      <c r="C475" s="346"/>
    </row>
    <row r="476" spans="3:3" x14ac:dyDescent="0.25">
      <c r="C476" s="346"/>
    </row>
    <row r="477" spans="3:3" x14ac:dyDescent="0.25">
      <c r="C477" s="346"/>
    </row>
    <row r="478" spans="3:3" x14ac:dyDescent="0.25">
      <c r="C478" s="346"/>
    </row>
    <row r="479" spans="3:3" x14ac:dyDescent="0.25">
      <c r="C479" s="346"/>
    </row>
    <row r="480" spans="3:3" x14ac:dyDescent="0.25">
      <c r="C480" s="346"/>
    </row>
    <row r="481" spans="3:3" x14ac:dyDescent="0.25">
      <c r="C481" s="346"/>
    </row>
    <row r="482" spans="3:3" x14ac:dyDescent="0.25">
      <c r="C482" s="346"/>
    </row>
    <row r="483" spans="3:3" x14ac:dyDescent="0.25">
      <c r="C483" s="346"/>
    </row>
    <row r="484" spans="3:3" x14ac:dyDescent="0.25">
      <c r="C484" s="346"/>
    </row>
    <row r="485" spans="3:3" x14ac:dyDescent="0.25">
      <c r="C485" s="346"/>
    </row>
    <row r="486" spans="3:3" x14ac:dyDescent="0.25">
      <c r="C486" s="346"/>
    </row>
    <row r="487" spans="3:3" x14ac:dyDescent="0.25">
      <c r="C487" s="346"/>
    </row>
    <row r="488" spans="3:3" x14ac:dyDescent="0.25">
      <c r="C488" s="346"/>
    </row>
    <row r="489" spans="3:3" x14ac:dyDescent="0.25">
      <c r="C489" s="346"/>
    </row>
    <row r="490" spans="3:3" x14ac:dyDescent="0.25">
      <c r="C490" s="346"/>
    </row>
    <row r="491" spans="3:3" x14ac:dyDescent="0.25">
      <c r="C491" s="346"/>
    </row>
    <row r="492" spans="3:3" x14ac:dyDescent="0.25">
      <c r="C492" s="346"/>
    </row>
    <row r="493" spans="3:3" x14ac:dyDescent="0.25">
      <c r="C493" s="346"/>
    </row>
    <row r="494" spans="3:3" x14ac:dyDescent="0.25">
      <c r="C494" s="346"/>
    </row>
    <row r="495" spans="3:3" x14ac:dyDescent="0.25">
      <c r="C495" s="346"/>
    </row>
    <row r="496" spans="3:3" x14ac:dyDescent="0.25">
      <c r="C496" s="346"/>
    </row>
    <row r="497" spans="3:3" x14ac:dyDescent="0.25">
      <c r="C497" s="346"/>
    </row>
    <row r="498" spans="3:3" x14ac:dyDescent="0.25">
      <c r="C498" s="346"/>
    </row>
    <row r="499" spans="3:3" x14ac:dyDescent="0.25">
      <c r="C499" s="346"/>
    </row>
    <row r="500" spans="3:3" x14ac:dyDescent="0.25">
      <c r="C500" s="346"/>
    </row>
    <row r="501" spans="3:3" x14ac:dyDescent="0.25">
      <c r="C501" s="346"/>
    </row>
    <row r="502" spans="3:3" x14ac:dyDescent="0.25">
      <c r="C502" s="346"/>
    </row>
    <row r="503" spans="3:3" x14ac:dyDescent="0.25">
      <c r="C503" s="346"/>
    </row>
    <row r="504" spans="3:3" x14ac:dyDescent="0.25">
      <c r="C504" s="346"/>
    </row>
    <row r="505" spans="3:3" x14ac:dyDescent="0.25">
      <c r="C505" s="346"/>
    </row>
    <row r="506" spans="3:3" x14ac:dyDescent="0.25">
      <c r="C506" s="346"/>
    </row>
    <row r="507" spans="3:3" x14ac:dyDescent="0.25">
      <c r="C507" s="346"/>
    </row>
    <row r="508" spans="3:3" x14ac:dyDescent="0.25">
      <c r="C508" s="346"/>
    </row>
    <row r="509" spans="3:3" x14ac:dyDescent="0.25">
      <c r="C509" s="346"/>
    </row>
    <row r="510" spans="3:3" x14ac:dyDescent="0.25">
      <c r="C510" s="346"/>
    </row>
    <row r="511" spans="3:3" x14ac:dyDescent="0.25">
      <c r="C511" s="346"/>
    </row>
    <row r="512" spans="3:3" x14ac:dyDescent="0.25">
      <c r="C512" s="346"/>
    </row>
    <row r="513" spans="3:3" x14ac:dyDescent="0.25">
      <c r="C513" s="346"/>
    </row>
    <row r="514" spans="3:3" x14ac:dyDescent="0.25">
      <c r="C514" s="346"/>
    </row>
    <row r="515" spans="3:3" x14ac:dyDescent="0.25">
      <c r="C515" s="346"/>
    </row>
    <row r="516" spans="3:3" x14ac:dyDescent="0.25">
      <c r="C516" s="346"/>
    </row>
    <row r="517" spans="3:3" x14ac:dyDescent="0.25">
      <c r="C517" s="346"/>
    </row>
    <row r="518" spans="3:3" x14ac:dyDescent="0.25">
      <c r="C518" s="346"/>
    </row>
    <row r="519" spans="3:3" x14ac:dyDescent="0.25">
      <c r="C519" s="346"/>
    </row>
    <row r="520" spans="3:3" x14ac:dyDescent="0.25">
      <c r="C520" s="346"/>
    </row>
    <row r="521" spans="3:3" x14ac:dyDescent="0.25">
      <c r="C521" s="346"/>
    </row>
    <row r="522" spans="3:3" x14ac:dyDescent="0.25">
      <c r="C522" s="346"/>
    </row>
    <row r="523" spans="3:3" x14ac:dyDescent="0.25">
      <c r="C523" s="346"/>
    </row>
    <row r="524" spans="3:3" x14ac:dyDescent="0.25">
      <c r="C524" s="346"/>
    </row>
    <row r="525" spans="3:3" x14ac:dyDescent="0.25">
      <c r="C525" s="346"/>
    </row>
    <row r="526" spans="3:3" x14ac:dyDescent="0.25">
      <c r="C526" s="346"/>
    </row>
    <row r="527" spans="3:3" x14ac:dyDescent="0.25">
      <c r="C527" s="346"/>
    </row>
    <row r="528" spans="3:3" x14ac:dyDescent="0.25">
      <c r="C528" s="346"/>
    </row>
    <row r="529" spans="3:3" x14ac:dyDescent="0.25">
      <c r="C529" s="346"/>
    </row>
    <row r="530" spans="3:3" x14ac:dyDescent="0.25">
      <c r="C530" s="346"/>
    </row>
    <row r="531" spans="3:3" x14ac:dyDescent="0.25">
      <c r="C531" s="346"/>
    </row>
    <row r="532" spans="3:3" x14ac:dyDescent="0.25">
      <c r="C532" s="346"/>
    </row>
    <row r="533" spans="3:3" x14ac:dyDescent="0.25">
      <c r="C533" s="346"/>
    </row>
    <row r="534" spans="3:3" x14ac:dyDescent="0.25">
      <c r="C534" s="346"/>
    </row>
    <row r="535" spans="3:3" x14ac:dyDescent="0.25">
      <c r="C535" s="346"/>
    </row>
    <row r="536" spans="3:3" x14ac:dyDescent="0.25">
      <c r="C536" s="346"/>
    </row>
    <row r="537" spans="3:3" x14ac:dyDescent="0.25">
      <c r="C537" s="346"/>
    </row>
    <row r="538" spans="3:3" x14ac:dyDescent="0.25">
      <c r="C538" s="346"/>
    </row>
    <row r="539" spans="3:3" x14ac:dyDescent="0.25">
      <c r="C539" s="346"/>
    </row>
    <row r="540" spans="3:3" x14ac:dyDescent="0.25">
      <c r="C540" s="346"/>
    </row>
    <row r="541" spans="3:3" x14ac:dyDescent="0.25">
      <c r="C541" s="346"/>
    </row>
    <row r="542" spans="3:3" x14ac:dyDescent="0.25">
      <c r="C542" s="346"/>
    </row>
    <row r="543" spans="3:3" x14ac:dyDescent="0.25">
      <c r="C543" s="346"/>
    </row>
    <row r="544" spans="3:3" x14ac:dyDescent="0.25">
      <c r="C544" s="346"/>
    </row>
    <row r="545" spans="3:3" x14ac:dyDescent="0.25">
      <c r="C545" s="346"/>
    </row>
    <row r="546" spans="3:3" x14ac:dyDescent="0.25">
      <c r="C546" s="346"/>
    </row>
    <row r="547" spans="3:3" x14ac:dyDescent="0.25">
      <c r="C547" s="346"/>
    </row>
    <row r="548" spans="3:3" x14ac:dyDescent="0.25">
      <c r="C548" s="346"/>
    </row>
    <row r="549" spans="3:3" x14ac:dyDescent="0.25">
      <c r="C549" s="346"/>
    </row>
    <row r="550" spans="3:3" x14ac:dyDescent="0.25">
      <c r="C550" s="346"/>
    </row>
    <row r="551" spans="3:3" x14ac:dyDescent="0.25">
      <c r="C551" s="346"/>
    </row>
    <row r="552" spans="3:3" x14ac:dyDescent="0.25">
      <c r="C552" s="346"/>
    </row>
    <row r="553" spans="3:3" x14ac:dyDescent="0.25">
      <c r="C553" s="346"/>
    </row>
    <row r="554" spans="3:3" x14ac:dyDescent="0.25">
      <c r="C554" s="346"/>
    </row>
    <row r="555" spans="3:3" x14ac:dyDescent="0.25">
      <c r="C555" s="346"/>
    </row>
    <row r="556" spans="3:3" x14ac:dyDescent="0.25">
      <c r="C556" s="346"/>
    </row>
    <row r="557" spans="3:3" x14ac:dyDescent="0.25">
      <c r="C557" s="346"/>
    </row>
    <row r="558" spans="3:3" x14ac:dyDescent="0.25">
      <c r="C558" s="346"/>
    </row>
    <row r="559" spans="3:3" x14ac:dyDescent="0.25">
      <c r="C559" s="346"/>
    </row>
    <row r="560" spans="3:3" x14ac:dyDescent="0.25">
      <c r="C560" s="346"/>
    </row>
    <row r="561" spans="3:3" x14ac:dyDescent="0.25">
      <c r="C561" s="346"/>
    </row>
    <row r="562" spans="3:3" x14ac:dyDescent="0.25">
      <c r="C562" s="346"/>
    </row>
    <row r="563" spans="3:3" x14ac:dyDescent="0.25">
      <c r="C563" s="346"/>
    </row>
    <row r="564" spans="3:3" x14ac:dyDescent="0.25">
      <c r="C564" s="346"/>
    </row>
    <row r="565" spans="3:3" x14ac:dyDescent="0.25">
      <c r="C565" s="346"/>
    </row>
    <row r="566" spans="3:3" x14ac:dyDescent="0.25">
      <c r="C566" s="346"/>
    </row>
    <row r="567" spans="3:3" x14ac:dyDescent="0.25">
      <c r="C567" s="346"/>
    </row>
    <row r="568" spans="3:3" x14ac:dyDescent="0.25">
      <c r="C568" s="346"/>
    </row>
    <row r="569" spans="3:3" x14ac:dyDescent="0.25">
      <c r="C569" s="346"/>
    </row>
    <row r="570" spans="3:3" x14ac:dyDescent="0.25">
      <c r="C570" s="346"/>
    </row>
    <row r="571" spans="3:3" x14ac:dyDescent="0.25">
      <c r="C571" s="346"/>
    </row>
    <row r="572" spans="3:3" x14ac:dyDescent="0.25">
      <c r="C572" s="346"/>
    </row>
    <row r="573" spans="3:3" x14ac:dyDescent="0.25">
      <c r="C573" s="346"/>
    </row>
    <row r="574" spans="3:3" x14ac:dyDescent="0.25">
      <c r="C574" s="346"/>
    </row>
    <row r="575" spans="3:3" x14ac:dyDescent="0.25">
      <c r="C575" s="346"/>
    </row>
    <row r="576" spans="3:3" x14ac:dyDescent="0.25">
      <c r="C576" s="346"/>
    </row>
    <row r="577" spans="3:3" x14ac:dyDescent="0.25">
      <c r="C577" s="346"/>
    </row>
    <row r="578" spans="3:3" x14ac:dyDescent="0.25">
      <c r="C578" s="346"/>
    </row>
    <row r="579" spans="3:3" x14ac:dyDescent="0.25">
      <c r="C579" s="346"/>
    </row>
    <row r="580" spans="3:3" x14ac:dyDescent="0.25">
      <c r="C580" s="346"/>
    </row>
    <row r="581" spans="3:3" x14ac:dyDescent="0.25">
      <c r="C581" s="346"/>
    </row>
    <row r="582" spans="3:3" x14ac:dyDescent="0.25">
      <c r="C582" s="346"/>
    </row>
    <row r="583" spans="3:3" x14ac:dyDescent="0.25">
      <c r="C583" s="346"/>
    </row>
    <row r="584" spans="3:3" x14ac:dyDescent="0.25">
      <c r="C584" s="346"/>
    </row>
    <row r="585" spans="3:3" x14ac:dyDescent="0.25">
      <c r="C585" s="346"/>
    </row>
    <row r="586" spans="3:3" x14ac:dyDescent="0.25">
      <c r="C586" s="346"/>
    </row>
    <row r="587" spans="3:3" x14ac:dyDescent="0.25">
      <c r="C587" s="346"/>
    </row>
    <row r="588" spans="3:3" x14ac:dyDescent="0.25">
      <c r="C588" s="346"/>
    </row>
    <row r="589" spans="3:3" x14ac:dyDescent="0.25">
      <c r="C589" s="346"/>
    </row>
    <row r="590" spans="3:3" x14ac:dyDescent="0.25">
      <c r="C590" s="346"/>
    </row>
    <row r="591" spans="3:3" x14ac:dyDescent="0.25">
      <c r="C591" s="346"/>
    </row>
    <row r="592" spans="3:3" x14ac:dyDescent="0.25">
      <c r="C592" s="346"/>
    </row>
    <row r="593" spans="3:3" x14ac:dyDescent="0.25">
      <c r="C593" s="346"/>
    </row>
    <row r="594" spans="3:3" x14ac:dyDescent="0.25">
      <c r="C594" s="346"/>
    </row>
    <row r="595" spans="3:3" x14ac:dyDescent="0.25">
      <c r="C595" s="346"/>
    </row>
    <row r="596" spans="3:3" x14ac:dyDescent="0.25">
      <c r="C596" s="346"/>
    </row>
    <row r="597" spans="3:3" x14ac:dyDescent="0.25">
      <c r="C597" s="346"/>
    </row>
    <row r="598" spans="3:3" x14ac:dyDescent="0.25">
      <c r="C598" s="346"/>
    </row>
    <row r="599" spans="3:3" x14ac:dyDescent="0.25">
      <c r="C599" s="346"/>
    </row>
    <row r="600" spans="3:3" x14ac:dyDescent="0.25">
      <c r="C600" s="346"/>
    </row>
    <row r="601" spans="3:3" x14ac:dyDescent="0.25">
      <c r="C601" s="346"/>
    </row>
    <row r="602" spans="3:3" x14ac:dyDescent="0.25">
      <c r="C602" s="346"/>
    </row>
    <row r="603" spans="3:3" x14ac:dyDescent="0.25">
      <c r="C603" s="346"/>
    </row>
    <row r="604" spans="3:3" x14ac:dyDescent="0.25">
      <c r="C604" s="346"/>
    </row>
    <row r="605" spans="3:3" x14ac:dyDescent="0.25">
      <c r="C605" s="346"/>
    </row>
    <row r="606" spans="3:3" x14ac:dyDescent="0.25">
      <c r="C606" s="346"/>
    </row>
    <row r="607" spans="3:3" x14ac:dyDescent="0.25">
      <c r="C607" s="346"/>
    </row>
    <row r="608" spans="3:3" x14ac:dyDescent="0.25">
      <c r="C608" s="346"/>
    </row>
    <row r="609" spans="3:3" x14ac:dyDescent="0.25">
      <c r="C609" s="346"/>
    </row>
    <row r="610" spans="3:3" x14ac:dyDescent="0.25">
      <c r="C610" s="346"/>
    </row>
    <row r="611" spans="3:3" x14ac:dyDescent="0.25">
      <c r="C611" s="346"/>
    </row>
    <row r="612" spans="3:3" x14ac:dyDescent="0.25">
      <c r="C612" s="346"/>
    </row>
    <row r="613" spans="3:3" x14ac:dyDescent="0.25">
      <c r="C613" s="346"/>
    </row>
    <row r="614" spans="3:3" x14ac:dyDescent="0.25">
      <c r="C614" s="346"/>
    </row>
    <row r="615" spans="3:3" x14ac:dyDescent="0.25">
      <c r="C615" s="346"/>
    </row>
    <row r="616" spans="3:3" x14ac:dyDescent="0.25">
      <c r="C616" s="346"/>
    </row>
    <row r="617" spans="3:3" x14ac:dyDescent="0.25">
      <c r="C617" s="346"/>
    </row>
    <row r="618" spans="3:3" x14ac:dyDescent="0.25">
      <c r="C618" s="346"/>
    </row>
    <row r="619" spans="3:3" x14ac:dyDescent="0.25">
      <c r="C619" s="346"/>
    </row>
    <row r="620" spans="3:3" x14ac:dyDescent="0.25">
      <c r="C620" s="346"/>
    </row>
    <row r="621" spans="3:3" x14ac:dyDescent="0.25">
      <c r="C621" s="346"/>
    </row>
    <row r="622" spans="3:3" x14ac:dyDescent="0.25">
      <c r="C622" s="346"/>
    </row>
    <row r="623" spans="3:3" x14ac:dyDescent="0.25">
      <c r="C623" s="346"/>
    </row>
    <row r="624" spans="3:3" x14ac:dyDescent="0.25">
      <c r="C624" s="346"/>
    </row>
    <row r="625" spans="3:3" x14ac:dyDescent="0.25">
      <c r="C625" s="346"/>
    </row>
    <row r="626" spans="3:3" x14ac:dyDescent="0.25">
      <c r="C626" s="346"/>
    </row>
    <row r="627" spans="3:3" x14ac:dyDescent="0.25">
      <c r="C627" s="346"/>
    </row>
    <row r="628" spans="3:3" x14ac:dyDescent="0.25">
      <c r="C628" s="346"/>
    </row>
    <row r="629" spans="3:3" x14ac:dyDescent="0.25">
      <c r="C629" s="346"/>
    </row>
    <row r="630" spans="3:3" x14ac:dyDescent="0.25">
      <c r="C630" s="346"/>
    </row>
    <row r="631" spans="3:3" x14ac:dyDescent="0.25">
      <c r="C631" s="346"/>
    </row>
    <row r="632" spans="3:3" x14ac:dyDescent="0.25">
      <c r="C632" s="346"/>
    </row>
    <row r="633" spans="3:3" x14ac:dyDescent="0.25">
      <c r="C633" s="346"/>
    </row>
    <row r="634" spans="3:3" x14ac:dyDescent="0.25">
      <c r="C634" s="346"/>
    </row>
    <row r="635" spans="3:3" x14ac:dyDescent="0.25">
      <c r="C635" s="346"/>
    </row>
    <row r="636" spans="3:3" x14ac:dyDescent="0.25">
      <c r="C636" s="346"/>
    </row>
    <row r="637" spans="3:3" x14ac:dyDescent="0.25">
      <c r="C637" s="346"/>
    </row>
    <row r="638" spans="3:3" x14ac:dyDescent="0.25">
      <c r="C638" s="346"/>
    </row>
    <row r="639" spans="3:3" x14ac:dyDescent="0.25">
      <c r="C639" s="346"/>
    </row>
    <row r="640" spans="3:3" x14ac:dyDescent="0.25">
      <c r="C640" s="346"/>
    </row>
    <row r="641" spans="3:3" x14ac:dyDescent="0.25">
      <c r="C641" s="346"/>
    </row>
    <row r="642" spans="3:3" x14ac:dyDescent="0.25">
      <c r="C642" s="346"/>
    </row>
    <row r="643" spans="3:3" x14ac:dyDescent="0.25">
      <c r="C643" s="346"/>
    </row>
    <row r="644" spans="3:3" x14ac:dyDescent="0.25">
      <c r="C644" s="346"/>
    </row>
    <row r="645" spans="3:3" x14ac:dyDescent="0.25">
      <c r="C645" s="346"/>
    </row>
    <row r="646" spans="3:3" x14ac:dyDescent="0.25">
      <c r="C646" s="346"/>
    </row>
    <row r="647" spans="3:3" x14ac:dyDescent="0.25">
      <c r="C647" s="346"/>
    </row>
    <row r="648" spans="3:3" x14ac:dyDescent="0.25">
      <c r="C648" s="346"/>
    </row>
    <row r="649" spans="3:3" x14ac:dyDescent="0.25">
      <c r="C649" s="346"/>
    </row>
    <row r="650" spans="3:3" x14ac:dyDescent="0.25">
      <c r="C650" s="346"/>
    </row>
    <row r="651" spans="3:3" x14ac:dyDescent="0.25">
      <c r="C651" s="346"/>
    </row>
    <row r="652" spans="3:3" x14ac:dyDescent="0.25">
      <c r="C652" s="346"/>
    </row>
    <row r="653" spans="3:3" x14ac:dyDescent="0.25">
      <c r="C653" s="346"/>
    </row>
    <row r="654" spans="3:3" x14ac:dyDescent="0.25">
      <c r="C654" s="346"/>
    </row>
    <row r="655" spans="3:3" x14ac:dyDescent="0.25">
      <c r="C655" s="346"/>
    </row>
    <row r="656" spans="3:3" x14ac:dyDescent="0.25">
      <c r="C656" s="346"/>
    </row>
    <row r="657" spans="3:3" x14ac:dyDescent="0.25">
      <c r="C657" s="346"/>
    </row>
    <row r="658" spans="3:3" x14ac:dyDescent="0.25">
      <c r="C658" s="346"/>
    </row>
    <row r="659" spans="3:3" x14ac:dyDescent="0.25">
      <c r="C659" s="346"/>
    </row>
    <row r="660" spans="3:3" x14ac:dyDescent="0.25">
      <c r="C660" s="346"/>
    </row>
    <row r="661" spans="3:3" x14ac:dyDescent="0.25">
      <c r="C661" s="346"/>
    </row>
    <row r="662" spans="3:3" x14ac:dyDescent="0.25">
      <c r="C662" s="346"/>
    </row>
    <row r="663" spans="3:3" x14ac:dyDescent="0.25">
      <c r="C663" s="346"/>
    </row>
    <row r="664" spans="3:3" x14ac:dyDescent="0.25">
      <c r="C664" s="346"/>
    </row>
    <row r="665" spans="3:3" x14ac:dyDescent="0.25">
      <c r="C665" s="346"/>
    </row>
    <row r="666" spans="3:3" x14ac:dyDescent="0.25">
      <c r="C666" s="346"/>
    </row>
    <row r="667" spans="3:3" x14ac:dyDescent="0.25">
      <c r="C667" s="346"/>
    </row>
    <row r="668" spans="3:3" x14ac:dyDescent="0.25">
      <c r="C668" s="346"/>
    </row>
    <row r="669" spans="3:3" x14ac:dyDescent="0.25">
      <c r="C669" s="346"/>
    </row>
    <row r="670" spans="3:3" x14ac:dyDescent="0.25">
      <c r="C670" s="346"/>
    </row>
    <row r="671" spans="3:3" x14ac:dyDescent="0.25">
      <c r="C671" s="346"/>
    </row>
    <row r="672" spans="3:3" x14ac:dyDescent="0.25">
      <c r="C672" s="346"/>
    </row>
    <row r="673" spans="3:3" x14ac:dyDescent="0.25">
      <c r="C673" s="346"/>
    </row>
    <row r="674" spans="3:3" x14ac:dyDescent="0.25">
      <c r="C674" s="346"/>
    </row>
    <row r="675" spans="3:3" x14ac:dyDescent="0.25">
      <c r="C675" s="346"/>
    </row>
    <row r="676" spans="3:3" x14ac:dyDescent="0.25">
      <c r="C676" s="346"/>
    </row>
    <row r="677" spans="3:3" x14ac:dyDescent="0.25">
      <c r="C677" s="346"/>
    </row>
    <row r="678" spans="3:3" x14ac:dyDescent="0.25">
      <c r="C678" s="346"/>
    </row>
    <row r="679" spans="3:3" x14ac:dyDescent="0.25">
      <c r="C679" s="346"/>
    </row>
    <row r="680" spans="3:3" x14ac:dyDescent="0.25">
      <c r="C680" s="346"/>
    </row>
    <row r="681" spans="3:3" x14ac:dyDescent="0.25">
      <c r="C681" s="346"/>
    </row>
    <row r="682" spans="3:3" x14ac:dyDescent="0.25">
      <c r="C682" s="346"/>
    </row>
    <row r="683" spans="3:3" x14ac:dyDescent="0.25">
      <c r="C683" s="346"/>
    </row>
    <row r="684" spans="3:3" x14ac:dyDescent="0.25">
      <c r="C684" s="346"/>
    </row>
    <row r="685" spans="3:3" x14ac:dyDescent="0.25">
      <c r="C685" s="346"/>
    </row>
    <row r="686" spans="3:3" x14ac:dyDescent="0.25">
      <c r="C686" s="346"/>
    </row>
    <row r="687" spans="3:3" x14ac:dyDescent="0.25">
      <c r="C687" s="346"/>
    </row>
    <row r="688" spans="3:3" x14ac:dyDescent="0.25">
      <c r="C688" s="346"/>
    </row>
    <row r="689" spans="3:3" x14ac:dyDescent="0.25">
      <c r="C689" s="346"/>
    </row>
    <row r="690" spans="3:3" x14ac:dyDescent="0.25">
      <c r="C690" s="346"/>
    </row>
    <row r="691" spans="3:3" x14ac:dyDescent="0.25">
      <c r="C691" s="346"/>
    </row>
    <row r="692" spans="3:3" x14ac:dyDescent="0.25">
      <c r="C692" s="346"/>
    </row>
    <row r="693" spans="3:3" x14ac:dyDescent="0.25">
      <c r="C693" s="346"/>
    </row>
    <row r="694" spans="3:3" x14ac:dyDescent="0.25">
      <c r="C694" s="346"/>
    </row>
    <row r="695" spans="3:3" x14ac:dyDescent="0.25">
      <c r="C695" s="346"/>
    </row>
    <row r="696" spans="3:3" x14ac:dyDescent="0.25">
      <c r="C696" s="346"/>
    </row>
    <row r="697" spans="3:3" x14ac:dyDescent="0.25">
      <c r="C697" s="346"/>
    </row>
    <row r="698" spans="3:3" x14ac:dyDescent="0.25">
      <c r="C698" s="346"/>
    </row>
    <row r="699" spans="3:3" x14ac:dyDescent="0.25">
      <c r="C699" s="346"/>
    </row>
    <row r="700" spans="3:3" x14ac:dyDescent="0.25">
      <c r="C700" s="346"/>
    </row>
    <row r="701" spans="3:3" x14ac:dyDescent="0.25">
      <c r="C701" s="346"/>
    </row>
    <row r="702" spans="3:3" x14ac:dyDescent="0.25">
      <c r="C702" s="346"/>
    </row>
    <row r="703" spans="3:3" x14ac:dyDescent="0.25">
      <c r="C703" s="346"/>
    </row>
    <row r="704" spans="3:3" x14ac:dyDescent="0.25">
      <c r="C704" s="346"/>
    </row>
    <row r="705" spans="3:3" x14ac:dyDescent="0.25">
      <c r="C705" s="346"/>
    </row>
    <row r="706" spans="3:3" x14ac:dyDescent="0.25">
      <c r="C706" s="346"/>
    </row>
    <row r="707" spans="3:3" x14ac:dyDescent="0.25">
      <c r="C707" s="346"/>
    </row>
    <row r="708" spans="3:3" x14ac:dyDescent="0.25">
      <c r="C708" s="346"/>
    </row>
    <row r="709" spans="3:3" x14ac:dyDescent="0.25">
      <c r="C709" s="346"/>
    </row>
    <row r="710" spans="3:3" x14ac:dyDescent="0.25">
      <c r="C710" s="346"/>
    </row>
    <row r="711" spans="3:3" x14ac:dyDescent="0.25">
      <c r="C711" s="346"/>
    </row>
    <row r="712" spans="3:3" x14ac:dyDescent="0.25">
      <c r="C712" s="346"/>
    </row>
    <row r="713" spans="3:3" x14ac:dyDescent="0.25">
      <c r="C713" s="346"/>
    </row>
    <row r="714" spans="3:3" x14ac:dyDescent="0.25">
      <c r="C714" s="346"/>
    </row>
    <row r="715" spans="3:3" x14ac:dyDescent="0.25">
      <c r="C715" s="346"/>
    </row>
    <row r="716" spans="3:3" x14ac:dyDescent="0.25">
      <c r="C716" s="346"/>
    </row>
    <row r="717" spans="3:3" x14ac:dyDescent="0.25">
      <c r="C717" s="346"/>
    </row>
    <row r="718" spans="3:3" x14ac:dyDescent="0.25">
      <c r="C718" s="346"/>
    </row>
    <row r="719" spans="3:3" x14ac:dyDescent="0.25">
      <c r="C719" s="346"/>
    </row>
    <row r="720" spans="3:3" x14ac:dyDescent="0.25">
      <c r="C720" s="346"/>
    </row>
    <row r="721" spans="3:3" x14ac:dyDescent="0.25">
      <c r="C721" s="346"/>
    </row>
    <row r="722" spans="3:3" x14ac:dyDescent="0.25">
      <c r="C722" s="346"/>
    </row>
    <row r="723" spans="3:3" x14ac:dyDescent="0.25">
      <c r="C723" s="346"/>
    </row>
    <row r="724" spans="3:3" x14ac:dyDescent="0.25">
      <c r="C724" s="346"/>
    </row>
    <row r="725" spans="3:3" x14ac:dyDescent="0.25">
      <c r="C725" s="346"/>
    </row>
    <row r="726" spans="3:3" x14ac:dyDescent="0.25">
      <c r="C726" s="346"/>
    </row>
    <row r="727" spans="3:3" x14ac:dyDescent="0.25">
      <c r="C727" s="346"/>
    </row>
    <row r="728" spans="3:3" x14ac:dyDescent="0.25">
      <c r="C728" s="346"/>
    </row>
    <row r="729" spans="3:3" x14ac:dyDescent="0.25">
      <c r="C729" s="346"/>
    </row>
    <row r="730" spans="3:3" x14ac:dyDescent="0.25">
      <c r="C730" s="346"/>
    </row>
    <row r="731" spans="3:3" x14ac:dyDescent="0.25">
      <c r="C731" s="346"/>
    </row>
    <row r="732" spans="3:3" x14ac:dyDescent="0.25">
      <c r="C732" s="346"/>
    </row>
    <row r="733" spans="3:3" x14ac:dyDescent="0.25">
      <c r="C733" s="346"/>
    </row>
    <row r="734" spans="3:3" x14ac:dyDescent="0.25">
      <c r="C734" s="346"/>
    </row>
    <row r="735" spans="3:3" x14ac:dyDescent="0.25">
      <c r="C735" s="346"/>
    </row>
    <row r="736" spans="3:3" x14ac:dyDescent="0.25">
      <c r="C736" s="346"/>
    </row>
    <row r="737" spans="3:3" x14ac:dyDescent="0.25">
      <c r="C737" s="346"/>
    </row>
    <row r="738" spans="3:3" x14ac:dyDescent="0.25">
      <c r="C738" s="346"/>
    </row>
  </sheetData>
  <mergeCells count="1">
    <mergeCell ref="A8:B8"/>
  </mergeCells>
  <pageMargins left="0.74791666666666667" right="0.74791666666666667" top="0.98402777777777783" bottom="0.98402777777777783" header="0.51180555555555562" footer="0.51180555555555562"/>
  <pageSetup paperSize="8" firstPageNumber="0"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36</vt:i4>
      </vt:variant>
      <vt:variant>
        <vt:lpstr>Intervalli denominati</vt:lpstr>
      </vt:variant>
      <vt:variant>
        <vt:i4>5</vt:i4>
      </vt:variant>
    </vt:vector>
  </HeadingPairs>
  <TitlesOfParts>
    <vt:vector size="41" baseType="lpstr">
      <vt:lpstr>INDICE</vt:lpstr>
      <vt:lpstr>SCADENZE complessive</vt:lpstr>
      <vt:lpstr>Schede sicurezza prodotti</vt:lpstr>
      <vt:lpstr>elenco accumulatori</vt:lpstr>
      <vt:lpstr>Kit in USO</vt:lpstr>
      <vt:lpstr>Registro Legislativo</vt:lpstr>
      <vt:lpstr>nostre autorizzazioni</vt:lpstr>
      <vt:lpstr>Prescrizioni AIA</vt:lpstr>
      <vt:lpstr>5.1 Gestione Impianto</vt:lpstr>
      <vt:lpstr>5.2 Emissioni in atmosfera</vt:lpstr>
      <vt:lpstr>5.3 Scarichi idrici</vt:lpstr>
      <vt:lpstr>5.5 Energia</vt:lpstr>
      <vt:lpstr>5.4 Rifiuti prodotti</vt:lpstr>
      <vt:lpstr>5.6 Agenti Fisici</vt:lpstr>
      <vt:lpstr>5.7 Suolo e sottosuolo</vt:lpstr>
      <vt:lpstr>PMC</vt:lpstr>
      <vt:lpstr>autorizzazioni trasp-smalt rifi</vt:lpstr>
      <vt:lpstr>RIFIUTI- COMUNIC_SCELTA GESTORE</vt:lpstr>
      <vt:lpstr>movim_carico e scarico_2025</vt:lpstr>
      <vt:lpstr>prod e dest rifiuti</vt:lpstr>
      <vt:lpstr>ADR_movimenti 2025</vt:lpstr>
      <vt:lpstr>gestione fanghi fosse settiche</vt:lpstr>
      <vt:lpstr>Analisi rifiuti</vt:lpstr>
      <vt:lpstr>Prevenzione Incendi</vt:lpstr>
      <vt:lpstr>Prevenz. emergenze ambientali</vt:lpstr>
      <vt:lpstr>EPRTR</vt:lpstr>
      <vt:lpstr>Condizionatori</vt:lpstr>
      <vt:lpstr>controlli acque meteoriche</vt:lpstr>
      <vt:lpstr>Dati AIA</vt:lpstr>
      <vt:lpstr>check list adempimenti AIA 2021</vt:lpstr>
      <vt:lpstr>check list adempimenti AIA 2022</vt:lpstr>
      <vt:lpstr>check list adempimenti AIA 2023</vt:lpstr>
      <vt:lpstr>Impianti riscaldamento</vt:lpstr>
      <vt:lpstr>Impianti condizionamento</vt:lpstr>
      <vt:lpstr>FORMAZIONE</vt:lpstr>
      <vt:lpstr>INDICATORI DI PRESTAZIONE</vt:lpstr>
      <vt:lpstr>'elenco accumulatori'!Area_stampa</vt:lpstr>
      <vt:lpstr>'Impianti condizionamento'!Area_stampa</vt:lpstr>
      <vt:lpstr>'INDICATORI DI PRESTAZIONE'!Area_stampa</vt:lpstr>
      <vt:lpstr>'Kit in USO'!Area_stampa</vt:lpstr>
      <vt:lpstr>'prod e dest rifiuti'!Area_stampa</vt:lpstr>
    </vt:vector>
  </TitlesOfParts>
  <Company>Golder Associates Geoanalysis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Tania Birkemeyer</dc:creator>
  <cp:lastModifiedBy>Mauro Pasetto</cp:lastModifiedBy>
  <cp:lastPrinted>2026-02-13T09:29:16Z</cp:lastPrinted>
  <dcterms:created xsi:type="dcterms:W3CDTF">1999-11-08T08:27:59Z</dcterms:created>
  <dcterms:modified xsi:type="dcterms:W3CDTF">2026-02-20T16:52:21Z</dcterms:modified>
</cp:coreProperties>
</file>