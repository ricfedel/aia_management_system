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setto.GMI\Desktop\ANNO DI RIFERIMENTO 2024\"/>
    </mc:Choice>
  </mc:AlternateContent>
  <xr:revisionPtr revIDLastSave="0" documentId="13_ncr:1_{48299809-3FDE-4D66-940F-2BFA48B9A157}" xr6:coauthVersionLast="47" xr6:coauthVersionMax="47" xr10:uidLastSave="{00000000-0000-0000-0000-000000000000}"/>
  <bookViews>
    <workbookView xWindow="-108" yWindow="-108" windowWidth="23256" windowHeight="12456" tabRatio="930" xr2:uid="{68BCAD3C-E47E-40F7-A506-65D5FC604891}"/>
  </bookViews>
  <sheets>
    <sheet name="1. Materie prime e prodotti" sheetId="1" r:id="rId1"/>
    <sheet name="2. Sistema idrico" sheetId="2" r:id="rId2"/>
    <sheet name="3. Scarichi idrici" sheetId="4" r:id="rId3"/>
    <sheet name="4. Sistema energetico" sheetId="11" r:id="rId4"/>
    <sheet name="5. Rifiuti prodotti" sheetId="6" r:id="rId5"/>
    <sheet name="6. Emissioni Atmosfera" sheetId="18" r:id="rId6"/>
    <sheet name="7. Emissioni sonore" sheetId="8" r:id="rId7"/>
    <sheet name="9. Monit. Ind. di Performances" sheetId="10" r:id="rId8"/>
    <sheet name="PZ1_Acque sotterranee" sheetId="13" r:id="rId9"/>
    <sheet name="PZ2_Acque sotterranee" sheetId="15" r:id="rId10"/>
    <sheet name="PZ3_Acque sotterranee" sheetId="16" r:id="rId11"/>
    <sheet name="PZ4_Acque sotterranee" sheetId="17" r:id="rId12"/>
    <sheet name="Foglio2" sheetId="19" r:id="rId13"/>
    <sheet name="Foglio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0" l="1"/>
  <c r="I7" i="10"/>
  <c r="Q10" i="1" l="1"/>
  <c r="S6" i="2"/>
  <c r="Q11" i="1"/>
  <c r="Q9" i="1"/>
  <c r="E24" i="6"/>
  <c r="E22" i="6"/>
  <c r="E20" i="6"/>
  <c r="D23" i="6"/>
  <c r="E23" i="6" s="1"/>
  <c r="D21" i="6"/>
  <c r="E21" i="6" s="1"/>
  <c r="D19" i="6"/>
  <c r="E19" i="6" s="1"/>
  <c r="Q8" i="1"/>
  <c r="S4" i="2"/>
  <c r="S5" i="2"/>
  <c r="J17" i="11"/>
  <c r="G17" i="11"/>
  <c r="E17" i="11"/>
  <c r="C17" i="11"/>
  <c r="I16" i="11"/>
  <c r="I15" i="11"/>
  <c r="D15" i="11" s="1"/>
  <c r="H15" i="11"/>
  <c r="F15" i="11"/>
  <c r="I14" i="11"/>
  <c r="D14" i="11" s="1"/>
  <c r="I13" i="11"/>
  <c r="F13" i="11" s="1"/>
  <c r="I12" i="11"/>
  <c r="D12" i="11"/>
  <c r="I11" i="11"/>
  <c r="F11" i="11" s="1"/>
  <c r="I10" i="11"/>
  <c r="H10" i="11" s="1"/>
  <c r="F10" i="11"/>
  <c r="I9" i="11"/>
  <c r="D9" i="11" s="1"/>
  <c r="I8" i="11"/>
  <c r="F8" i="11" s="1"/>
  <c r="I7" i="11"/>
  <c r="D7" i="11" s="1"/>
  <c r="H7" i="11"/>
  <c r="F7" i="11"/>
  <c r="I6" i="11"/>
  <c r="I5" i="11"/>
  <c r="H5" i="11" s="1"/>
  <c r="D10" i="11" l="1"/>
  <c r="H9" i="11"/>
  <c r="F12" i="11"/>
  <c r="H12" i="11"/>
  <c r="F5" i="11"/>
  <c r="H14" i="11"/>
  <c r="I17" i="11"/>
  <c r="F17" i="11" s="1"/>
  <c r="H11" i="11"/>
  <c r="D8" i="11"/>
  <c r="D13" i="11"/>
  <c r="D5" i="11"/>
  <c r="H8" i="11"/>
  <c r="F9" i="11"/>
  <c r="H13" i="11"/>
  <c r="F14" i="11"/>
  <c r="D6" i="11"/>
  <c r="D16" i="11"/>
  <c r="F6" i="11"/>
  <c r="D11" i="11"/>
  <c r="F16" i="11"/>
  <c r="H6" i="11"/>
  <c r="H16" i="11"/>
  <c r="D17" i="11" l="1"/>
  <c r="H17" i="11"/>
  <c r="Q12" i="1" l="1"/>
  <c r="Q13" i="1"/>
  <c r="Q14" i="1"/>
  <c r="G23" i="6" l="1"/>
  <c r="G22" i="6"/>
  <c r="G21" i="6"/>
  <c r="G20" i="6"/>
  <c r="G24" i="6"/>
  <c r="G19" i="6"/>
</calcChain>
</file>

<file path=xl/sharedStrings.xml><?xml version="1.0" encoding="utf-8"?>
<sst xmlns="http://schemas.openxmlformats.org/spreadsheetml/2006/main" count="3242" uniqueCount="810">
  <si>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</si>
  <si>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</si>
  <si>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</si>
  <si>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</si>
  <si>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</si>
  <si>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</si>
  <si>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</si>
  <si>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</si>
  <si>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</si>
  <si>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</si>
  <si>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</si>
  <si>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</si>
  <si>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ANNO</t>
  </si>
  <si>
    <t>(t)</t>
  </si>
  <si>
    <t>Materie prime</t>
  </si>
  <si>
    <t>Addittivi e ausiliari di processo</t>
  </si>
  <si>
    <t>Prodotto finito</t>
  </si>
  <si>
    <t>Semola di grano duro</t>
  </si>
  <si>
    <t>Farina di frano tenero</t>
  </si>
  <si>
    <t>Coprodotti</t>
  </si>
  <si>
    <t>(Kg)</t>
  </si>
  <si>
    <t>Consumi idrici</t>
  </si>
  <si>
    <r>
      <rPr>
        <b/>
        <sz val="7"/>
        <rFont val="Arial"/>
        <family val="2"/>
      </rPr>
      <t>N° Ordine</t>
    </r>
  </si>
  <si>
    <r>
      <rPr>
        <b/>
        <sz val="7"/>
        <rFont val="Arial"/>
        <family val="2"/>
      </rPr>
      <t>N° Campione</t>
    </r>
  </si>
  <si>
    <r>
      <rPr>
        <b/>
        <sz val="7"/>
        <rFont val="Arial"/>
        <family val="2"/>
      </rPr>
      <t>Data prelievo campione</t>
    </r>
  </si>
  <si>
    <r>
      <rPr>
        <b/>
        <sz val="7"/>
        <rFont val="Arial"/>
        <family val="2"/>
      </rPr>
      <t>Parametro</t>
    </r>
  </si>
  <si>
    <r>
      <rPr>
        <b/>
        <sz val="7"/>
        <rFont val="Arial"/>
        <family val="2"/>
      </rPr>
      <t>U.M.</t>
    </r>
  </si>
  <si>
    <r>
      <rPr>
        <b/>
        <sz val="7"/>
        <rFont val="Arial"/>
        <family val="2"/>
      </rPr>
      <t>Metodo</t>
    </r>
  </si>
  <si>
    <r>
      <rPr>
        <sz val="7"/>
        <rFont val="Arial MT"/>
        <family val="2"/>
      </rPr>
      <t>pH (in campo)</t>
    </r>
  </si>
  <si>
    <r>
      <rPr>
        <sz val="7"/>
        <rFont val="Arial MT"/>
        <family val="2"/>
      </rPr>
      <t>upH</t>
    </r>
  </si>
  <si>
    <r>
      <rPr>
        <sz val="7"/>
        <rFont val="Arial MT"/>
        <family val="2"/>
      </rPr>
      <t>APAT CNR IRSA 2060 Man 29 2003</t>
    </r>
  </si>
  <si>
    <r>
      <rPr>
        <sz val="7"/>
        <rFont val="Arial MT"/>
        <family val="2"/>
      </rPr>
      <t>Materiali sedimentabili</t>
    </r>
  </si>
  <si>
    <r>
      <rPr>
        <sz val="7"/>
        <rFont val="Arial MT"/>
        <family val="2"/>
      </rPr>
      <t>ml/l</t>
    </r>
  </si>
  <si>
    <r>
      <rPr>
        <sz val="7"/>
        <rFont val="Arial MT"/>
        <family val="2"/>
      </rPr>
      <t>APAT CNR IRSA 2090 C Man 29 2003</t>
    </r>
  </si>
  <si>
    <r>
      <rPr>
        <sz val="7"/>
        <rFont val="Arial MT"/>
        <family val="2"/>
      </rPr>
      <t>Solidi sospesi totali</t>
    </r>
  </si>
  <si>
    <r>
      <rPr>
        <sz val="7"/>
        <rFont val="Arial MT"/>
        <family val="2"/>
      </rPr>
      <t>mg/l</t>
    </r>
  </si>
  <si>
    <r>
      <rPr>
        <sz val="7"/>
        <rFont val="Arial MT"/>
        <family val="2"/>
      </rPr>
      <t>APAT CNR IRSA 2090 B Man 29 2003</t>
    </r>
  </si>
  <si>
    <r>
      <rPr>
        <sz val="7"/>
        <rFont val="Arial MT"/>
        <family val="2"/>
      </rPr>
      <t>BOD5</t>
    </r>
  </si>
  <si>
    <r>
      <rPr>
        <sz val="7"/>
        <rFont val="Arial MT"/>
        <family val="2"/>
      </rPr>
      <t>UNI EN ISO 5815-1:2019 + ISO 17289:2014</t>
    </r>
  </si>
  <si>
    <r>
      <rPr>
        <sz val="7"/>
        <rFont val="Arial MT"/>
        <family val="2"/>
      </rPr>
      <t>ISO 15705:2002</t>
    </r>
  </si>
  <si>
    <r>
      <rPr>
        <sz val="7"/>
        <rFont val="Arial MT"/>
        <family val="2"/>
      </rPr>
      <t>Cloruri</t>
    </r>
  </si>
  <si>
    <r>
      <rPr>
        <sz val="7"/>
        <rFont val="Arial MT"/>
        <family val="2"/>
      </rPr>
      <t>APAT CNR IRSA 4020 Man 29 2003</t>
    </r>
  </si>
  <si>
    <r>
      <rPr>
        <sz val="7"/>
        <rFont val="Arial MT"/>
        <family val="2"/>
      </rPr>
      <t>Fosforo totale (come P)</t>
    </r>
  </si>
  <si>
    <r>
      <rPr>
        <sz val="7"/>
        <rFont val="Arial MT"/>
        <family val="2"/>
      </rPr>
      <t>EPA 200.7 1994</t>
    </r>
  </si>
  <si>
    <r>
      <rPr>
        <sz val="7"/>
        <rFont val="Arial MT"/>
        <family val="2"/>
      </rPr>
      <t>UNI 11669:2017</t>
    </r>
  </si>
  <si>
    <r>
      <rPr>
        <sz val="7"/>
        <rFont val="Arial MT"/>
        <family val="2"/>
      </rPr>
      <t>Azoto nitroso (come N)</t>
    </r>
  </si>
  <si>
    <t>Conta E.coli</t>
  </si>
  <si>
    <t>ufc/100ml</t>
  </si>
  <si>
    <t>APAT CNR IRSA 7030 D MAN 29/2003</t>
  </si>
  <si>
    <t>Tensioattivi non ionici etossilati</t>
  </si>
  <si>
    <t>mg/l</t>
  </si>
  <si>
    <t>APAT CNR IRSA 5180 MAN 29/2003</t>
  </si>
  <si>
    <t>&lt;0,0500</t>
  </si>
  <si>
    <t>&lt;0,05</t>
  </si>
  <si>
    <t>Tensioattivi anionici</t>
  </si>
  <si>
    <t>APAT CNR IRSA 5170 MAN 29/2003</t>
  </si>
  <si>
    <t>Tensioattivi cationici</t>
  </si>
  <si>
    <t>MP-02258-IT2020 REV02</t>
  </si>
  <si>
    <t>&lt;0,2</t>
  </si>
  <si>
    <t>&lt;0,200</t>
  </si>
  <si>
    <t>Sommatoria tensioattivi</t>
  </si>
  <si>
    <t>APAT CNR IRSA 5170+ 5180 MAN 29/2003</t>
  </si>
  <si>
    <t>&lt;0,150</t>
  </si>
  <si>
    <r>
      <rPr>
        <sz val="7"/>
        <rFont val="Arial MT"/>
        <family val="2"/>
      </rPr>
      <t>Azoto nitrico (come N)</t>
    </r>
  </si>
  <si>
    <r>
      <rPr>
        <sz val="7"/>
        <rFont val="Arial"/>
        <family val="2"/>
      </rPr>
      <t>Scarico</t>
    </r>
    <r>
      <rPr>
        <b/>
        <sz val="7"/>
        <rFont val="Arial"/>
        <family val="2"/>
      </rPr>
      <t xml:space="preserve"> S1</t>
    </r>
  </si>
  <si>
    <t>Reflui domestici dalla palazzina uffici e dall'area spogliatoi/infermeria</t>
  </si>
  <si>
    <t>Frequenza</t>
  </si>
  <si>
    <t>Annuale</t>
  </si>
  <si>
    <r>
      <rPr>
        <sz val="7"/>
        <rFont val="Arial MT"/>
        <family val="2"/>
      </rPr>
      <t>COD - Richiesta chimica di ossige</t>
    </r>
    <r>
      <rPr>
        <sz val="7"/>
        <rFont val="Arial MT"/>
      </rPr>
      <t>no</t>
    </r>
  </si>
  <si>
    <r>
      <rPr>
        <sz val="7"/>
        <rFont val="Arial MT"/>
        <family val="2"/>
      </rPr>
      <t>Azoto ammoniacale (come</t>
    </r>
    <r>
      <rPr>
        <sz val="7"/>
        <rFont val="Arial MT"/>
      </rPr>
      <t xml:space="preserve"> NH</t>
    </r>
    <r>
      <rPr>
        <vertAlign val="subscript"/>
        <sz val="7"/>
        <rFont val="Arial MT"/>
      </rPr>
      <t>4</t>
    </r>
    <r>
      <rPr>
        <sz val="7"/>
        <rFont val="Arial MT"/>
      </rPr>
      <t>)</t>
    </r>
  </si>
  <si>
    <t>Mensile (dal 1° Aprile al 30 settembre</t>
  </si>
  <si>
    <r>
      <rPr>
        <sz val="7"/>
        <rFont val="Arial"/>
        <family val="2"/>
      </rPr>
      <t>Scarico</t>
    </r>
    <r>
      <rPr>
        <b/>
        <sz val="7"/>
        <rFont val="Arial"/>
        <family val="2"/>
      </rPr>
      <t xml:space="preserve"> S2</t>
    </r>
  </si>
  <si>
    <t>Scarico Reflui domestici locali laboratorio e servizi igienici della zona di insacco</t>
  </si>
  <si>
    <t>Valori limite da D.lgs 152/06</t>
  </si>
  <si>
    <t>/</t>
  </si>
  <si>
    <t>5,5 - 9.5</t>
  </si>
  <si>
    <t>Risultato</t>
  </si>
  <si>
    <t>Incertezza</t>
  </si>
  <si>
    <t>12.09.2024</t>
  </si>
  <si>
    <t>+/- 0,16</t>
  </si>
  <si>
    <t>+/- 37</t>
  </si>
  <si>
    <t>+/- 0,62</t>
  </si>
  <si>
    <t>+/- 3,7</t>
  </si>
  <si>
    <t>+/- 11</t>
  </si>
  <si>
    <t>+/- 8,2</t>
  </si>
  <si>
    <t>+/- 0,22</t>
  </si>
  <si>
    <t>+/- 1,7</t>
  </si>
  <si>
    <t>+/- 0,29</t>
  </si>
  <si>
    <t>+/- 0,20</t>
  </si>
  <si>
    <t>5.000 UFC/100 ml              (consigliato)</t>
  </si>
  <si>
    <t>+/- 8,8</t>
  </si>
  <si>
    <t>+/- 0,13</t>
  </si>
  <si>
    <t>+/- 1,8</t>
  </si>
  <si>
    <t>+/- 9,2</t>
  </si>
  <si>
    <t>+/- 6,3</t>
  </si>
  <si>
    <t>+/- 0,14</t>
  </si>
  <si>
    <t>+/- 0,048</t>
  </si>
  <si>
    <t>+/- 0,022</t>
  </si>
  <si>
    <t>+/- 0,040</t>
  </si>
  <si>
    <t>ANNO 2024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</si>
  <si>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</si>
  <si>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</si>
  <si>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</si>
  <si>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</si>
  <si>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</si>
  <si>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</si>
  <si>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</si>
  <si>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</si>
  <si>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</si>
  <si>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</si>
  <si>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</si>
  <si>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</si>
  <si>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LIVORNO</t>
  </si>
  <si>
    <t>FOTOVOLTAICO</t>
  </si>
  <si>
    <t>Mese</t>
  </si>
  <si>
    <t>kWh F1</t>
  </si>
  <si>
    <t>%F1</t>
  </si>
  <si>
    <t>kWh F2</t>
  </si>
  <si>
    <t>%F2</t>
  </si>
  <si>
    <t>kWh F3</t>
  </si>
  <si>
    <t>%F3</t>
  </si>
  <si>
    <t>Totale kWh</t>
  </si>
  <si>
    <t>kWh prodotti</t>
  </si>
  <si>
    <t>Complessivo</t>
  </si>
  <si>
    <r>
      <t>(m</t>
    </r>
    <r>
      <rPr>
        <vertAlign val="super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)</t>
    </r>
  </si>
  <si>
    <t>&lt;35</t>
  </si>
  <si>
    <r>
      <rPr>
        <sz val="4"/>
        <rFont val="Calibri"/>
        <family val="1"/>
      </rPr>
      <t>µg/l</t>
    </r>
  </si>
  <si>
    <r>
      <rPr>
        <sz val="4"/>
        <rFont val="Calibri"/>
        <family val="1"/>
      </rPr>
      <t>EPA 5021A 2014 + EPA 8015 2007 + ISO  9377-2:2002</t>
    </r>
  </si>
  <si>
    <r>
      <rPr>
        <sz val="4"/>
        <rFont val="Calibri"/>
        <family val="1"/>
      </rPr>
      <t>Idrocarburi totali (espressi come n-esano) Calcolo</t>
    </r>
  </si>
  <si>
    <t>&lt;0,005</t>
  </si>
  <si>
    <r>
      <rPr>
        <sz val="4"/>
        <rFont val="Calibri"/>
        <family val="1"/>
      </rPr>
      <t>EPA 3535A 2007 + EPA 8270E 2018</t>
    </r>
  </si>
  <si>
    <r>
      <rPr>
        <sz val="4"/>
        <rFont val="Calibri"/>
        <family val="1"/>
      </rPr>
      <t>Pentaclorofenolo</t>
    </r>
  </si>
  <si>
    <t>&lt;0,1</t>
  </si>
  <si>
    <r>
      <rPr>
        <sz val="4"/>
        <rFont val="Calibri"/>
        <family val="1"/>
      </rPr>
      <t>2,4,6 - Triclorofenolo</t>
    </r>
  </si>
  <si>
    <r>
      <rPr>
        <sz val="4"/>
        <rFont val="Calibri"/>
        <family val="1"/>
      </rPr>
      <t>2,4 - Diclorofenolo</t>
    </r>
  </si>
  <si>
    <r>
      <rPr>
        <sz val="4"/>
        <rFont val="Calibri"/>
        <family val="1"/>
      </rPr>
      <t>2 - Clorofenolo</t>
    </r>
  </si>
  <si>
    <t>&lt;0,017</t>
  </si>
  <si>
    <t>&lt;0,01</t>
  </si>
  <si>
    <r>
      <rPr>
        <sz val="4"/>
        <rFont val="Calibri"/>
        <family val="1"/>
      </rPr>
      <t>EPA 5030C 2003 + EPA 8260D 2018</t>
    </r>
  </si>
  <si>
    <r>
      <rPr>
        <sz val="4"/>
        <rFont val="Calibri"/>
        <family val="1"/>
      </rPr>
      <t>Bromodiclorometano</t>
    </r>
  </si>
  <si>
    <t>&lt;0,013</t>
  </si>
  <si>
    <r>
      <rPr>
        <sz val="4"/>
        <rFont val="Calibri"/>
        <family val="1"/>
      </rPr>
      <t>Dibromoclorometano</t>
    </r>
  </si>
  <si>
    <t>&lt;0,001</t>
  </si>
  <si>
    <t>&lt;0,0005</t>
  </si>
  <si>
    <r>
      <rPr>
        <sz val="4"/>
        <rFont val="Calibri"/>
        <family val="1"/>
      </rPr>
      <t>1,2 - Dibromoetano</t>
    </r>
  </si>
  <si>
    <r>
      <rPr>
        <sz val="4"/>
        <rFont val="Calibri"/>
        <family val="1"/>
      </rPr>
      <t>Tribromometano (bromoformio)</t>
    </r>
  </si>
  <si>
    <r>
      <rPr>
        <sz val="4"/>
        <rFont val="Calibri"/>
        <family val="1"/>
      </rPr>
      <t>1,1,2,2 - Tetracloroetano</t>
    </r>
  </si>
  <si>
    <r>
      <rPr>
        <sz val="4"/>
        <rFont val="Calibri"/>
        <family val="1"/>
      </rPr>
      <t>1,2,3-Tricloropropano</t>
    </r>
  </si>
  <si>
    <t>&lt;0,020</t>
  </si>
  <si>
    <r>
      <rPr>
        <sz val="4"/>
        <rFont val="Calibri"/>
        <family val="1"/>
      </rPr>
      <t>1,1,2-Tricloroetano</t>
    </r>
  </si>
  <si>
    <t>&lt;0,010</t>
  </si>
  <si>
    <r>
      <rPr>
        <sz val="4"/>
        <rFont val="Calibri"/>
        <family val="1"/>
      </rPr>
      <t>1,2 - Dicloropropano</t>
    </r>
  </si>
  <si>
    <r>
      <rPr>
        <sz val="4"/>
        <rFont val="Calibri"/>
        <family val="1"/>
      </rPr>
      <t>Trans - 1,2 - Dicloroetilene</t>
    </r>
  </si>
  <si>
    <t>&lt;0,03</t>
  </si>
  <si>
    <r>
      <rPr>
        <sz val="4"/>
        <rFont val="Calibri"/>
        <family val="1"/>
      </rPr>
      <t>Cis - 1,2 - Dicloroetilene</t>
    </r>
  </si>
  <si>
    <r>
      <rPr>
        <sz val="4"/>
        <rFont val="Calibri"/>
        <family val="1"/>
      </rPr>
      <t>1,2 - Dicloroetilene</t>
    </r>
  </si>
  <si>
    <t>&lt;0,04</t>
  </si>
  <si>
    <r>
      <rPr>
        <sz val="4"/>
        <rFont val="Calibri"/>
        <family val="1"/>
      </rPr>
      <t>1,1 - Dicloroetano</t>
    </r>
  </si>
  <si>
    <r>
      <rPr>
        <sz val="4"/>
        <rFont val="Calibri"/>
        <family val="1"/>
      </rPr>
      <t>Sommatoria Organoalogenati</t>
    </r>
  </si>
  <si>
    <r>
      <rPr>
        <sz val="4"/>
        <rFont val="Calibri"/>
        <family val="1"/>
      </rPr>
      <t>Esaclorobutadiene</t>
    </r>
  </si>
  <si>
    <r>
      <rPr>
        <sz val="4"/>
        <rFont val="Calibri"/>
        <family val="1"/>
      </rPr>
      <t>Tetracloroetilene  (PCE)</t>
    </r>
  </si>
  <si>
    <r>
      <rPr>
        <sz val="4"/>
        <rFont val="Calibri"/>
        <family val="1"/>
      </rPr>
      <t>Tricloroetilene</t>
    </r>
  </si>
  <si>
    <t>&lt;0,00500</t>
  </si>
  <si>
    <r>
      <rPr>
        <sz val="4"/>
        <rFont val="Calibri"/>
        <family val="1"/>
      </rPr>
      <t>1,1 - Dicloroetilene</t>
    </r>
  </si>
  <si>
    <r>
      <rPr>
        <sz val="4"/>
        <rFont val="Calibri"/>
        <family val="1"/>
      </rPr>
      <t>1,2 - Dicloroetano</t>
    </r>
  </si>
  <si>
    <r>
      <rPr>
        <sz val="4"/>
        <rFont val="Calibri"/>
        <family val="1"/>
      </rPr>
      <t>Cloruro di Vinile</t>
    </r>
  </si>
  <si>
    <t>&lt;0,0150</t>
  </si>
  <si>
    <r>
      <rPr>
        <sz val="4"/>
        <rFont val="Calibri"/>
        <family val="1"/>
      </rPr>
      <t>Triclorometano (Cloroformio)</t>
    </r>
  </si>
  <si>
    <t>&lt;0,040</t>
  </si>
  <si>
    <r>
      <rPr>
        <sz val="4"/>
        <rFont val="Calibri"/>
        <family val="1"/>
      </rPr>
      <t>Clorometano</t>
    </r>
  </si>
  <si>
    <t>&lt;0,00200</t>
  </si>
  <si>
    <r>
      <rPr>
        <sz val="4"/>
        <rFont val="Calibri"/>
        <family val="1"/>
      </rPr>
      <t>Sommatoria IPA 31,32,33,36 Tab.2 D.lgs 152/06 (Calcolo)</t>
    </r>
  </si>
  <si>
    <r>
      <rPr>
        <sz val="4"/>
        <rFont val="Calibri"/>
        <family val="1"/>
      </rPr>
      <t>Pirene</t>
    </r>
  </si>
  <si>
    <t>&lt;0,00100</t>
  </si>
  <si>
    <r>
      <rPr>
        <sz val="4"/>
        <rFont val="Calibri"/>
        <family val="1"/>
      </rPr>
      <t>Indeno (1,2,3 - c,d) pirene</t>
    </r>
  </si>
  <si>
    <r>
      <rPr>
        <sz val="4"/>
        <rFont val="Calibri"/>
        <family val="1"/>
      </rPr>
      <t>Dibenzo (a,h) antracene</t>
    </r>
  </si>
  <si>
    <r>
      <rPr>
        <sz val="4"/>
        <rFont val="Calibri"/>
        <family val="1"/>
      </rPr>
      <t>Crisene</t>
    </r>
  </si>
  <si>
    <r>
      <rPr>
        <sz val="4"/>
        <rFont val="Calibri"/>
        <family val="1"/>
      </rPr>
      <t>Benzo (g,h,i) perilene</t>
    </r>
  </si>
  <si>
    <r>
      <rPr>
        <sz val="4"/>
        <rFont val="Calibri"/>
        <family val="1"/>
      </rPr>
      <t>Benzo (k) fluorantene</t>
    </r>
  </si>
  <si>
    <r>
      <rPr>
        <sz val="4"/>
        <rFont val="Calibri"/>
        <family val="1"/>
      </rPr>
      <t>Benzo (b) fluorantene</t>
    </r>
  </si>
  <si>
    <r>
      <rPr>
        <sz val="4"/>
        <rFont val="Calibri"/>
        <family val="1"/>
      </rPr>
      <t>Benzo(a)pirene</t>
    </r>
  </si>
  <si>
    <r>
      <rPr>
        <sz val="4"/>
        <rFont val="Calibri"/>
        <family val="1"/>
      </rPr>
      <t>Benzo (a) antracene</t>
    </r>
  </si>
  <si>
    <r>
      <rPr>
        <sz val="4"/>
        <rFont val="Calibri"/>
        <family val="1"/>
      </rPr>
      <t>Benzene</t>
    </r>
  </si>
  <si>
    <r>
      <rPr>
        <sz val="4"/>
        <rFont val="Calibri"/>
        <family val="1"/>
      </rPr>
      <t>APAT CNR IRSA 4020 Man 29 2003</t>
    </r>
  </si>
  <si>
    <r>
      <rPr>
        <sz val="4"/>
        <rFont val="Calibri"/>
        <family val="1"/>
      </rPr>
      <t>Fluoruri</t>
    </r>
  </si>
  <si>
    <t>&lt;1</t>
  </si>
  <si>
    <t>&lt;5</t>
  </si>
  <si>
    <r>
      <rPr>
        <sz val="4"/>
        <rFont val="Calibri"/>
        <family val="1"/>
      </rPr>
      <t>UNI EN ISO 14403-2:2013</t>
    </r>
  </si>
  <si>
    <r>
      <rPr>
        <sz val="4"/>
        <rFont val="Calibri"/>
        <family val="1"/>
      </rPr>
      <t>Cianuri liberi</t>
    </r>
  </si>
  <si>
    <r>
      <rPr>
        <sz val="4"/>
        <rFont val="Calibri"/>
        <family val="1"/>
      </rPr>
      <t>EPA 6020B 2014</t>
    </r>
  </si>
  <si>
    <r>
      <rPr>
        <sz val="4"/>
        <rFont val="Calibri"/>
        <family val="1"/>
      </rPr>
      <t>Boro</t>
    </r>
  </si>
  <si>
    <r>
      <rPr>
        <sz val="4"/>
        <rFont val="Calibri"/>
        <family val="1"/>
      </rPr>
      <t>Zinco</t>
    </r>
  </si>
  <si>
    <r>
      <rPr>
        <sz val="4"/>
        <rFont val="Calibri"/>
        <family val="1"/>
      </rPr>
      <t>Manganese</t>
    </r>
  </si>
  <si>
    <t>&lt;1,00</t>
  </si>
  <si>
    <r>
      <rPr>
        <sz val="4"/>
        <rFont val="Calibri"/>
        <family val="1"/>
      </rPr>
      <t>Selenio</t>
    </r>
  </si>
  <si>
    <r>
      <rPr>
        <sz val="4"/>
        <rFont val="Calibri"/>
        <family val="1"/>
      </rPr>
      <t>Rame</t>
    </r>
  </si>
  <si>
    <t>&lt;0,50</t>
  </si>
  <si>
    <r>
      <rPr>
        <sz val="4"/>
        <rFont val="Calibri"/>
        <family val="1"/>
      </rPr>
      <t>Piombo</t>
    </r>
  </si>
  <si>
    <r>
      <rPr>
        <sz val="4"/>
        <rFont val="Calibri"/>
        <family val="1"/>
      </rPr>
      <t>Nichel</t>
    </r>
  </si>
  <si>
    <t>&lt;0,10</t>
  </si>
  <si>
    <t>&lt;0,02</t>
  </si>
  <si>
    <r>
      <rPr>
        <sz val="4"/>
        <rFont val="Calibri"/>
        <family val="1"/>
      </rPr>
      <t>Mercurio</t>
    </r>
  </si>
  <si>
    <t>1050</t>
  </si>
  <si>
    <r>
      <rPr>
        <sz val="4"/>
        <rFont val="Calibri"/>
        <family val="1"/>
      </rPr>
      <t>EPA 6010D 2018</t>
    </r>
  </si>
  <si>
    <r>
      <rPr>
        <sz val="4"/>
        <rFont val="Calibri"/>
        <family val="1"/>
      </rPr>
      <t>Ferro</t>
    </r>
  </si>
  <si>
    <r>
      <rPr>
        <sz val="4"/>
        <rFont val="Calibri"/>
        <family val="1"/>
      </rPr>
      <t>EPA 7199 1996</t>
    </r>
  </si>
  <si>
    <r>
      <rPr>
        <sz val="4"/>
        <rFont val="Calibri"/>
        <family val="1"/>
      </rPr>
      <t>Cromo (VI)</t>
    </r>
  </si>
  <si>
    <r>
      <rPr>
        <sz val="4"/>
        <rFont val="Calibri"/>
        <family val="1"/>
      </rPr>
      <t>Cromo totale</t>
    </r>
  </si>
  <si>
    <t>&lt;0,3</t>
  </si>
  <si>
    <t>&lt;0,25</t>
  </si>
  <si>
    <r>
      <rPr>
        <sz val="4"/>
        <rFont val="Calibri"/>
        <family val="1"/>
      </rPr>
      <t>Cadmio</t>
    </r>
  </si>
  <si>
    <t>1,12</t>
  </si>
  <si>
    <r>
      <rPr>
        <sz val="4"/>
        <rFont val="Calibri"/>
        <family val="1"/>
      </rPr>
      <t>Arsenico</t>
    </r>
  </si>
  <si>
    <t xml:space="preserve">&lt;0,5 </t>
  </si>
  <si>
    <r>
      <rPr>
        <sz val="4"/>
        <rFont val="Calibri"/>
        <family val="1"/>
      </rPr>
      <t>Antimonio</t>
    </r>
  </si>
  <si>
    <t>70</t>
  </si>
  <si>
    <r>
      <rPr>
        <sz val="4"/>
        <rFont val="Calibri"/>
        <family val="1"/>
      </rPr>
      <t>Alluminio</t>
    </r>
  </si>
  <si>
    <t>4570</t>
  </si>
  <si>
    <r>
      <rPr>
        <sz val="4"/>
        <rFont val="Calibri"/>
        <family val="1"/>
      </rPr>
      <t>µS/cm</t>
    </r>
  </si>
  <si>
    <r>
      <rPr>
        <sz val="4"/>
        <rFont val="Calibri"/>
        <family val="1"/>
      </rPr>
      <t>APAT2030-campo</t>
    </r>
  </si>
  <si>
    <r>
      <rPr>
        <sz val="4"/>
        <rFont val="Calibri"/>
        <family val="1"/>
      </rPr>
      <t>Conducibilità elettrica</t>
    </r>
  </si>
  <si>
    <t>7,60</t>
  </si>
  <si>
    <r>
      <rPr>
        <sz val="4"/>
        <rFont val="Calibri"/>
        <family val="1"/>
      </rPr>
      <t>upH</t>
    </r>
  </si>
  <si>
    <r>
      <rPr>
        <sz val="4"/>
        <rFont val="Calibri"/>
        <family val="1"/>
      </rPr>
      <t>APAT CNR IRSA 2060 Man 29 2003</t>
    </r>
  </si>
  <si>
    <r>
      <rPr>
        <sz val="4"/>
        <rFont val="Calibri"/>
        <family val="1"/>
      </rPr>
      <t>pH</t>
    </r>
  </si>
  <si>
    <r>
      <rPr>
        <b/>
        <sz val="4"/>
        <rFont val="Calibri"/>
        <family val="1"/>
      </rPr>
      <t>Limiti</t>
    </r>
  </si>
  <si>
    <r>
      <rPr>
        <b/>
        <sz val="4"/>
        <rFont val="Calibri"/>
        <family val="1"/>
      </rPr>
      <t>UM</t>
    </r>
  </si>
  <si>
    <r>
      <rPr>
        <b/>
        <sz val="4"/>
        <rFont val="Calibri"/>
        <family val="1"/>
      </rPr>
      <t>Metodica</t>
    </r>
  </si>
  <si>
    <r>
      <rPr>
        <b/>
        <sz val="4"/>
        <rFont val="Calibri"/>
        <family val="1"/>
      </rPr>
      <t>Parametro</t>
    </r>
  </si>
  <si>
    <r>
      <rPr>
        <sz val="4"/>
        <rFont val="Calibri"/>
        <family val="1"/>
      </rPr>
      <t>Acque di falda</t>
    </r>
  </si>
  <si>
    <t>Punto di prelievo</t>
  </si>
  <si>
    <t>PZ1</t>
  </si>
  <si>
    <t>annuale</t>
  </si>
  <si>
    <t>Rapporto di prova</t>
  </si>
  <si>
    <t>Stabilimento                                        Grandi Molini Italiani Livorno</t>
  </si>
  <si>
    <t>1.29_24</t>
  </si>
  <si>
    <t>Data Prelievo</t>
  </si>
  <si>
    <t>Luogo del prelievo</t>
  </si>
  <si>
    <t>Tipologia</t>
  </si>
  <si>
    <t>PZ4</t>
  </si>
  <si>
    <t>PZ3</t>
  </si>
  <si>
    <t>PZ2</t>
  </si>
  <si>
    <t>1,4 - Diclorofenolo</t>
  </si>
  <si>
    <t>2,4,6 - Tricolorofenolo</t>
  </si>
  <si>
    <t>&lt;0,5</t>
  </si>
  <si>
    <t>&lt;0.0005</t>
  </si>
  <si>
    <t>Idrocarburi C6÷C10 come n-esano</t>
  </si>
  <si>
    <t>Idrocarburi estraibili C10-C40 espressi come n-esano</t>
  </si>
  <si>
    <t>EPA 5021A 2014, EPA 8015C 2007</t>
  </si>
  <si>
    <t>UNI EN ISO 9377-2:2002</t>
  </si>
  <si>
    <t>418</t>
  </si>
  <si>
    <t>&lt;10</t>
  </si>
  <si>
    <t>1140</t>
  </si>
  <si>
    <t>1210</t>
  </si>
  <si>
    <t>&lt;0,0400</t>
  </si>
  <si>
    <t>0,193</t>
  </si>
  <si>
    <t>&lt;0,0300</t>
  </si>
  <si>
    <t>0,30</t>
  </si>
  <si>
    <t>0,115</t>
  </si>
  <si>
    <t>0,100</t>
  </si>
  <si>
    <t>&lt;33,0</t>
  </si>
  <si>
    <t>&lt;10,0</t>
  </si>
  <si>
    <t>7,48</t>
  </si>
  <si>
    <t>3500</t>
  </si>
  <si>
    <t>14,1</t>
  </si>
  <si>
    <t>1,68</t>
  </si>
  <si>
    <t>590</t>
  </si>
  <si>
    <t>410</t>
  </si>
  <si>
    <t>13,4</t>
  </si>
  <si>
    <t>1080</t>
  </si>
  <si>
    <t>1030</t>
  </si>
  <si>
    <t>0,029</t>
  </si>
  <si>
    <t>&lt;0,050</t>
  </si>
  <si>
    <t>0,49</t>
  </si>
  <si>
    <t>0,075</t>
  </si>
  <si>
    <t>0,0135</t>
  </si>
  <si>
    <t>0,16</t>
  </si>
  <si>
    <t>0,260</t>
  </si>
  <si>
    <t>0,44</t>
  </si>
  <si>
    <t>&lt;0,0050</t>
  </si>
  <si>
    <t>0,0054</t>
  </si>
  <si>
    <t>&lt;0,00050</t>
  </si>
  <si>
    <t>0,00062</t>
  </si>
  <si>
    <t>7,68</t>
  </si>
  <si>
    <t>1698</t>
  </si>
  <si>
    <t>0,72</t>
  </si>
  <si>
    <t>3,3</t>
  </si>
  <si>
    <t>136</t>
  </si>
  <si>
    <t>285</t>
  </si>
  <si>
    <t>635</t>
  </si>
  <si>
    <t>&lt;1000</t>
  </si>
  <si>
    <t>0,095</t>
  </si>
  <si>
    <t>0,29</t>
  </si>
  <si>
    <t>0,182</t>
  </si>
  <si>
    <t>0,048</t>
  </si>
  <si>
    <t>0,134</t>
  </si>
  <si>
    <t>7,21</t>
  </si>
  <si>
    <t>2730</t>
  </si>
  <si>
    <t>3,2</t>
  </si>
  <si>
    <t>89</t>
  </si>
  <si>
    <t>173</t>
  </si>
  <si>
    <t>1440</t>
  </si>
  <si>
    <t>0,33</t>
  </si>
  <si>
    <t>0,42</t>
  </si>
  <si>
    <t>0,061</t>
  </si>
  <si>
    <t>0,036</t>
  </si>
  <si>
    <t>7,09</t>
  </si>
  <si>
    <t>3560</t>
  </si>
  <si>
    <t>1,56</t>
  </si>
  <si>
    <t>232</t>
  </si>
  <si>
    <t>1,02</t>
  </si>
  <si>
    <t>960</t>
  </si>
  <si>
    <t>1620</t>
  </si>
  <si>
    <t>300</t>
  </si>
  <si>
    <t>0,156</t>
  </si>
  <si>
    <t>0,178</t>
  </si>
  <si>
    <t>7,08</t>
  </si>
  <si>
    <t>2300</t>
  </si>
  <si>
    <t>1,74</t>
  </si>
  <si>
    <t>&lt;5,00</t>
  </si>
  <si>
    <t>530</t>
  </si>
  <si>
    <t>1,05</t>
  </si>
  <si>
    <t>1090</t>
  </si>
  <si>
    <t>1460</t>
  </si>
  <si>
    <t>270</t>
  </si>
  <si>
    <t>&lt;0,118</t>
  </si>
  <si>
    <t>7,56</t>
  </si>
  <si>
    <t>6830</t>
  </si>
  <si>
    <t>3,6</t>
  </si>
  <si>
    <t>520</t>
  </si>
  <si>
    <t>4350</t>
  </si>
  <si>
    <t>1330</t>
  </si>
  <si>
    <t>7,44</t>
  </si>
  <si>
    <t>21100</t>
  </si>
  <si>
    <t>21,0</t>
  </si>
  <si>
    <t>2,77</t>
  </si>
  <si>
    <t>1,38</t>
  </si>
  <si>
    <t>831</t>
  </si>
  <si>
    <t>0,83</t>
  </si>
  <si>
    <t>1,45</t>
  </si>
  <si>
    <t>307</t>
  </si>
  <si>
    <t>18,6</t>
  </si>
  <si>
    <t>4200</t>
  </si>
  <si>
    <t>0,014</t>
  </si>
  <si>
    <t>0,0112</t>
  </si>
  <si>
    <t>7,65</t>
  </si>
  <si>
    <t>10630</t>
  </si>
  <si>
    <t>24,0</t>
  </si>
  <si>
    <t>13,1</t>
  </si>
  <si>
    <t>550</t>
  </si>
  <si>
    <t>194</t>
  </si>
  <si>
    <t>4310</t>
  </si>
  <si>
    <t>1470</t>
  </si>
  <si>
    <t>7,17</t>
  </si>
  <si>
    <t>983</t>
  </si>
  <si>
    <t>12,1</t>
  </si>
  <si>
    <t>3150</t>
  </si>
  <si>
    <t>1020</t>
  </si>
  <si>
    <t>11,7</t>
  </si>
  <si>
    <t>598</t>
  </si>
  <si>
    <t>810</t>
  </si>
  <si>
    <t>7,11</t>
  </si>
  <si>
    <t>890</t>
  </si>
  <si>
    <t>12,4</t>
  </si>
  <si>
    <t>24,2</t>
  </si>
  <si>
    <t>3070</t>
  </si>
  <si>
    <t>920</t>
  </si>
  <si>
    <t>740</t>
  </si>
  <si>
    <t>860</t>
  </si>
  <si>
    <t>0,0086</t>
  </si>
  <si>
    <t>7,25</t>
  </si>
  <si>
    <t>1084</t>
  </si>
  <si>
    <t>41</t>
  </si>
  <si>
    <t>20,1</t>
  </si>
  <si>
    <t>3210</t>
  </si>
  <si>
    <t>720</t>
  </si>
  <si>
    <t>880</t>
  </si>
  <si>
    <t>Codice CER</t>
  </si>
  <si>
    <t>Destinazione</t>
  </si>
  <si>
    <t>Quantità</t>
  </si>
  <si>
    <t>U.M.</t>
  </si>
  <si>
    <t>Frequenza rilevamento</t>
  </si>
  <si>
    <t>Modalità rilevamento</t>
  </si>
  <si>
    <t>Smaltimento e/o recupero</t>
  </si>
  <si>
    <t>t</t>
  </si>
  <si>
    <t>Ogni conferimento</t>
  </si>
  <si>
    <t>Quantità rilevate e confermate dal destinatario (4° copia formulario)</t>
  </si>
  <si>
    <t>Descrizione CER</t>
  </si>
  <si>
    <t>Codifica</t>
  </si>
  <si>
    <t>Quantitativo</t>
  </si>
  <si>
    <t>Definizione rifiuto</t>
  </si>
  <si>
    <t xml:space="preserve">02 03 04 </t>
  </si>
  <si>
    <t>Scarti inutilizzabili per il consumo o la trasformazione</t>
  </si>
  <si>
    <t>NON PERICOLOSO</t>
  </si>
  <si>
    <t>PERICOLOSO / NON PERICOLOSO</t>
  </si>
  <si>
    <t>SI</t>
  </si>
  <si>
    <t>15 01 01</t>
  </si>
  <si>
    <t>Imballaggi di carta e cartone</t>
  </si>
  <si>
    <t>15 01 02</t>
  </si>
  <si>
    <t>Imballaggi di plastica</t>
  </si>
  <si>
    <t>15 01 03</t>
  </si>
  <si>
    <t>Imballaggi in legno</t>
  </si>
  <si>
    <t>15 01 10</t>
  </si>
  <si>
    <t>PERICOLOSO</t>
  </si>
  <si>
    <t>Imballaggi contenenti residui di sostanze pericolose o contaminati da tali sostanze</t>
  </si>
  <si>
    <t>15 01 11</t>
  </si>
  <si>
    <t>Imballaggi metallici contenenti matrici solide porose pericolose (ad esempio amianto), compresi i contenitori a pressione vuoti.</t>
  </si>
  <si>
    <t>15 02 03</t>
  </si>
  <si>
    <t>Assorbenti, materiali filtranti, stracci e indumenti protettivi, diversi da quelli di cui alla voce 15 02 02</t>
  </si>
  <si>
    <t>17 02 03</t>
  </si>
  <si>
    <t>Plastica</t>
  </si>
  <si>
    <t>17 04 05</t>
  </si>
  <si>
    <t>Ferro e acciaio</t>
  </si>
  <si>
    <t>20 01 21</t>
  </si>
  <si>
    <t>Tubi fluorescenti ed altri rifiuti conteneti mercurio</t>
  </si>
  <si>
    <t>Rifiuti</t>
  </si>
  <si>
    <t>Recupero</t>
  </si>
  <si>
    <t>Smaltimento</t>
  </si>
  <si>
    <t>Rifiuti Pericolosi</t>
  </si>
  <si>
    <t>Rifiuti non Pericolosi</t>
  </si>
  <si>
    <t>Rifiuti totali</t>
  </si>
  <si>
    <t>Produzione Specifica                                     (Kg/t di prodotto)</t>
  </si>
  <si>
    <t>Note</t>
  </si>
  <si>
    <t>Produzione Percentuale su Totale Tipologia Rifiuto (pericoloso - non pericoloso)</t>
  </si>
  <si>
    <t>Quantità                    (t)</t>
  </si>
  <si>
    <r>
      <rPr>
        <b/>
        <sz val="6"/>
        <rFont val="Calibri"/>
        <family val="1"/>
      </rPr>
      <t>Velocità m/s</t>
    </r>
  </si>
  <si>
    <r>
      <rPr>
        <b/>
        <sz val="6"/>
        <rFont val="Calibri"/>
        <family val="1"/>
      </rPr>
      <t xml:space="preserve">Temp fumi
</t>
    </r>
    <r>
      <rPr>
        <b/>
        <sz val="6"/>
        <rFont val="Calibri"/>
        <family val="1"/>
      </rPr>
      <t>°C</t>
    </r>
  </si>
  <si>
    <r>
      <rPr>
        <b/>
        <sz val="6"/>
        <rFont val="Calibri"/>
        <family val="1"/>
      </rPr>
      <t xml:space="preserve">Umidità
</t>
    </r>
    <r>
      <rPr>
        <b/>
        <sz val="6"/>
        <rFont val="Calibri"/>
        <family val="1"/>
      </rPr>
      <t>% v/v</t>
    </r>
  </si>
  <si>
    <r>
      <rPr>
        <b/>
        <sz val="6"/>
        <rFont val="Calibri"/>
        <family val="1"/>
      </rPr>
      <t>Portata Fumi Secchi Nmc/h</t>
    </r>
  </si>
  <si>
    <r>
      <rPr>
        <b/>
        <sz val="6"/>
        <rFont val="Calibri"/>
        <family val="1"/>
      </rPr>
      <t>Flusso di massa g/h</t>
    </r>
  </si>
  <si>
    <t>390991-309329,330,331</t>
  </si>
  <si>
    <r>
      <rPr>
        <sz val="6"/>
        <rFont val="Calibri"/>
        <family val="1"/>
      </rPr>
      <t>E1</t>
    </r>
  </si>
  <si>
    <t>390992-309392,333,334</t>
  </si>
  <si>
    <r>
      <rPr>
        <sz val="6"/>
        <rFont val="Calibri"/>
        <family val="1"/>
      </rPr>
      <t>E2</t>
    </r>
  </si>
  <si>
    <t>390999-309335,336,337</t>
  </si>
  <si>
    <r>
      <rPr>
        <sz val="6"/>
        <rFont val="Calibri"/>
        <family val="1"/>
      </rPr>
      <t>E3</t>
    </r>
  </si>
  <si>
    <t>391008-309342,343,344</t>
  </si>
  <si>
    <r>
      <rPr>
        <sz val="6"/>
        <rFont val="Calibri"/>
        <family val="1"/>
      </rPr>
      <t>E4</t>
    </r>
  </si>
  <si>
    <t>391010-309346,347,348</t>
  </si>
  <si>
    <r>
      <rPr>
        <sz val="6"/>
        <rFont val="Calibri"/>
        <family val="1"/>
      </rPr>
      <t>E5</t>
    </r>
  </si>
  <si>
    <t>391013-309352,353,354</t>
  </si>
  <si>
    <r>
      <rPr>
        <sz val="6"/>
        <rFont val="Calibri"/>
        <family val="1"/>
      </rPr>
      <t>E6</t>
    </r>
  </si>
  <si>
    <t>391016-308095,096,097</t>
  </si>
  <si>
    <r>
      <rPr>
        <sz val="6"/>
        <rFont val="Calibri"/>
        <family val="1"/>
      </rPr>
      <t>E7</t>
    </r>
  </si>
  <si>
    <t>391019-308107,108,109</t>
  </si>
  <si>
    <r>
      <rPr>
        <sz val="6"/>
        <rFont val="Calibri"/>
        <family val="1"/>
      </rPr>
      <t>E8</t>
    </r>
  </si>
  <si>
    <t>391022-308071,072,073</t>
  </si>
  <si>
    <r>
      <rPr>
        <sz val="6"/>
        <rFont val="Calibri"/>
        <family val="1"/>
      </rPr>
      <t>E9</t>
    </r>
  </si>
  <si>
    <t>391023-308079,080,081</t>
  </si>
  <si>
    <r>
      <rPr>
        <sz val="6"/>
        <rFont val="Calibri"/>
        <family val="1"/>
      </rPr>
      <t>E10</t>
    </r>
  </si>
  <si>
    <t>391026-308060,061,062</t>
  </si>
  <si>
    <r>
      <rPr>
        <sz val="6"/>
        <rFont val="Calibri"/>
        <family val="1"/>
      </rPr>
      <t>E11</t>
    </r>
  </si>
  <si>
    <t>391029-308045,046,047</t>
  </si>
  <si>
    <r>
      <rPr>
        <sz val="6"/>
        <rFont val="Calibri"/>
        <family val="1"/>
      </rPr>
      <t>E12</t>
    </r>
  </si>
  <si>
    <t>391032-308055,056,057</t>
  </si>
  <si>
    <r>
      <rPr>
        <sz val="6"/>
        <rFont val="Calibri"/>
        <family val="1"/>
      </rPr>
      <t>E13</t>
    </r>
  </si>
  <si>
    <t>391034-309696,697,698</t>
  </si>
  <si>
    <r>
      <rPr>
        <sz val="6"/>
        <rFont val="Calibri"/>
        <family val="1"/>
      </rPr>
      <t>E14</t>
    </r>
  </si>
  <si>
    <t>391038-309714,715,716</t>
  </si>
  <si>
    <r>
      <rPr>
        <sz val="6"/>
        <rFont val="Calibri"/>
        <family val="1"/>
      </rPr>
      <t>E15</t>
    </r>
  </si>
  <si>
    <t>391041-309717,718,719</t>
  </si>
  <si>
    <r>
      <rPr>
        <sz val="6"/>
        <rFont val="Calibri"/>
        <family val="1"/>
      </rPr>
      <t>E16</t>
    </r>
  </si>
  <si>
    <t>391042-309721,722,723</t>
  </si>
  <si>
    <r>
      <rPr>
        <sz val="6"/>
        <rFont val="Calibri"/>
        <family val="1"/>
      </rPr>
      <t>E17</t>
    </r>
  </si>
  <si>
    <t>391043-309725,726,727</t>
  </si>
  <si>
    <r>
      <rPr>
        <sz val="6"/>
        <rFont val="Calibri"/>
        <family val="1"/>
      </rPr>
      <t>E18</t>
    </r>
  </si>
  <si>
    <t>391044-309730,731,732</t>
  </si>
  <si>
    <r>
      <rPr>
        <sz val="6"/>
        <rFont val="Calibri"/>
        <family val="1"/>
      </rPr>
      <t>E19</t>
    </r>
  </si>
  <si>
    <t>391046-309733,734,735</t>
  </si>
  <si>
    <r>
      <rPr>
        <sz val="6"/>
        <rFont val="Calibri"/>
        <family val="1"/>
      </rPr>
      <t>E20</t>
    </r>
  </si>
  <si>
    <t>391048-309743,44,45</t>
  </si>
  <si>
    <r>
      <rPr>
        <sz val="6"/>
        <rFont val="Calibri"/>
        <family val="1"/>
      </rPr>
      <t>E21</t>
    </r>
  </si>
  <si>
    <t>391051-311321,22,23</t>
  </si>
  <si>
    <r>
      <rPr>
        <sz val="6"/>
        <rFont val="Calibri"/>
        <family val="1"/>
      </rPr>
      <t>E22</t>
    </r>
  </si>
  <si>
    <t>391052-311324,25,26</t>
  </si>
  <si>
    <r>
      <rPr>
        <sz val="6"/>
        <rFont val="Calibri"/>
        <family val="1"/>
      </rPr>
      <t>E23</t>
    </r>
  </si>
  <si>
    <t>391053-311343,344,345</t>
  </si>
  <si>
    <r>
      <rPr>
        <sz val="6"/>
        <rFont val="Calibri"/>
        <family val="1"/>
      </rPr>
      <t>E24</t>
    </r>
  </si>
  <si>
    <t>391054-311352,353,354</t>
  </si>
  <si>
    <r>
      <rPr>
        <sz val="6"/>
        <rFont val="Calibri"/>
        <family val="1"/>
      </rPr>
      <t>E25</t>
    </r>
  </si>
  <si>
    <t>391055-311359,360,361</t>
  </si>
  <si>
    <r>
      <rPr>
        <sz val="6"/>
        <rFont val="Calibri"/>
        <family val="1"/>
      </rPr>
      <t>E26</t>
    </r>
  </si>
  <si>
    <t>391056-311368,369,370</t>
  </si>
  <si>
    <r>
      <rPr>
        <sz val="6"/>
        <rFont val="Calibri"/>
        <family val="1"/>
      </rPr>
      <t>E27</t>
    </r>
  </si>
  <si>
    <t>391057-308066,067,068</t>
  </si>
  <si>
    <r>
      <rPr>
        <sz val="6"/>
        <rFont val="Calibri"/>
        <family val="1"/>
      </rPr>
      <t>E28</t>
    </r>
  </si>
  <si>
    <t>391058-30112,113,114</t>
  </si>
  <si>
    <r>
      <rPr>
        <sz val="6"/>
        <rFont val="Calibri"/>
        <family val="1"/>
      </rPr>
      <t>E29</t>
    </r>
  </si>
  <si>
    <t>391059-300996,997,998</t>
  </si>
  <si>
    <r>
      <rPr>
        <sz val="6"/>
        <rFont val="Calibri"/>
        <family val="1"/>
      </rPr>
      <t>E30</t>
    </r>
  </si>
  <si>
    <t>391060-301006,007,008</t>
  </si>
  <si>
    <r>
      <rPr>
        <sz val="6"/>
        <rFont val="Calibri"/>
        <family val="1"/>
      </rPr>
      <t>E31</t>
    </r>
  </si>
  <si>
    <t>391061-300396,937,938</t>
  </si>
  <si>
    <r>
      <rPr>
        <sz val="6"/>
        <rFont val="Calibri"/>
        <family val="1"/>
      </rPr>
      <t>E32</t>
    </r>
  </si>
  <si>
    <t>391062-300948,949,950</t>
  </si>
  <si>
    <r>
      <rPr>
        <sz val="6"/>
        <rFont val="Calibri"/>
        <family val="1"/>
      </rPr>
      <t>E33</t>
    </r>
  </si>
  <si>
    <t>391063-301009,010,011</t>
  </si>
  <si>
    <r>
      <rPr>
        <sz val="6"/>
        <rFont val="Calibri"/>
        <family val="1"/>
      </rPr>
      <t>E34</t>
    </r>
  </si>
  <si>
    <t>391064-301015,016,017</t>
  </si>
  <si>
    <r>
      <rPr>
        <sz val="6"/>
        <rFont val="Calibri"/>
        <family val="1"/>
      </rPr>
      <t>E35</t>
    </r>
  </si>
  <si>
    <t>391065-300951,952,953</t>
  </si>
  <si>
    <r>
      <rPr>
        <sz val="6"/>
        <rFont val="Calibri"/>
        <family val="1"/>
      </rPr>
      <t>E36</t>
    </r>
  </si>
  <si>
    <t>391066-300961,962,963</t>
  </si>
  <si>
    <r>
      <rPr>
        <sz val="6"/>
        <rFont val="Calibri"/>
        <family val="1"/>
      </rPr>
      <t>E37</t>
    </r>
  </si>
  <si>
    <t>391067-309746,747,748</t>
  </si>
  <si>
    <r>
      <rPr>
        <sz val="6"/>
        <rFont val="Calibri"/>
        <family val="1"/>
      </rPr>
      <t>E38</t>
    </r>
  </si>
  <si>
    <t>391068-301003,004,005</t>
  </si>
  <si>
    <r>
      <rPr>
        <sz val="6"/>
        <rFont val="Calibri"/>
        <family val="1"/>
      </rPr>
      <t>E39</t>
    </r>
  </si>
  <si>
    <t>391069-301012,013,014</t>
  </si>
  <si>
    <r>
      <rPr>
        <sz val="6"/>
        <rFont val="Calibri"/>
        <family val="1"/>
      </rPr>
      <t>E40</t>
    </r>
  </si>
  <si>
    <t>391070-301021,022,023</t>
  </si>
  <si>
    <r>
      <rPr>
        <sz val="6"/>
        <rFont val="Calibri"/>
        <family val="1"/>
      </rPr>
      <t>E41</t>
    </r>
  </si>
  <si>
    <t>391071-301029,030,031</t>
  </si>
  <si>
    <r>
      <rPr>
        <sz val="6"/>
        <rFont val="Calibri"/>
        <family val="1"/>
      </rPr>
      <t>E42</t>
    </r>
  </si>
  <si>
    <t>391072-301033,034,035</t>
  </si>
  <si>
    <r>
      <rPr>
        <sz val="6"/>
        <rFont val="Calibri"/>
        <family val="1"/>
      </rPr>
      <t>E43</t>
    </r>
  </si>
  <si>
    <t>391073-301018,019,020</t>
  </si>
  <si>
    <r>
      <rPr>
        <sz val="6"/>
        <rFont val="Calibri"/>
        <family val="1"/>
      </rPr>
      <t>E44</t>
    </r>
  </si>
  <si>
    <t>391074-301024,025,026</t>
  </si>
  <si>
    <r>
      <rPr>
        <sz val="6"/>
        <rFont val="Calibri"/>
        <family val="1"/>
      </rPr>
      <t>E45</t>
    </r>
  </si>
  <si>
    <t>391075-301039,040,041</t>
  </si>
  <si>
    <r>
      <rPr>
        <sz val="6"/>
        <rFont val="Calibri"/>
        <family val="1"/>
      </rPr>
      <t>E46</t>
    </r>
  </si>
  <si>
    <t>391076-301060,061,062</t>
  </si>
  <si>
    <r>
      <rPr>
        <sz val="6"/>
        <rFont val="Calibri"/>
        <family val="1"/>
      </rPr>
      <t>E47</t>
    </r>
  </si>
  <si>
    <t>391077-301067,068,069</t>
  </si>
  <si>
    <r>
      <rPr>
        <sz val="6"/>
        <rFont val="Calibri"/>
        <family val="1"/>
      </rPr>
      <t>E48</t>
    </r>
  </si>
  <si>
    <t>391078-301074,075,076</t>
  </si>
  <si>
    <r>
      <rPr>
        <sz val="6"/>
        <rFont val="Calibri"/>
        <family val="1"/>
      </rPr>
      <t>E49</t>
    </r>
  </si>
  <si>
    <t>391079-303382,383,384</t>
  </si>
  <si>
    <r>
      <rPr>
        <sz val="6"/>
        <rFont val="Calibri"/>
        <family val="1"/>
      </rPr>
      <t>E50</t>
    </r>
  </si>
  <si>
    <t>391080-303392,393,394</t>
  </si>
  <si>
    <r>
      <rPr>
        <sz val="6"/>
        <rFont val="Calibri"/>
        <family val="1"/>
      </rPr>
      <t>E51</t>
    </r>
  </si>
  <si>
    <t>391081-308116,117,118</t>
  </si>
  <si>
    <r>
      <rPr>
        <sz val="6"/>
        <rFont val="Calibri"/>
        <family val="1"/>
      </rPr>
      <t>E52</t>
    </r>
  </si>
  <si>
    <t>391082-308556,557,558</t>
  </si>
  <si>
    <r>
      <rPr>
        <sz val="6"/>
        <rFont val="Calibri"/>
        <family val="1"/>
      </rPr>
      <t>E53</t>
    </r>
  </si>
  <si>
    <t>391083-308559,560,561</t>
  </si>
  <si>
    <r>
      <rPr>
        <sz val="6"/>
        <rFont val="Calibri"/>
        <family val="1"/>
      </rPr>
      <t>E54</t>
    </r>
  </si>
  <si>
    <t>391084-308563,564,565</t>
  </si>
  <si>
    <r>
      <rPr>
        <sz val="6"/>
        <rFont val="Calibri"/>
        <family val="1"/>
      </rPr>
      <t>E55</t>
    </r>
  </si>
  <si>
    <t>391085-308566,567,568</t>
  </si>
  <si>
    <r>
      <rPr>
        <sz val="6"/>
        <rFont val="Calibri"/>
        <family val="1"/>
      </rPr>
      <t>E56</t>
    </r>
  </si>
  <si>
    <t>391086,309004,005,006</t>
  </si>
  <si>
    <r>
      <rPr>
        <sz val="6"/>
        <rFont val="Calibri"/>
        <family val="1"/>
      </rPr>
      <t>E57</t>
    </r>
  </si>
  <si>
    <t>391087-309007,008,009</t>
  </si>
  <si>
    <r>
      <rPr>
        <sz val="6"/>
        <rFont val="Calibri"/>
        <family val="1"/>
      </rPr>
      <t>E58</t>
    </r>
  </si>
  <si>
    <t>391088-309014,015,016</t>
  </si>
  <si>
    <r>
      <rPr>
        <sz val="6"/>
        <rFont val="Calibri"/>
        <family val="1"/>
      </rPr>
      <t>E59</t>
    </r>
  </si>
  <si>
    <t>391089-309018,019,020</t>
  </si>
  <si>
    <r>
      <rPr>
        <sz val="6"/>
        <rFont val="Calibri"/>
        <family val="1"/>
      </rPr>
      <t>E60</t>
    </r>
  </si>
  <si>
    <t>391090-309023,024,025</t>
  </si>
  <si>
    <r>
      <rPr>
        <sz val="6"/>
        <rFont val="Calibri"/>
        <family val="1"/>
      </rPr>
      <t>E61</t>
    </r>
  </si>
  <si>
    <t>391091-309031,032,033</t>
  </si>
  <si>
    <r>
      <rPr>
        <sz val="6"/>
        <rFont val="Calibri"/>
        <family val="1"/>
      </rPr>
      <t>E62</t>
    </r>
  </si>
  <si>
    <t>391092-309037,038,039</t>
  </si>
  <si>
    <r>
      <rPr>
        <sz val="6"/>
        <rFont val="Calibri"/>
        <family val="1"/>
      </rPr>
      <t>E63</t>
    </r>
  </si>
  <si>
    <t>391093-306774,775,776</t>
  </si>
  <si>
    <r>
      <rPr>
        <sz val="6"/>
        <rFont val="Calibri"/>
        <family val="1"/>
      </rPr>
      <t>E64</t>
    </r>
  </si>
  <si>
    <t>391094-306786,787,788</t>
  </si>
  <si>
    <r>
      <rPr>
        <sz val="6"/>
        <rFont val="Calibri"/>
        <family val="1"/>
      </rPr>
      <t>E65</t>
    </r>
  </si>
  <si>
    <t>391095-306837,838,839</t>
  </si>
  <si>
    <r>
      <rPr>
        <sz val="6"/>
        <rFont val="Calibri"/>
        <family val="1"/>
      </rPr>
      <t>E67</t>
    </r>
  </si>
  <si>
    <t>391096-306791,792,793</t>
  </si>
  <si>
    <r>
      <rPr>
        <sz val="6"/>
        <rFont val="Calibri"/>
        <family val="1"/>
      </rPr>
      <t>E68</t>
    </r>
  </si>
  <si>
    <t>391097-306848,849,850</t>
  </si>
  <si>
    <r>
      <rPr>
        <sz val="6"/>
        <rFont val="Calibri"/>
        <family val="1"/>
      </rPr>
      <t>E69</t>
    </r>
  </si>
  <si>
    <t>391098-306743,744,745</t>
  </si>
  <si>
    <r>
      <rPr>
        <sz val="6"/>
        <rFont val="Calibri"/>
        <family val="1"/>
      </rPr>
      <t>E70</t>
    </r>
  </si>
  <si>
    <t>391099-306749,750,751</t>
  </si>
  <si>
    <r>
      <rPr>
        <sz val="6"/>
        <rFont val="Calibri"/>
        <family val="1"/>
      </rPr>
      <t>E71</t>
    </r>
  </si>
  <si>
    <t>391100-306769,770,771</t>
  </si>
  <si>
    <r>
      <rPr>
        <sz val="6"/>
        <rFont val="Calibri"/>
        <family val="1"/>
      </rPr>
      <t>E72</t>
    </r>
  </si>
  <si>
    <t>391101-303404,405,406</t>
  </si>
  <si>
    <r>
      <rPr>
        <sz val="6"/>
        <rFont val="Calibri"/>
        <family val="1"/>
      </rPr>
      <t>E73</t>
    </r>
  </si>
  <si>
    <t>391102-303412,413,414</t>
  </si>
  <si>
    <r>
      <rPr>
        <sz val="6"/>
        <rFont val="Calibri"/>
        <family val="1"/>
      </rPr>
      <t>E74</t>
    </r>
  </si>
  <si>
    <t>391103-303417,418,419</t>
  </si>
  <si>
    <r>
      <rPr>
        <sz val="6"/>
        <rFont val="Calibri"/>
        <family val="1"/>
      </rPr>
      <t>E75</t>
    </r>
  </si>
  <si>
    <t>391104-303428,429,430</t>
  </si>
  <si>
    <r>
      <rPr>
        <sz val="6"/>
        <rFont val="Calibri"/>
        <family val="1"/>
      </rPr>
      <t>E76</t>
    </r>
  </si>
  <si>
    <t>391105-304615,616,617</t>
  </si>
  <si>
    <r>
      <rPr>
        <sz val="6"/>
        <rFont val="Calibri"/>
        <family val="1"/>
      </rPr>
      <t>E77</t>
    </r>
  </si>
  <si>
    <t>391106-304627,628,629</t>
  </si>
  <si>
    <r>
      <rPr>
        <sz val="6"/>
        <rFont val="Calibri"/>
        <family val="1"/>
      </rPr>
      <t>E78</t>
    </r>
  </si>
  <si>
    <t>391107-304654,655,656</t>
  </si>
  <si>
    <r>
      <rPr>
        <sz val="6"/>
        <rFont val="Calibri"/>
        <family val="1"/>
      </rPr>
      <t>E79</t>
    </r>
  </si>
  <si>
    <t>391108-304703,704,705</t>
  </si>
  <si>
    <r>
      <rPr>
        <sz val="6"/>
        <rFont val="Calibri"/>
        <family val="1"/>
      </rPr>
      <t>E80</t>
    </r>
  </si>
  <si>
    <t>391109-306851,852,853</t>
  </si>
  <si>
    <r>
      <rPr>
        <sz val="6"/>
        <rFont val="Calibri"/>
        <family val="1"/>
      </rPr>
      <t>E81</t>
    </r>
  </si>
  <si>
    <t>391110-306858,859,860</t>
  </si>
  <si>
    <r>
      <rPr>
        <sz val="6"/>
        <rFont val="Calibri"/>
        <family val="1"/>
      </rPr>
      <t>E82</t>
    </r>
  </si>
  <si>
    <t>391111-304708,709,710</t>
  </si>
  <si>
    <r>
      <rPr>
        <sz val="6"/>
        <rFont val="Calibri"/>
        <family val="1"/>
      </rPr>
      <t>E83</t>
    </r>
  </si>
  <si>
    <t>391112-304711,712,713</t>
  </si>
  <si>
    <r>
      <rPr>
        <sz val="6"/>
        <rFont val="Calibri"/>
        <family val="1"/>
      </rPr>
      <t>E84</t>
    </r>
  </si>
  <si>
    <t>391113-308572,573,574</t>
  </si>
  <si>
    <r>
      <rPr>
        <sz val="6"/>
        <rFont val="Calibri"/>
        <family val="1"/>
      </rPr>
      <t>E85</t>
    </r>
  </si>
  <si>
    <t>391114-308575,576,577</t>
  </si>
  <si>
    <r>
      <rPr>
        <sz val="6"/>
        <rFont val="Calibri"/>
        <family val="1"/>
      </rPr>
      <t>E86</t>
    </r>
  </si>
  <si>
    <t>391115-308603,604,605</t>
  </si>
  <si>
    <r>
      <rPr>
        <sz val="6"/>
        <rFont val="Calibri"/>
        <family val="1"/>
      </rPr>
      <t>E87</t>
    </r>
  </si>
  <si>
    <t>391116-306759,760,761</t>
  </si>
  <si>
    <r>
      <rPr>
        <sz val="6"/>
        <rFont val="Calibri"/>
        <family val="1"/>
      </rPr>
      <t>E88</t>
    </r>
  </si>
  <si>
    <t>391117-300984,985,986</t>
  </si>
  <si>
    <r>
      <rPr>
        <sz val="6"/>
        <rFont val="Calibri"/>
        <family val="1"/>
      </rPr>
      <t>E89</t>
    </r>
  </si>
  <si>
    <t>391118-300990,991,992</t>
  </si>
  <si>
    <r>
      <rPr>
        <sz val="6"/>
        <rFont val="Calibri"/>
        <family val="1"/>
      </rPr>
      <t>E90</t>
    </r>
  </si>
  <si>
    <r>
      <rPr>
        <sz val="6"/>
        <rFont val="Calibri"/>
        <family val="1"/>
      </rPr>
      <t>E97</t>
    </r>
  </si>
  <si>
    <t>Recupero - R13</t>
  </si>
  <si>
    <t>Recupero - R13-R12</t>
  </si>
  <si>
    <t>Recupero -.R13</t>
  </si>
  <si>
    <t>Recupero - R12</t>
  </si>
  <si>
    <t>Punto di misura</t>
  </si>
  <si>
    <t>Data</t>
  </si>
  <si>
    <t>Tempo di misura</t>
  </si>
  <si>
    <t>Leq dB(A)</t>
  </si>
  <si>
    <t>Leq dB(A) arrotondato</t>
  </si>
  <si>
    <t>Correzione per componente tonale</t>
  </si>
  <si>
    <t>La corretto dB(A)</t>
  </si>
  <si>
    <t>Valore                       limite di emissione</t>
  </si>
  <si>
    <t>Correzione per componente impulsiva                 Ki (dB)</t>
  </si>
  <si>
    <t>MISURE A CONFINE DELLO STABILIMENTO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</si>
  <si>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 xml:space="preserve">             (dB)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</si>
  <si>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</t>
    </r>
    <r>
      <rPr>
        <b/>
        <sz val="11"/>
        <color theme="1"/>
        <rFont val="Aptos Narrow"/>
        <family val="2"/>
        <scheme val="minor"/>
      </rPr>
      <t xml:space="preserve">            (dB)</t>
    </r>
  </si>
  <si>
    <t>P1 1^ misura</t>
  </si>
  <si>
    <t>P1 2^ misura</t>
  </si>
  <si>
    <t>P2 1^ misura</t>
  </si>
  <si>
    <t>P2 2^ misura</t>
  </si>
  <si>
    <t>P2-bis 1^ misura</t>
  </si>
  <si>
    <t>P2-bis 2^ misura</t>
  </si>
  <si>
    <t>P3 1^ misura</t>
  </si>
  <si>
    <t>P3 2^ misura</t>
  </si>
  <si>
    <t>P4 1^ misura</t>
  </si>
  <si>
    <t>P4 2^ misura</t>
  </si>
  <si>
    <t>P5 1^ misura</t>
  </si>
  <si>
    <t>P5 2^ misura</t>
  </si>
  <si>
    <t>P6 1^ misura</t>
  </si>
  <si>
    <t>P6 2^ misura</t>
  </si>
  <si>
    <t>P7 1^ misura</t>
  </si>
  <si>
    <t>P7 2^ misura</t>
  </si>
  <si>
    <t>--</t>
  </si>
  <si>
    <t>60 (*)</t>
  </si>
  <si>
    <t>62,4 (*)</t>
  </si>
  <si>
    <t>(*) valore dell'indice percentile L95 associato alle misure</t>
  </si>
  <si>
    <r>
      <t>11</t>
    </r>
    <r>
      <rPr>
        <vertAlign val="superscript"/>
        <sz val="11"/>
        <color theme="1"/>
        <rFont val="Aptos Narrow"/>
        <family val="2"/>
        <scheme val="minor"/>
      </rPr>
      <t>08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÷11</t>
    </r>
    <r>
      <rPr>
        <vertAlign val="superscript"/>
        <sz val="11"/>
        <color theme="1"/>
        <rFont val="Aptos Narrow"/>
        <family val="2"/>
      </rPr>
      <t>40</t>
    </r>
  </si>
  <si>
    <r>
      <t>16</t>
    </r>
    <r>
      <rPr>
        <vertAlign val="superscript"/>
        <sz val="11"/>
        <color theme="1"/>
        <rFont val="Aptos Narrow"/>
        <family val="2"/>
        <scheme val="minor"/>
      </rPr>
      <t>03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÷16</t>
    </r>
    <r>
      <rPr>
        <vertAlign val="superscript"/>
        <sz val="11"/>
        <color theme="1"/>
        <rFont val="Aptos Narrow"/>
        <family val="2"/>
      </rPr>
      <t>33</t>
    </r>
  </si>
  <si>
    <r>
      <t>10</t>
    </r>
    <r>
      <rPr>
        <vertAlign val="superscript"/>
        <sz val="11"/>
        <color theme="1"/>
        <rFont val="Aptos Narrow"/>
        <family val="2"/>
        <scheme val="minor"/>
      </rPr>
      <t>37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÷11</t>
    </r>
    <r>
      <rPr>
        <vertAlign val="superscript"/>
        <sz val="11"/>
        <color theme="1"/>
        <rFont val="Aptos Narrow"/>
        <family val="2"/>
      </rPr>
      <t>07</t>
    </r>
  </si>
  <si>
    <r>
      <t>15</t>
    </r>
    <r>
      <rPr>
        <vertAlign val="superscript"/>
        <sz val="11"/>
        <color theme="1"/>
        <rFont val="Aptos Narrow"/>
        <family val="2"/>
        <scheme val="minor"/>
      </rPr>
      <t>31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÷16</t>
    </r>
    <r>
      <rPr>
        <vertAlign val="superscript"/>
        <sz val="11"/>
        <color theme="1"/>
        <rFont val="Aptos Narrow"/>
        <family val="2"/>
      </rPr>
      <t>01</t>
    </r>
  </si>
  <si>
    <r>
      <t>11</t>
    </r>
    <r>
      <rPr>
        <vertAlign val="superscript"/>
        <sz val="11"/>
        <color theme="1"/>
        <rFont val="Aptos Narrow"/>
        <family val="2"/>
        <scheme val="minor"/>
      </rPr>
      <t>47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÷12</t>
    </r>
    <r>
      <rPr>
        <vertAlign val="superscript"/>
        <sz val="11"/>
        <color theme="1"/>
        <rFont val="Aptos Narrow"/>
        <family val="2"/>
      </rPr>
      <t>18</t>
    </r>
  </si>
  <si>
    <r>
      <t>14</t>
    </r>
    <r>
      <rPr>
        <vertAlign val="superscript"/>
        <sz val="11"/>
        <color theme="1"/>
        <rFont val="Aptos Narrow"/>
        <family val="2"/>
        <scheme val="minor"/>
      </rPr>
      <t xml:space="preserve">59 </t>
    </r>
    <r>
      <rPr>
        <sz val="11"/>
        <color theme="1"/>
        <rFont val="Aptos Narrow"/>
        <family val="2"/>
      </rPr>
      <t>÷15</t>
    </r>
    <r>
      <rPr>
        <vertAlign val="superscript"/>
        <sz val="11"/>
        <color theme="1"/>
        <rFont val="Aptos Narrow"/>
        <family val="2"/>
      </rPr>
      <t>29</t>
    </r>
  </si>
  <si>
    <r>
      <t>9</t>
    </r>
    <r>
      <rPr>
        <vertAlign val="superscript"/>
        <sz val="11"/>
        <color theme="1"/>
        <rFont val="Aptos Narrow"/>
        <family val="2"/>
        <scheme val="minor"/>
      </rPr>
      <t>46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÷10</t>
    </r>
    <r>
      <rPr>
        <vertAlign val="superscript"/>
        <sz val="11"/>
        <color theme="1"/>
        <rFont val="Aptos Narrow"/>
        <family val="2"/>
      </rPr>
      <t>17</t>
    </r>
  </si>
  <si>
    <r>
      <t>13</t>
    </r>
    <r>
      <rPr>
        <vertAlign val="superscript"/>
        <sz val="11"/>
        <color theme="1"/>
        <rFont val="Aptos Narrow"/>
        <family val="2"/>
        <scheme val="minor"/>
      </rPr>
      <t>22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÷13</t>
    </r>
    <r>
      <rPr>
        <vertAlign val="superscript"/>
        <sz val="11"/>
        <color theme="1"/>
        <rFont val="Aptos Narrow"/>
        <family val="2"/>
      </rPr>
      <t>52</t>
    </r>
  </si>
  <si>
    <r>
      <t>14</t>
    </r>
    <r>
      <rPr>
        <vertAlign val="superscript"/>
        <sz val="11"/>
        <color theme="1"/>
        <rFont val="Aptos Narrow"/>
        <family val="2"/>
        <scheme val="minor"/>
      </rPr>
      <t>48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÷15</t>
    </r>
    <r>
      <rPr>
        <vertAlign val="superscript"/>
        <sz val="11"/>
        <color theme="1"/>
        <rFont val="Aptos Narrow"/>
        <family val="2"/>
      </rPr>
      <t>18</t>
    </r>
  </si>
  <si>
    <r>
      <t>9</t>
    </r>
    <r>
      <rPr>
        <vertAlign val="superscript"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÷9</t>
    </r>
    <r>
      <rPr>
        <vertAlign val="superscript"/>
        <sz val="11"/>
        <color theme="1"/>
        <rFont val="Aptos Narrow"/>
        <family val="2"/>
      </rPr>
      <t>45</t>
    </r>
  </si>
  <si>
    <r>
      <t>10</t>
    </r>
    <r>
      <rPr>
        <vertAlign val="superscript"/>
        <sz val="11"/>
        <color theme="1"/>
        <rFont val="Aptos Narrow"/>
        <family val="2"/>
        <scheme val="minor"/>
      </rPr>
      <t>37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÷11</t>
    </r>
    <r>
      <rPr>
        <vertAlign val="superscript"/>
        <sz val="11"/>
        <color theme="1"/>
        <rFont val="Aptos Narrow"/>
        <family val="2"/>
      </rPr>
      <t>09</t>
    </r>
  </si>
  <si>
    <r>
      <t>13</t>
    </r>
    <r>
      <rPr>
        <vertAlign val="superscript"/>
        <sz val="11"/>
        <color theme="1"/>
        <rFont val="Aptos Narrow"/>
        <family val="2"/>
        <scheme val="minor"/>
      </rPr>
      <t>56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÷14</t>
    </r>
    <r>
      <rPr>
        <vertAlign val="superscript"/>
        <sz val="11"/>
        <color theme="1"/>
        <rFont val="Aptos Narrow"/>
        <family val="2"/>
      </rPr>
      <t>26</t>
    </r>
  </si>
  <si>
    <r>
      <t>11</t>
    </r>
    <r>
      <rPr>
        <vertAlign val="superscript"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÷11</t>
    </r>
    <r>
      <rPr>
        <vertAlign val="superscript"/>
        <sz val="11"/>
        <color theme="1"/>
        <rFont val="Aptos Narrow"/>
        <family val="2"/>
      </rPr>
      <t>45</t>
    </r>
  </si>
  <si>
    <r>
      <t>14</t>
    </r>
    <r>
      <rPr>
        <vertAlign val="superscript"/>
        <sz val="11"/>
        <color theme="1"/>
        <rFont val="Aptos Narrow"/>
        <family val="2"/>
        <scheme val="minor"/>
      </rPr>
      <t>28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÷14</t>
    </r>
    <r>
      <rPr>
        <vertAlign val="superscript"/>
        <sz val="11"/>
        <color theme="1"/>
        <rFont val="Aptos Narrow"/>
        <family val="2"/>
      </rPr>
      <t>58</t>
    </r>
  </si>
  <si>
    <r>
      <t>11</t>
    </r>
    <r>
      <rPr>
        <vertAlign val="superscript"/>
        <sz val="11"/>
        <color theme="1"/>
        <rFont val="Aptos Narrow"/>
        <family val="2"/>
        <scheme val="minor"/>
      </rPr>
      <t>43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÷12</t>
    </r>
    <r>
      <rPr>
        <vertAlign val="superscript"/>
        <sz val="11"/>
        <color theme="1"/>
        <rFont val="Aptos Narrow"/>
        <family val="2"/>
      </rPr>
      <t>14</t>
    </r>
  </si>
  <si>
    <r>
      <t>16</t>
    </r>
    <r>
      <rPr>
        <vertAlign val="superscript"/>
        <sz val="11"/>
        <color theme="1"/>
        <rFont val="Aptos Narrow"/>
        <family val="2"/>
        <scheme val="minor"/>
      </rPr>
      <t>35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</rPr>
      <t>÷17</t>
    </r>
    <r>
      <rPr>
        <vertAlign val="superscript"/>
        <sz val="11"/>
        <color theme="1"/>
        <rFont val="Aptos Narrow"/>
        <family val="2"/>
      </rPr>
      <t>05</t>
    </r>
  </si>
  <si>
    <t>2.29_24</t>
  </si>
  <si>
    <t>3.29_24</t>
  </si>
  <si>
    <t>4.29_24</t>
  </si>
  <si>
    <t>365052-241217</t>
  </si>
  <si>
    <t>365052-241218</t>
  </si>
  <si>
    <t>365052-241219</t>
  </si>
  <si>
    <t>365052-241220</t>
  </si>
  <si>
    <t>379073-269723</t>
  </si>
  <si>
    <t>379073-269724</t>
  </si>
  <si>
    <t>379073-269725</t>
  </si>
  <si>
    <t>379073-269726</t>
  </si>
  <si>
    <t>392030-304195</t>
  </si>
  <si>
    <t>392030-304196</t>
  </si>
  <si>
    <t>392030-304197</t>
  </si>
  <si>
    <t>392030-304198</t>
  </si>
  <si>
    <t>TE</t>
  </si>
  <si>
    <t>DR</t>
  </si>
  <si>
    <t>T.LOG &amp; CO S.r.l.</t>
  </si>
  <si>
    <t>PIERINI LUCA</t>
  </si>
  <si>
    <t>PADANA RECUPERI</t>
  </si>
  <si>
    <t>REAL S.r.l.</t>
  </si>
  <si>
    <t>ECOVALDIPERGA S.R.L.S.</t>
  </si>
  <si>
    <t>LIVORNO ECO-LOGISTIC SRL</t>
  </si>
  <si>
    <t>BOGI VINICIO SRL</t>
  </si>
  <si>
    <t>ECOVIP</t>
  </si>
  <si>
    <t>ECOS S.R.L.</t>
  </si>
  <si>
    <t>ECORICICLI S.r.l.</t>
  </si>
  <si>
    <t>Giacenza al                31/12/23</t>
  </si>
  <si>
    <t>Giacenza al                 31/12/24</t>
  </si>
  <si>
    <t>SOGGETTO TRASPORTATORE</t>
  </si>
  <si>
    <t>SOGGETTO GESTORE IMPIANTO                                    DI TRATTAMENTO</t>
  </si>
  <si>
    <t>Unità di appartenenza</t>
  </si>
  <si>
    <t xml:space="preserve">Sigla          </t>
  </si>
  <si>
    <t>Fase di Processo</t>
  </si>
  <si>
    <t>Origine</t>
  </si>
  <si>
    <t>Scarico nave</t>
  </si>
  <si>
    <t>Prepulitura lato mare</t>
  </si>
  <si>
    <t>Trasferimento grano</t>
  </si>
  <si>
    <t>Prepulitura lato terra T</t>
  </si>
  <si>
    <t>Prepulitura lato terra D</t>
  </si>
  <si>
    <t>Scarico camion</t>
  </si>
  <si>
    <t>Scarico vagoni</t>
  </si>
  <si>
    <t>TRASPORTO</t>
  </si>
  <si>
    <t>PREPULITURA</t>
  </si>
  <si>
    <t>MOVIMENTAZIONE</t>
  </si>
  <si>
    <t>trasportatore 
torre</t>
  </si>
  <si>
    <t>nastro in banchina</t>
  </si>
  <si>
    <t>trasportatore</t>
  </si>
  <si>
    <t>aspiraz. generale</t>
  </si>
  <si>
    <t>vibroblok</t>
  </si>
  <si>
    <t>bilancia</t>
  </si>
  <si>
    <t>cappe aspirazione</t>
  </si>
  <si>
    <t>pompa celle</t>
  </si>
  <si>
    <t>pompa macinatrice</t>
  </si>
  <si>
    <t>1a pulitura g.t.</t>
  </si>
  <si>
    <t>1a , 2 a pulitura g.t.</t>
  </si>
  <si>
    <t>1a pulitura g.d.</t>
  </si>
  <si>
    <t>2 a pulitura g.d.</t>
  </si>
  <si>
    <t>mac. scarti</t>
  </si>
  <si>
    <t>molino a duro</t>
  </si>
  <si>
    <t>molino a tenero</t>
  </si>
  <si>
    <t>cubettatrici</t>
  </si>
  <si>
    <t>silos sottoprodotti</t>
  </si>
  <si>
    <t>Asp. Silos Semola</t>
  </si>
  <si>
    <t xml:space="preserve">Asp. Silos Semola </t>
  </si>
  <si>
    <t>Asp. Stacc. Sem.</t>
  </si>
  <si>
    <t xml:space="preserve">Asp. Silos Rinfusa </t>
  </si>
  <si>
    <t>PULITURA</t>
  </si>
  <si>
    <t>MACINAZIONE</t>
  </si>
  <si>
    <t>Rapporti                                                di Prova n°</t>
  </si>
  <si>
    <t>Scarti e sottoprodotti</t>
  </si>
  <si>
    <t>Pulitura grano tenero</t>
  </si>
  <si>
    <t>Pulitura grano duro</t>
  </si>
  <si>
    <t>Molino a duro</t>
  </si>
  <si>
    <t>Molino tenero</t>
  </si>
  <si>
    <t>Carico rinfusa sottoprodotti</t>
  </si>
  <si>
    <t>Carico rinfusa prodotti</t>
  </si>
  <si>
    <t>Asp. Silos Rinfusa</t>
  </si>
  <si>
    <t>Asp. Silos Farina</t>
  </si>
  <si>
    <t>Asp. Silos Misc.</t>
  </si>
  <si>
    <t>Asp. Silos Minic.</t>
  </si>
  <si>
    <t>Asp. Silos Insacco</t>
  </si>
  <si>
    <t>Asp. Insacco</t>
  </si>
  <si>
    <t>Asp. Miscelazione</t>
  </si>
  <si>
    <t>Miscelazione</t>
  </si>
  <si>
    <t>Insacco</t>
  </si>
  <si>
    <t>Grano Duro e Tenero</t>
  </si>
  <si>
    <t>E112</t>
  </si>
  <si>
    <t>E113</t>
  </si>
  <si>
    <t>MANUTENZIONE</t>
  </si>
  <si>
    <t>Asp. Saldatura</t>
  </si>
  <si>
    <t>Manutenzione</t>
  </si>
  <si>
    <t>Ripasso Farine</t>
  </si>
  <si>
    <t>Insacco Germe</t>
  </si>
  <si>
    <t>Modalità di controllo</t>
  </si>
  <si>
    <t>discontinuo</t>
  </si>
  <si>
    <t>Unica</t>
  </si>
  <si>
    <t>Polvere</t>
  </si>
  <si>
    <t>Cr</t>
  </si>
  <si>
    <t>Ni</t>
  </si>
  <si>
    <t>Cd</t>
  </si>
  <si>
    <t>Co</t>
  </si>
  <si>
    <t>Pb</t>
  </si>
  <si>
    <t>Sn</t>
  </si>
  <si>
    <t>polvere di farina</t>
  </si>
  <si>
    <t>polvere di grano</t>
  </si>
  <si>
    <t>polvere di semola</t>
  </si>
  <si>
    <t>polveri cubetti cruscami</t>
  </si>
  <si>
    <t>polvere da cruscami</t>
  </si>
  <si>
    <t>polvere sem./far.</t>
  </si>
  <si>
    <t>polvere Sem./Far.</t>
  </si>
  <si>
    <t xml:space="preserve">Parametro      </t>
  </si>
  <si>
    <r>
      <t>Concentrazione limite
mg/Nm</t>
    </r>
    <r>
      <rPr>
        <b/>
        <vertAlign val="superscript"/>
        <sz val="6"/>
        <rFont val="Calibri"/>
        <family val="2"/>
      </rPr>
      <t>3</t>
    </r>
  </si>
  <si>
    <t>Inquinanti emessi                mg/Nm3</t>
  </si>
  <si>
    <t>393862-306863,864,865</t>
  </si>
  <si>
    <t>371501-250997,998,999</t>
  </si>
  <si>
    <t>371502-251001,002,003</t>
  </si>
  <si>
    <r>
      <t>Portata                   Nm</t>
    </r>
    <r>
      <rPr>
        <b/>
        <vertAlign val="superscript"/>
        <sz val="6"/>
        <rFont val="Calibri"/>
        <family val="2"/>
      </rPr>
      <t>3</t>
    </r>
    <r>
      <rPr>
        <b/>
        <sz val="6"/>
        <rFont val="Calibri"/>
        <family val="2"/>
      </rPr>
      <t>/h</t>
    </r>
  </si>
  <si>
    <t>Cruscami</t>
  </si>
  <si>
    <t>Valore (t/anno)</t>
  </si>
  <si>
    <t>Riferimento alle registrazioni o altri              documenti del SG                                               Eventuali calcoli</t>
  </si>
  <si>
    <r>
      <rPr>
        <b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 xml:space="preserve"> consumo di acqua</t>
    </r>
  </si>
  <si>
    <r>
      <rPr>
        <b/>
        <sz val="11"/>
        <color theme="1"/>
        <rFont val="Arial"/>
        <family val="2"/>
      </rPr>
      <t>WP</t>
    </r>
    <r>
      <rPr>
        <sz val="11"/>
        <color theme="1"/>
        <rFont val="Arial"/>
        <family val="2"/>
      </rPr>
      <t xml:space="preserve"> fabbisogno idrico complessivo</t>
    </r>
  </si>
  <si>
    <r>
      <rPr>
        <b/>
        <sz val="11"/>
        <color theme="1"/>
        <rFont val="Arial"/>
        <family val="2"/>
      </rPr>
      <t>W1</t>
    </r>
    <r>
      <rPr>
        <sz val="11"/>
        <color theme="1"/>
        <rFont val="Arial"/>
        <family val="2"/>
      </rPr>
      <t xml:space="preserve"> acque reflue prodotte</t>
    </r>
  </si>
  <si>
    <r>
      <rPr>
        <b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 xml:space="preserve"> acqua evaporata</t>
    </r>
  </si>
  <si>
    <r>
      <rPr>
        <b/>
        <sz val="11"/>
        <color theme="1"/>
        <rFont val="Arial"/>
        <family val="2"/>
      </rPr>
      <t>W</t>
    </r>
    <r>
      <rPr>
        <sz val="11"/>
        <color theme="1"/>
        <rFont val="Arial"/>
        <family val="2"/>
      </rPr>
      <t xml:space="preserve"> acque reflue destinate allo scarico</t>
    </r>
  </si>
  <si>
    <r>
      <rPr>
        <b/>
        <sz val="11"/>
        <color theme="1"/>
        <rFont val="Arial"/>
        <family val="2"/>
      </rPr>
      <t>R</t>
    </r>
    <r>
      <rPr>
        <sz val="11"/>
        <color theme="1"/>
        <rFont val="Arial"/>
        <family val="2"/>
      </rPr>
      <t xml:space="preserve"> acque reflue riciclate</t>
    </r>
  </si>
  <si>
    <t>n.d.</t>
  </si>
  <si>
    <t>bilancio idrico ciclo produttivo</t>
  </si>
  <si>
    <t>Flusso                                                         (rif. acquedotto industriale)</t>
  </si>
  <si>
    <t>Matricola</t>
  </si>
  <si>
    <t>Codice</t>
  </si>
  <si>
    <t>u.m.</t>
  </si>
  <si>
    <t>Altri ingredienti</t>
  </si>
  <si>
    <t>Imballaggi - Sacchi per confezionamento</t>
  </si>
  <si>
    <t>Imballaggi - Film estensibile per confezionamento</t>
  </si>
  <si>
    <t>acquedotto - impianto antincendio</t>
  </si>
  <si>
    <t>acquedotto - servizi igienico sanitari</t>
  </si>
  <si>
    <t>acquedotto industriale - ciclo produttivo</t>
  </si>
  <si>
    <t>Indici di monitoraggio della prestazione</t>
  </si>
  <si>
    <t>Consumo specifico di energia</t>
  </si>
  <si>
    <t xml:space="preserve">Consumo specifico di acqua </t>
  </si>
  <si>
    <t>Rapporto tra il consumo di acqua ed il tasso di produzione</t>
  </si>
  <si>
    <t>Unità di misura</t>
  </si>
  <si>
    <t>m3/t</t>
  </si>
  <si>
    <t>kWh/t</t>
  </si>
  <si>
    <t>Tabella 14 delle BATc sigla FDM</t>
  </si>
  <si>
    <t>Riscontro 2024</t>
  </si>
  <si>
    <t>GAS metano consumato (m3):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</si>
</sst>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dd\.mm\.yyyy;@"/>
    <numFmt numFmtId="165" formatCode="0.0"/>
    <numFmt numFmtId="166" formatCode="0.000"/>
    <numFmt numFmtId="167" formatCode="0.0000"/>
    <numFmt numFmtId="169" formatCode="_-* #,##0_-;\-* #,##0_-;_-* &quot;-&quot;??_-;_-@_-"/>
    <numFmt numFmtId="171" formatCode="_-&quot;€&quot;\ * #,##0.00_-;\-&quot;€&quot;\ * #,##0.00_-;_-&quot;€&quot;\ * &quot;-&quot;??_-;_-@_-"/>
    <numFmt numFmtId="172" formatCode="0;[Red]0"/>
    <numFmt numFmtId="173" formatCode="0.0;[Red]0.0"/>
    <numFmt numFmtId="174" formatCode="dd/mm/yyyy;@"/>
    <numFmt numFmtId="175" formatCode="0.00;[Red]0.00"/>
    <numFmt numFmtId="176" formatCode="0.000000"/>
    <numFmt numFmtId="177" formatCode="#,##0.0"/>
    <numFmt numFmtId="178" formatCode="0.0000000"/>
    <numFmt numFmtId="179" formatCode="#,##0.000"/>
  </numFmts>
  <fonts count="53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7"/>
      <name val="Arial"/>
      <family val="2"/>
    </font>
    <font>
      <b/>
      <sz val="7"/>
      <name val="Arial"/>
      <family val="2"/>
    </font>
    <font>
      <sz val="7"/>
      <color rgb="FF000000"/>
      <name val="Arial MT"/>
      <family val="2"/>
    </font>
    <font>
      <sz val="7"/>
      <name val="Arial MT"/>
    </font>
    <font>
      <sz val="7"/>
      <name val="Arial MT"/>
      <family val="2"/>
    </font>
    <font>
      <b/>
      <sz val="7"/>
      <color rgb="FFFF0000"/>
      <name val="Arial MT"/>
    </font>
    <font>
      <sz val="7"/>
      <name val="Arial"/>
      <family val="2"/>
    </font>
    <font>
      <vertAlign val="subscript"/>
      <sz val="7"/>
      <name val="Arial MT"/>
    </font>
    <font>
      <b/>
      <sz val="7"/>
      <name val="Arial MT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0"/>
      <color rgb="FF000000"/>
      <name val="Times New Roman"/>
      <family val="1"/>
    </font>
    <font>
      <sz val="7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61"/>
      <name val="Arial"/>
      <family val="2"/>
    </font>
    <font>
      <sz val="10"/>
      <color indexed="12"/>
      <name val="Calibri"/>
      <family val="2"/>
    </font>
    <font>
      <vertAlign val="superscript"/>
      <sz val="11"/>
      <color theme="1"/>
      <name val="Arial"/>
      <family val="2"/>
    </font>
    <font>
      <sz val="4"/>
      <color rgb="FF000000"/>
      <name val="Calibri"/>
      <family val="2"/>
    </font>
    <font>
      <sz val="4"/>
      <name val="Calibri"/>
      <family val="2"/>
    </font>
    <font>
      <sz val="4"/>
      <name val="Calibri"/>
      <family val="1"/>
    </font>
    <font>
      <b/>
      <sz val="4"/>
      <color rgb="FFFF0000"/>
      <name val="Calibri"/>
      <family val="2"/>
    </font>
    <font>
      <sz val="4"/>
      <color rgb="FF000000"/>
      <name val="Aptos Narrow"/>
      <family val="2"/>
      <scheme val="minor"/>
    </font>
    <font>
      <b/>
      <sz val="4"/>
      <name val="Calibri"/>
      <family val="2"/>
    </font>
    <font>
      <b/>
      <sz val="4"/>
      <name val="Calibri"/>
      <family val="1"/>
    </font>
    <font>
      <b/>
      <sz val="4"/>
      <color rgb="FF000000"/>
      <name val="Calibri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4"/>
      <color theme="1"/>
      <name val="Calibri"/>
      <family val="2"/>
    </font>
    <font>
      <b/>
      <sz val="11"/>
      <name val="Aptos Narrow"/>
      <family val="2"/>
      <scheme val="minor"/>
    </font>
    <font>
      <sz val="10"/>
      <color theme="1"/>
      <name val="Arial"/>
      <family val="2"/>
    </font>
    <font>
      <b/>
      <sz val="6"/>
      <name val="Calibri"/>
      <family val="2"/>
    </font>
    <font>
      <b/>
      <sz val="6"/>
      <name val="Calibri"/>
      <family val="1"/>
    </font>
    <font>
      <sz val="6"/>
      <name val="Calibri"/>
      <family val="1"/>
    </font>
    <font>
      <sz val="6"/>
      <name val="Calibri"/>
      <family val="2"/>
    </font>
    <font>
      <sz val="6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vertAlign val="superscript"/>
      <sz val="6"/>
      <name val="Calibri"/>
      <family val="2"/>
    </font>
    <font>
      <b/>
      <sz val="6"/>
      <color rgb="FF000000"/>
      <name val="Calibri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15" fillId="0" borderId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13" fillId="0" borderId="0"/>
    <xf numFmtId="0" fontId="46" fillId="0" borderId="0"/>
    <xf numFmtId="0" fontId="47" fillId="0" borderId="0"/>
  </cellStyleXfs>
  <cellXfs count="301">
    <xf numFmtId="0" fontId="0" fillId="0" borderId="0" xfId="0"/>
    <xf numFmtId="0" fontId="1" fillId="0" borderId="0" xfId="1" applyAlignment="1">
      <alignment horizontal="left" vertical="top"/>
    </xf>
    <xf numFmtId="0" fontId="5" fillId="0" borderId="3" xfId="1" applyFont="1" applyBorder="1" applyAlignment="1">
      <alignment horizontal="left" vertical="top" wrapText="1"/>
    </xf>
    <xf numFmtId="0" fontId="1" fillId="2" borderId="0" xfId="1" applyFill="1" applyAlignment="1">
      <alignment horizontal="left" vertical="top"/>
    </xf>
    <xf numFmtId="0" fontId="1" fillId="0" borderId="0" xfId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5" fillId="0" borderId="0" xfId="1" applyFont="1" applyAlignment="1">
      <alignment horizontal="left" vertical="top" wrapText="1"/>
    </xf>
    <xf numFmtId="167" fontId="4" fillId="2" borderId="0" xfId="1" applyNumberFormat="1" applyFont="1" applyFill="1" applyAlignment="1">
      <alignment horizontal="left" vertical="top" shrinkToFit="1"/>
    </xf>
    <xf numFmtId="167" fontId="7" fillId="2" borderId="0" xfId="1" applyNumberFormat="1" applyFont="1" applyFill="1" applyAlignment="1">
      <alignment horizontal="left" vertical="top" shrinkToFit="1"/>
    </xf>
    <xf numFmtId="2" fontId="4" fillId="2" borderId="3" xfId="1" applyNumberFormat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 wrapText="1"/>
    </xf>
    <xf numFmtId="165" fontId="4" fillId="2" borderId="3" xfId="1" applyNumberFormat="1" applyFont="1" applyFill="1" applyBorder="1" applyAlignment="1">
      <alignment horizontal="center" vertical="center" shrinkToFit="1"/>
    </xf>
    <xf numFmtId="167" fontId="4" fillId="2" borderId="3" xfId="1" applyNumberFormat="1" applyFont="1" applyFill="1" applyBorder="1" applyAlignment="1">
      <alignment horizontal="center" vertical="center" shrinkToFit="1"/>
    </xf>
    <xf numFmtId="167" fontId="7" fillId="2" borderId="3" xfId="1" applyNumberFormat="1" applyFont="1" applyFill="1" applyBorder="1" applyAlignment="1">
      <alignment horizontal="center" vertical="center" shrinkToFit="1"/>
    </xf>
    <xf numFmtId="3" fontId="4" fillId="2" borderId="3" xfId="1" applyNumberFormat="1" applyFont="1" applyFill="1" applyBorder="1" applyAlignment="1">
      <alignment horizontal="center" vertical="center" shrinkToFit="1"/>
    </xf>
    <xf numFmtId="3" fontId="7" fillId="2" borderId="3" xfId="1" applyNumberFormat="1" applyFont="1" applyFill="1" applyBorder="1" applyAlignment="1">
      <alignment horizontal="center" vertical="center" shrinkToFit="1"/>
    </xf>
    <xf numFmtId="0" fontId="5" fillId="0" borderId="3" xfId="1" applyFont="1" applyBorder="1" applyAlignment="1">
      <alignment horizontal="center" vertical="top" wrapText="1"/>
    </xf>
    <xf numFmtId="3" fontId="5" fillId="0" borderId="3" xfId="1" applyNumberFormat="1" applyFont="1" applyBorder="1" applyAlignment="1">
      <alignment horizontal="center" vertical="top" wrapText="1"/>
    </xf>
    <xf numFmtId="3" fontId="7" fillId="2" borderId="7" xfId="1" applyNumberFormat="1" applyFont="1" applyFill="1" applyBorder="1" applyAlignment="1">
      <alignment horizontal="center" vertical="center" shrinkToFit="1"/>
    </xf>
    <xf numFmtId="3" fontId="7" fillId="2" borderId="8" xfId="1" applyNumberFormat="1" applyFont="1" applyFill="1" applyBorder="1" applyAlignment="1">
      <alignment horizontal="center" vertical="center" shrinkToFit="1"/>
    </xf>
    <xf numFmtId="167" fontId="7" fillId="2" borderId="4" xfId="1" applyNumberFormat="1" applyFont="1" applyFill="1" applyBorder="1" applyAlignment="1">
      <alignment horizontal="center" vertical="center" shrinkToFit="1"/>
    </xf>
    <xf numFmtId="2" fontId="4" fillId="2" borderId="7" xfId="1" applyNumberFormat="1" applyFont="1" applyFill="1" applyBorder="1" applyAlignment="1">
      <alignment horizontal="center" vertical="center" shrinkToFit="1"/>
    </xf>
    <xf numFmtId="0" fontId="7" fillId="2" borderId="7" xfId="1" applyFont="1" applyFill="1" applyBorder="1" applyAlignment="1">
      <alignment horizontal="center" vertical="center" wrapText="1"/>
    </xf>
    <xf numFmtId="165" fontId="4" fillId="2" borderId="7" xfId="1" applyNumberFormat="1" applyFont="1" applyFill="1" applyBorder="1" applyAlignment="1">
      <alignment horizontal="center" vertical="center" shrinkToFit="1"/>
    </xf>
    <xf numFmtId="167" fontId="4" fillId="2" borderId="7" xfId="1" applyNumberFormat="1" applyFont="1" applyFill="1" applyBorder="1" applyAlignment="1">
      <alignment horizontal="center" vertical="center" shrinkToFit="1"/>
    </xf>
    <xf numFmtId="3" fontId="4" fillId="2" borderId="7" xfId="1" applyNumberFormat="1" applyFont="1" applyFill="1" applyBorder="1" applyAlignment="1">
      <alignment horizontal="center" vertical="center" shrinkToFit="1"/>
    </xf>
    <xf numFmtId="0" fontId="5" fillId="2" borderId="7" xfId="1" applyFont="1" applyFill="1" applyBorder="1" applyAlignment="1">
      <alignment horizontal="center" vertical="center" wrapText="1"/>
    </xf>
    <xf numFmtId="167" fontId="5" fillId="2" borderId="7" xfId="1" applyNumberFormat="1" applyFont="1" applyFill="1" applyBorder="1" applyAlignment="1">
      <alignment horizontal="center" vertical="center" shrinkToFit="1"/>
    </xf>
    <xf numFmtId="3" fontId="7" fillId="2" borderId="6" xfId="1" applyNumberFormat="1" applyFont="1" applyFill="1" applyBorder="1" applyAlignment="1">
      <alignment horizontal="center" vertical="center" shrinkToFit="1"/>
    </xf>
    <xf numFmtId="0" fontId="14" fillId="2" borderId="1" xfId="1" quotePrefix="1" applyFont="1" applyFill="1" applyBorder="1" applyAlignment="1">
      <alignment horizontal="center" vertical="top"/>
    </xf>
    <xf numFmtId="0" fontId="14" fillId="2" borderId="1" xfId="1" applyFont="1" applyFill="1" applyBorder="1" applyAlignment="1">
      <alignment horizontal="center" vertical="top"/>
    </xf>
    <xf numFmtId="2" fontId="7" fillId="2" borderId="7" xfId="1" applyNumberFormat="1" applyFont="1" applyFill="1" applyBorder="1" applyAlignment="1">
      <alignment horizontal="center" vertical="center" shrinkToFit="1"/>
    </xf>
    <xf numFmtId="0" fontId="14" fillId="2" borderId="1" xfId="1" quotePrefix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166" fontId="4" fillId="2" borderId="7" xfId="1" applyNumberFormat="1" applyFont="1" applyFill="1" applyBorder="1" applyAlignment="1">
      <alignment horizontal="center" vertical="center" shrinkToFit="1"/>
    </xf>
    <xf numFmtId="0" fontId="16" fillId="0" borderId="0" xfId="2" applyFont="1"/>
    <xf numFmtId="0" fontId="15" fillId="0" borderId="0" xfId="2"/>
    <xf numFmtId="0" fontId="16" fillId="0" borderId="12" xfId="2" applyFont="1" applyBorder="1"/>
    <xf numFmtId="0" fontId="17" fillId="0" borderId="15" xfId="2" applyFont="1" applyBorder="1"/>
    <xf numFmtId="0" fontId="17" fillId="0" borderId="17" xfId="2" applyFont="1" applyBorder="1"/>
    <xf numFmtId="0" fontId="16" fillId="0" borderId="21" xfId="2" applyFont="1" applyBorder="1" applyAlignment="1">
      <alignment horizontal="center"/>
    </xf>
    <xf numFmtId="0" fontId="18" fillId="0" borderId="0" xfId="2" applyFont="1"/>
    <xf numFmtId="169" fontId="16" fillId="0" borderId="13" xfId="4" applyNumberFormat="1" applyFont="1" applyBorder="1" applyAlignment="1">
      <alignment horizontal="center"/>
    </xf>
    <xf numFmtId="0" fontId="16" fillId="0" borderId="14" xfId="2" applyFont="1" applyBorder="1" applyAlignment="1">
      <alignment horizontal="center"/>
    </xf>
    <xf numFmtId="0" fontId="16" fillId="0" borderId="22" xfId="2" applyFont="1" applyBorder="1" applyAlignment="1">
      <alignment horizontal="center"/>
    </xf>
    <xf numFmtId="169" fontId="15" fillId="0" borderId="1" xfId="4" applyNumberFormat="1" applyBorder="1"/>
    <xf numFmtId="9" fontId="15" fillId="0" borderId="1" xfId="5" applyBorder="1" applyAlignment="1">
      <alignment horizontal="center"/>
    </xf>
    <xf numFmtId="169" fontId="15" fillId="0" borderId="16" xfId="2" applyNumberFormat="1" applyBorder="1"/>
    <xf numFmtId="169" fontId="0" fillId="0" borderId="23" xfId="4" applyNumberFormat="1" applyFont="1" applyBorder="1"/>
    <xf numFmtId="169" fontId="15" fillId="0" borderId="0" xfId="4" applyNumberFormat="1"/>
    <xf numFmtId="169" fontId="15" fillId="0" borderId="1" xfId="4" applyNumberFormat="1" applyFont="1" applyBorder="1"/>
    <xf numFmtId="169" fontId="15" fillId="0" borderId="23" xfId="4" applyNumberFormat="1" applyFont="1" applyBorder="1"/>
    <xf numFmtId="169" fontId="0" fillId="0" borderId="24" xfId="4" applyNumberFormat="1" applyFont="1" applyBorder="1"/>
    <xf numFmtId="0" fontId="16" fillId="0" borderId="18" xfId="2" applyFont="1" applyBorder="1"/>
    <xf numFmtId="169" fontId="16" fillId="0" borderId="19" xfId="4" applyNumberFormat="1" applyFont="1" applyBorder="1"/>
    <xf numFmtId="9" fontId="16" fillId="0" borderId="19" xfId="5" applyFont="1" applyBorder="1" applyAlignment="1">
      <alignment horizontal="center"/>
    </xf>
    <xf numFmtId="169" fontId="16" fillId="0" borderId="20" xfId="4" applyNumberFormat="1" applyFont="1" applyBorder="1"/>
    <xf numFmtId="169" fontId="16" fillId="0" borderId="21" xfId="4" applyNumberFormat="1" applyFont="1" applyBorder="1"/>
    <xf numFmtId="169" fontId="16" fillId="0" borderId="0" xfId="4" applyNumberFormat="1" applyFont="1"/>
    <xf numFmtId="41" fontId="19" fillId="0" borderId="0" xfId="2" applyNumberFormat="1" applyFont="1" applyAlignment="1">
      <alignment horizontal="center" vertical="center"/>
    </xf>
    <xf numFmtId="3" fontId="15" fillId="0" borderId="0" xfId="2" applyNumberFormat="1"/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7" applyAlignment="1">
      <alignment horizontal="left" vertical="top"/>
    </xf>
    <xf numFmtId="0" fontId="13" fillId="0" borderId="0" xfId="7" applyAlignment="1">
      <alignment horizontal="center" vertical="top"/>
    </xf>
    <xf numFmtId="1" fontId="21" fillId="3" borderId="3" xfId="7" applyNumberFormat="1" applyFont="1" applyFill="1" applyBorder="1" applyAlignment="1">
      <alignment horizontal="center" vertical="top" shrinkToFit="1"/>
    </xf>
    <xf numFmtId="0" fontId="22" fillId="2" borderId="3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center" vertical="top" wrapText="1"/>
    </xf>
    <xf numFmtId="0" fontId="22" fillId="3" borderId="3" xfId="7" applyFont="1" applyFill="1" applyBorder="1" applyAlignment="1">
      <alignment horizontal="center" vertical="top" wrapText="1"/>
    </xf>
    <xf numFmtId="0" fontId="22" fillId="3" borderId="3" xfId="7" applyFont="1" applyFill="1" applyBorder="1" applyAlignment="1">
      <alignment horizontal="left" vertical="top" wrapText="1"/>
    </xf>
    <xf numFmtId="165" fontId="21" fillId="3" borderId="3" xfId="7" applyNumberFormat="1" applyFont="1" applyFill="1" applyBorder="1" applyAlignment="1">
      <alignment horizontal="center" vertical="top" shrinkToFit="1"/>
    </xf>
    <xf numFmtId="2" fontId="21" fillId="3" borderId="3" xfId="7" applyNumberFormat="1" applyFont="1" applyFill="1" applyBorder="1" applyAlignment="1">
      <alignment horizontal="center" vertical="top" shrinkToFit="1"/>
    </xf>
    <xf numFmtId="166" fontId="21" fillId="3" borderId="3" xfId="7" applyNumberFormat="1" applyFont="1" applyFill="1" applyBorder="1" applyAlignment="1">
      <alignment horizontal="center" vertical="top" shrinkToFit="1"/>
    </xf>
    <xf numFmtId="0" fontId="13" fillId="3" borderId="3" xfId="7" applyFill="1" applyBorder="1" applyAlignment="1">
      <alignment horizontal="left" wrapText="1"/>
    </xf>
    <xf numFmtId="2" fontId="21" fillId="0" borderId="3" xfId="7" applyNumberFormat="1" applyFont="1" applyBorder="1" applyAlignment="1">
      <alignment horizontal="center" vertical="top" shrinkToFit="1"/>
    </xf>
    <xf numFmtId="165" fontId="21" fillId="2" borderId="3" xfId="7" applyNumberFormat="1" applyFont="1" applyFill="1" applyBorder="1" applyAlignment="1">
      <alignment horizontal="center" vertical="top" shrinkToFit="1"/>
    </xf>
    <xf numFmtId="2" fontId="21" fillId="2" borderId="3" xfId="7" applyNumberFormat="1" applyFont="1" applyFill="1" applyBorder="1" applyAlignment="1">
      <alignment horizontal="center" vertical="top" shrinkToFit="1"/>
    </xf>
    <xf numFmtId="1" fontId="21" fillId="2" borderId="3" xfId="7" applyNumberFormat="1" applyFont="1" applyFill="1" applyBorder="1" applyAlignment="1">
      <alignment horizontal="center" vertical="top" shrinkToFit="1"/>
    </xf>
    <xf numFmtId="1" fontId="21" fillId="0" borderId="3" xfId="7" applyNumberFormat="1" applyFont="1" applyBorder="1" applyAlignment="1">
      <alignment horizontal="center" vertical="top" shrinkToFit="1"/>
    </xf>
    <xf numFmtId="0" fontId="22" fillId="2" borderId="6" xfId="7" applyFont="1" applyFill="1" applyBorder="1" applyAlignment="1">
      <alignment horizontal="center" vertical="top" wrapText="1"/>
    </xf>
    <xf numFmtId="0" fontId="22" fillId="2" borderId="8" xfId="7" applyFont="1" applyFill="1" applyBorder="1" applyAlignment="1">
      <alignment horizontal="center" vertical="top" wrapText="1"/>
    </xf>
    <xf numFmtId="0" fontId="25" fillId="0" borderId="1" xfId="7" applyFont="1" applyBorder="1" applyAlignment="1">
      <alignment horizontal="center"/>
    </xf>
    <xf numFmtId="0" fontId="21" fillId="0" borderId="1" xfId="7" applyFont="1" applyBorder="1" applyAlignment="1">
      <alignment horizontal="center"/>
    </xf>
    <xf numFmtId="173" fontId="26" fillId="2" borderId="3" xfId="7" applyNumberFormat="1" applyFont="1" applyFill="1" applyBorder="1" applyAlignment="1">
      <alignment horizontal="center" vertical="top" shrinkToFit="1"/>
    </xf>
    <xf numFmtId="0" fontId="26" fillId="3" borderId="3" xfId="7" applyFont="1" applyFill="1" applyBorder="1" applyAlignment="1">
      <alignment horizontal="center" vertical="top" wrapText="1"/>
    </xf>
    <xf numFmtId="0" fontId="13" fillId="0" borderId="0" xfId="7" applyAlignment="1">
      <alignment horizontal="left" wrapText="1"/>
    </xf>
    <xf numFmtId="0" fontId="22" fillId="3" borderId="8" xfId="7" applyFont="1" applyFill="1" applyBorder="1" applyAlignment="1">
      <alignment horizontal="left" vertical="top" wrapText="1"/>
    </xf>
    <xf numFmtId="0" fontId="27" fillId="3" borderId="4" xfId="7" applyFont="1" applyFill="1" applyBorder="1" applyAlignment="1">
      <alignment horizontal="left" vertical="top" wrapText="1"/>
    </xf>
    <xf numFmtId="0" fontId="2" fillId="4" borderId="3" xfId="1" applyFont="1" applyFill="1" applyBorder="1" applyAlignment="1">
      <alignment horizontal="left" vertical="center" wrapText="1"/>
    </xf>
    <xf numFmtId="0" fontId="2" fillId="4" borderId="3" xfId="1" applyFont="1" applyFill="1" applyBorder="1" applyAlignment="1">
      <alignment horizontal="left" vertical="top" wrapText="1"/>
    </xf>
    <xf numFmtId="0" fontId="3" fillId="4" borderId="3" xfId="1" applyFont="1" applyFill="1" applyBorder="1" applyAlignment="1">
      <alignment horizontal="left" vertical="center" wrapText="1"/>
    </xf>
    <xf numFmtId="0" fontId="10" fillId="4" borderId="3" xfId="1" applyFont="1" applyFill="1" applyBorder="1" applyAlignment="1">
      <alignment horizontal="left" vertical="center" wrapText="1"/>
    </xf>
    <xf numFmtId="0" fontId="10" fillId="4" borderId="4" xfId="1" applyFont="1" applyFill="1" applyBorder="1" applyAlignment="1">
      <alignment horizontal="left" vertical="center" wrapText="1"/>
    </xf>
    <xf numFmtId="172" fontId="24" fillId="5" borderId="4" xfId="7" applyNumberFormat="1" applyFont="1" applyFill="1" applyBorder="1" applyAlignment="1">
      <alignment horizontal="center" vertical="top" shrinkToFit="1"/>
    </xf>
    <xf numFmtId="0" fontId="26" fillId="3" borderId="6" xfId="7" applyFont="1" applyFill="1" applyBorder="1" applyAlignment="1">
      <alignment horizontal="center" vertical="top" wrapText="1"/>
    </xf>
    <xf numFmtId="1" fontId="28" fillId="6" borderId="1" xfId="7" applyNumberFormat="1" applyFont="1" applyFill="1" applyBorder="1" applyAlignment="1">
      <alignment horizontal="center" vertical="center" shrinkToFit="1"/>
    </xf>
    <xf numFmtId="1" fontId="21" fillId="6" borderId="1" xfId="7" applyNumberFormat="1" applyFont="1" applyFill="1" applyBorder="1" applyAlignment="1">
      <alignment horizontal="center" vertical="center" shrinkToFit="1"/>
    </xf>
    <xf numFmtId="0" fontId="22" fillId="6" borderId="1" xfId="7" applyFont="1" applyFill="1" applyBorder="1" applyAlignment="1">
      <alignment horizontal="center" vertical="top" wrapText="1"/>
    </xf>
    <xf numFmtId="174" fontId="21" fillId="6" borderId="1" xfId="7" applyNumberFormat="1" applyFont="1" applyFill="1" applyBorder="1" applyAlignment="1">
      <alignment horizontal="center" vertical="center" shrinkToFit="1"/>
    </xf>
    <xf numFmtId="0" fontId="23" fillId="6" borderId="1" xfId="7" applyFont="1" applyFill="1" applyBorder="1" applyAlignment="1">
      <alignment horizontal="center" vertical="top" wrapText="1"/>
    </xf>
    <xf numFmtId="0" fontId="27" fillId="3" borderId="6" xfId="7" applyFont="1" applyFill="1" applyBorder="1" applyAlignment="1">
      <alignment horizontal="center" vertical="top" wrapText="1"/>
    </xf>
    <xf numFmtId="175" fontId="22" fillId="2" borderId="3" xfId="7" applyNumberFormat="1" applyFont="1" applyFill="1" applyBorder="1" applyAlignment="1">
      <alignment horizontal="center" vertical="top" shrinkToFit="1"/>
    </xf>
    <xf numFmtId="172" fontId="24" fillId="5" borderId="3" xfId="7" applyNumberFormat="1" applyFont="1" applyFill="1" applyBorder="1" applyAlignment="1">
      <alignment horizontal="center" vertical="top" shrinkToFit="1"/>
    </xf>
    <xf numFmtId="1" fontId="24" fillId="5" borderId="3" xfId="7" applyNumberFormat="1" applyFont="1" applyFill="1" applyBorder="1" applyAlignment="1">
      <alignment horizontal="center" vertical="top" shrinkToFit="1"/>
    </xf>
    <xf numFmtId="0" fontId="23" fillId="3" borderId="8" xfId="7" applyFont="1" applyFill="1" applyBorder="1" applyAlignment="1">
      <alignment horizontal="left" vertical="top" wrapText="1"/>
    </xf>
    <xf numFmtId="0" fontId="13" fillId="0" borderId="0" xfId="7" applyAlignment="1">
      <alignment horizontal="left" vertical="top" wrapText="1"/>
    </xf>
    <xf numFmtId="0" fontId="22" fillId="3" borderId="25" xfId="7" applyFont="1" applyFill="1" applyBorder="1" applyAlignment="1">
      <alignment horizontal="left" vertical="top" wrapText="1"/>
    </xf>
    <xf numFmtId="0" fontId="22" fillId="3" borderId="4" xfId="7" applyFont="1" applyFill="1" applyBorder="1" applyAlignment="1">
      <alignment horizontal="left" vertical="top" wrapText="1"/>
    </xf>
    <xf numFmtId="0" fontId="22" fillId="3" borderId="4" xfId="7" applyFont="1" applyFill="1" applyBorder="1" applyAlignment="1">
      <alignment horizontal="center" vertical="top" wrapText="1"/>
    </xf>
    <xf numFmtId="0" fontId="21" fillId="3" borderId="3" xfId="7" applyFont="1" applyFill="1" applyBorder="1" applyAlignment="1">
      <alignment horizontal="center" wrapText="1"/>
    </xf>
    <xf numFmtId="0" fontId="21" fillId="6" borderId="1" xfId="7" applyFont="1" applyFill="1" applyBorder="1" applyAlignment="1">
      <alignment horizontal="left" vertical="center"/>
    </xf>
    <xf numFmtId="0" fontId="32" fillId="6" borderId="1" xfId="0" applyFont="1" applyFill="1" applyBorder="1" applyAlignment="1">
      <alignment vertical="center"/>
    </xf>
    <xf numFmtId="0" fontId="22" fillId="3" borderId="1" xfId="7" applyFont="1" applyFill="1" applyBorder="1" applyAlignment="1">
      <alignment horizontal="center" vertical="top" wrapText="1"/>
    </xf>
    <xf numFmtId="0" fontId="22" fillId="2" borderId="4" xfId="7" applyFont="1" applyFill="1" applyBorder="1" applyAlignment="1">
      <alignment horizontal="center" vertical="top" wrapText="1"/>
    </xf>
    <xf numFmtId="0" fontId="22" fillId="2" borderId="1" xfId="7" applyFont="1" applyFill="1" applyBorder="1" applyAlignment="1">
      <alignment horizontal="center" vertical="top" wrapText="1"/>
    </xf>
    <xf numFmtId="0" fontId="21" fillId="0" borderId="1" xfId="7" applyFont="1" applyBorder="1" applyAlignment="1">
      <alignment horizontal="center" vertical="top"/>
    </xf>
    <xf numFmtId="173" fontId="22" fillId="2" borderId="3" xfId="7" applyNumberFormat="1" applyFont="1" applyFill="1" applyBorder="1" applyAlignment="1">
      <alignment horizontal="center" vertical="top" shrinkToFit="1"/>
    </xf>
    <xf numFmtId="0" fontId="26" fillId="3" borderId="7" xfId="7" applyFont="1" applyFill="1" applyBorder="1" applyAlignment="1">
      <alignment horizontal="left" vertical="top" wrapText="1"/>
    </xf>
    <xf numFmtId="0" fontId="26" fillId="3" borderId="26" xfId="7" applyFont="1" applyFill="1" applyBorder="1" applyAlignment="1">
      <alignment horizontal="left" vertical="top" wrapText="1"/>
    </xf>
    <xf numFmtId="0" fontId="22" fillId="3" borderId="26" xfId="7" applyFont="1" applyFill="1" applyBorder="1" applyAlignment="1">
      <alignment horizontal="left" vertical="top" wrapText="1"/>
    </xf>
    <xf numFmtId="0" fontId="26" fillId="3" borderId="1" xfId="7" applyFont="1" applyFill="1" applyBorder="1" applyAlignment="1">
      <alignment horizontal="left" vertical="top" wrapText="1"/>
    </xf>
    <xf numFmtId="0" fontId="21" fillId="0" borderId="1" xfId="7" applyFont="1" applyBorder="1" applyAlignment="1">
      <alignment horizontal="center" vertical="center"/>
    </xf>
    <xf numFmtId="0" fontId="21" fillId="3" borderId="8" xfId="7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/>
    </xf>
    <xf numFmtId="0" fontId="3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0" fontId="38" fillId="2" borderId="3" xfId="7" applyFont="1" applyFill="1" applyBorder="1" applyAlignment="1">
      <alignment horizontal="center" vertical="top" wrapText="1"/>
    </xf>
    <xf numFmtId="1" fontId="39" fillId="2" borderId="3" xfId="7" applyNumberFormat="1" applyFont="1" applyFill="1" applyBorder="1" applyAlignment="1">
      <alignment horizontal="center" vertical="top" shrinkToFit="1"/>
    </xf>
    <xf numFmtId="2" fontId="39" fillId="2" borderId="3" xfId="7" applyNumberFormat="1" applyFont="1" applyFill="1" applyBorder="1" applyAlignment="1">
      <alignment horizontal="center" vertical="top" shrinkToFit="1"/>
    </xf>
    <xf numFmtId="0" fontId="37" fillId="2" borderId="3" xfId="7" applyFont="1" applyFill="1" applyBorder="1" applyAlignment="1">
      <alignment horizontal="center" vertical="top" wrapText="1"/>
    </xf>
    <xf numFmtId="165" fontId="39" fillId="2" borderId="3" xfId="7" applyNumberFormat="1" applyFont="1" applyFill="1" applyBorder="1" applyAlignment="1">
      <alignment horizontal="center" vertical="top" shrinkToFit="1"/>
    </xf>
    <xf numFmtId="0" fontId="13" fillId="2" borderId="0" xfId="7" applyFill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31" fillId="0" borderId="1" xfId="0" applyFont="1" applyBorder="1"/>
    <xf numFmtId="0" fontId="31" fillId="6" borderId="13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72" fontId="22" fillId="2" borderId="3" xfId="7" applyNumberFormat="1" applyFont="1" applyFill="1" applyBorder="1" applyAlignment="1">
      <alignment horizontal="center" vertical="top" shrinkToFit="1"/>
    </xf>
    <xf numFmtId="173" fontId="24" fillId="5" borderId="3" xfId="7" applyNumberFormat="1" applyFont="1" applyFill="1" applyBorder="1" applyAlignment="1">
      <alignment horizontal="center" vertical="top" shrinkToFit="1"/>
    </xf>
    <xf numFmtId="0" fontId="45" fillId="2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7" fillId="2" borderId="6" xfId="7" applyFont="1" applyFill="1" applyBorder="1" applyAlignment="1">
      <alignment horizontal="center" vertical="top" wrapText="1"/>
    </xf>
    <xf numFmtId="0" fontId="38" fillId="2" borderId="6" xfId="7" applyFont="1" applyFill="1" applyBorder="1" applyAlignment="1">
      <alignment horizontal="center" vertical="top" wrapText="1"/>
    </xf>
    <xf numFmtId="2" fontId="39" fillId="2" borderId="6" xfId="7" applyNumberFormat="1" applyFont="1" applyFill="1" applyBorder="1" applyAlignment="1">
      <alignment horizontal="center" vertical="top" shrinkToFit="1"/>
    </xf>
    <xf numFmtId="0" fontId="35" fillId="6" borderId="1" xfId="7" applyFont="1" applyFill="1" applyBorder="1" applyAlignment="1">
      <alignment horizontal="center" vertical="center" wrapText="1"/>
    </xf>
    <xf numFmtId="0" fontId="36" fillId="6" borderId="1" xfId="7" applyFont="1" applyFill="1" applyBorder="1" applyAlignment="1">
      <alignment horizontal="center" vertical="center" wrapText="1"/>
    </xf>
    <xf numFmtId="0" fontId="13" fillId="0" borderId="0" xfId="7" applyAlignment="1">
      <alignment horizontal="center" vertical="center"/>
    </xf>
    <xf numFmtId="0" fontId="33" fillId="7" borderId="27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0" fontId="0" fillId="2" borderId="32" xfId="0" applyFill="1" applyBorder="1"/>
    <xf numFmtId="0" fontId="0" fillId="2" borderId="32" xfId="0" applyFill="1" applyBorder="1" applyAlignment="1">
      <alignment vertical="center"/>
    </xf>
    <xf numFmtId="0" fontId="31" fillId="7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8" fillId="2" borderId="4" xfId="7" applyFont="1" applyFill="1" applyBorder="1" applyAlignment="1">
      <alignment horizontal="center" vertical="top" wrapText="1"/>
    </xf>
    <xf numFmtId="165" fontId="39" fillId="2" borderId="4" xfId="7" applyNumberFormat="1" applyFont="1" applyFill="1" applyBorder="1" applyAlignment="1">
      <alignment horizontal="center" vertical="top" shrinkToFit="1"/>
    </xf>
    <xf numFmtId="0" fontId="37" fillId="2" borderId="4" xfId="7" applyFont="1" applyFill="1" applyBorder="1" applyAlignment="1">
      <alignment horizontal="center" vertical="top" wrapText="1"/>
    </xf>
    <xf numFmtId="0" fontId="38" fillId="2" borderId="1" xfId="7" applyFont="1" applyFill="1" applyBorder="1" applyAlignment="1">
      <alignment horizontal="center" vertical="top" wrapText="1"/>
    </xf>
    <xf numFmtId="0" fontId="39" fillId="0" borderId="1" xfId="7" applyFont="1" applyBorder="1" applyAlignment="1">
      <alignment horizontal="center" vertical="top"/>
    </xf>
    <xf numFmtId="0" fontId="37" fillId="2" borderId="5" xfId="7" applyFont="1" applyFill="1" applyBorder="1" applyAlignment="1">
      <alignment horizontal="center" vertical="top" wrapText="1"/>
    </xf>
    <xf numFmtId="0" fontId="37" fillId="2" borderId="1" xfId="7" applyFont="1" applyFill="1" applyBorder="1" applyAlignment="1">
      <alignment horizontal="center" vertical="top" wrapText="1"/>
    </xf>
    <xf numFmtId="0" fontId="39" fillId="0" borderId="2" xfId="7" applyFont="1" applyBorder="1" applyAlignment="1">
      <alignment horizontal="center" vertical="top"/>
    </xf>
    <xf numFmtId="0" fontId="37" fillId="2" borderId="2" xfId="7" applyFont="1" applyFill="1" applyBorder="1" applyAlignment="1">
      <alignment horizontal="center" vertical="top" wrapText="1"/>
    </xf>
    <xf numFmtId="0" fontId="36" fillId="7" borderId="1" xfId="7" applyFont="1" applyFill="1" applyBorder="1" applyAlignment="1">
      <alignment horizontal="center" vertical="center" wrapText="1"/>
    </xf>
    <xf numFmtId="2" fontId="39" fillId="2" borderId="4" xfId="7" applyNumberFormat="1" applyFont="1" applyFill="1" applyBorder="1" applyAlignment="1">
      <alignment horizontal="center" vertical="top" shrinkToFit="1"/>
    </xf>
    <xf numFmtId="0" fontId="35" fillId="8" borderId="6" xfId="7" applyFont="1" applyFill="1" applyBorder="1" applyAlignment="1">
      <alignment horizontal="center" vertical="top" wrapText="1"/>
    </xf>
    <xf numFmtId="0" fontId="35" fillId="8" borderId="3" xfId="7" applyFont="1" applyFill="1" applyBorder="1" applyAlignment="1">
      <alignment horizontal="center" vertical="top" wrapText="1"/>
    </xf>
    <xf numFmtId="2" fontId="49" fillId="8" borderId="3" xfId="7" applyNumberFormat="1" applyFont="1" applyFill="1" applyBorder="1" applyAlignment="1">
      <alignment horizontal="center" vertical="top" shrinkToFit="1"/>
    </xf>
    <xf numFmtId="165" fontId="49" fillId="8" borderId="3" xfId="7" applyNumberFormat="1" applyFont="1" applyFill="1" applyBorder="1" applyAlignment="1">
      <alignment horizontal="center" vertical="top" shrinkToFit="1"/>
    </xf>
    <xf numFmtId="0" fontId="36" fillId="8" borderId="3" xfId="7" applyFont="1" applyFill="1" applyBorder="1" applyAlignment="1">
      <alignment horizontal="center" vertical="top" wrapText="1"/>
    </xf>
    <xf numFmtId="1" fontId="49" fillId="8" borderId="3" xfId="7" applyNumberFormat="1" applyFont="1" applyFill="1" applyBorder="1" applyAlignment="1">
      <alignment horizontal="center" vertical="top" shrinkToFit="1"/>
    </xf>
    <xf numFmtId="2" fontId="49" fillId="8" borderId="4" xfId="7" applyNumberFormat="1" applyFont="1" applyFill="1" applyBorder="1" applyAlignment="1">
      <alignment horizontal="center" vertical="top" shrinkToFit="1"/>
    </xf>
    <xf numFmtId="176" fontId="49" fillId="8" borderId="1" xfId="7" applyNumberFormat="1" applyFont="1" applyFill="1" applyBorder="1" applyAlignment="1">
      <alignment horizontal="center" vertical="top" shrinkToFit="1"/>
    </xf>
    <xf numFmtId="0" fontId="35" fillId="7" borderId="1" xfId="7" applyFont="1" applyFill="1" applyBorder="1" applyAlignment="1">
      <alignment horizontal="center" vertical="center" wrapText="1"/>
    </xf>
    <xf numFmtId="0" fontId="13" fillId="7" borderId="1" xfId="7" applyFill="1" applyBorder="1" applyAlignment="1">
      <alignment horizontal="center" vertical="center" wrapText="1"/>
    </xf>
    <xf numFmtId="177" fontId="39" fillId="2" borderId="6" xfId="7" applyNumberFormat="1" applyFont="1" applyFill="1" applyBorder="1" applyAlignment="1">
      <alignment horizontal="center" vertical="top" shrinkToFit="1"/>
    </xf>
    <xf numFmtId="177" fontId="39" fillId="2" borderId="3" xfId="7" applyNumberFormat="1" applyFont="1" applyFill="1" applyBorder="1" applyAlignment="1">
      <alignment horizontal="center" vertical="top" shrinkToFit="1"/>
    </xf>
    <xf numFmtId="1" fontId="49" fillId="2" borderId="6" xfId="7" applyNumberFormat="1" applyFont="1" applyFill="1" applyBorder="1" applyAlignment="1">
      <alignment horizontal="center" vertical="top" shrinkToFit="1"/>
    </xf>
    <xf numFmtId="1" fontId="49" fillId="2" borderId="3" xfId="7" applyNumberFormat="1" applyFont="1" applyFill="1" applyBorder="1" applyAlignment="1">
      <alignment horizontal="center" vertical="top" shrinkToFit="1"/>
    </xf>
    <xf numFmtId="1" fontId="49" fillId="2" borderId="4" xfId="7" applyNumberFormat="1" applyFont="1" applyFill="1" applyBorder="1" applyAlignment="1">
      <alignment horizontal="center" vertical="top" shrinkToFit="1"/>
    </xf>
    <xf numFmtId="1" fontId="49" fillId="2" borderId="1" xfId="7" applyNumberFormat="1" applyFont="1" applyFill="1" applyBorder="1" applyAlignment="1">
      <alignment horizontal="center" vertical="top" shrinkToFit="1"/>
    </xf>
    <xf numFmtId="165" fontId="49" fillId="2" borderId="1" xfId="7" applyNumberFormat="1" applyFont="1" applyFill="1" applyBorder="1" applyAlignment="1">
      <alignment horizontal="center" vertical="top" shrinkToFit="1"/>
    </xf>
    <xf numFmtId="177" fontId="39" fillId="2" borderId="4" xfId="7" applyNumberFormat="1" applyFont="1" applyFill="1" applyBorder="1" applyAlignment="1">
      <alignment horizontal="center" vertical="top" shrinkToFit="1"/>
    </xf>
    <xf numFmtId="177" fontId="39" fillId="2" borderId="1" xfId="7" applyNumberFormat="1" applyFont="1" applyFill="1" applyBorder="1" applyAlignment="1">
      <alignment horizontal="center" vertical="top" shrinkToFit="1"/>
    </xf>
    <xf numFmtId="176" fontId="39" fillId="2" borderId="1" xfId="7" applyNumberFormat="1" applyFont="1" applyFill="1" applyBorder="1" applyAlignment="1">
      <alignment horizontal="center" vertical="top" shrinkToFit="1"/>
    </xf>
    <xf numFmtId="2" fontId="39" fillId="2" borderId="1" xfId="7" applyNumberFormat="1" applyFont="1" applyFill="1" applyBorder="1" applyAlignment="1">
      <alignment horizontal="center" vertical="top" shrinkToFit="1"/>
    </xf>
    <xf numFmtId="0" fontId="37" fillId="2" borderId="7" xfId="7" applyFont="1" applyFill="1" applyBorder="1" applyAlignment="1">
      <alignment horizontal="center" vertical="top" wrapText="1"/>
    </xf>
    <xf numFmtId="178" fontId="39" fillId="2" borderId="4" xfId="7" applyNumberFormat="1" applyFont="1" applyFill="1" applyBorder="1" applyAlignment="1">
      <alignment horizontal="center" vertical="top" shrinkToFit="1"/>
    </xf>
    <xf numFmtId="3" fontId="37" fillId="2" borderId="6" xfId="7" applyNumberFormat="1" applyFont="1" applyFill="1" applyBorder="1" applyAlignment="1">
      <alignment horizontal="center" vertical="top" wrapText="1"/>
    </xf>
    <xf numFmtId="3" fontId="37" fillId="2" borderId="5" xfId="7" applyNumberFormat="1" applyFont="1" applyFill="1" applyBorder="1" applyAlignment="1">
      <alignment horizontal="center" vertical="top" wrapText="1"/>
    </xf>
    <xf numFmtId="0" fontId="11" fillId="0" borderId="1" xfId="0" applyFont="1" applyBorder="1"/>
    <xf numFmtId="0" fontId="11" fillId="4" borderId="1" xfId="0" applyFont="1" applyFill="1" applyBorder="1" applyAlignment="1">
      <alignment horizontal="center" vertical="center" wrapText="1"/>
    </xf>
    <xf numFmtId="0" fontId="51" fillId="0" borderId="0" xfId="0" applyFont="1"/>
    <xf numFmtId="0" fontId="11" fillId="6" borderId="1" xfId="0" applyFont="1" applyFill="1" applyBorder="1" applyAlignment="1">
      <alignment vertical="center" wrapText="1"/>
    </xf>
    <xf numFmtId="3" fontId="11" fillId="0" borderId="27" xfId="0" applyNumberFormat="1" applyFont="1" applyBorder="1" applyAlignment="1">
      <alignment horizontal="center"/>
    </xf>
    <xf numFmtId="0" fontId="11" fillId="4" borderId="27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179" fontId="11" fillId="2" borderId="1" xfId="0" applyNumberFormat="1" applyFont="1" applyFill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3" xfId="0" applyBorder="1" applyAlignment="1">
      <alignment vertical="center"/>
    </xf>
    <xf numFmtId="3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6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4" fillId="4" borderId="7" xfId="1" applyNumberFormat="1" applyFont="1" applyFill="1" applyBorder="1" applyAlignment="1">
      <alignment horizontal="center" vertical="top" shrinkToFit="1"/>
    </xf>
    <xf numFmtId="0" fontId="0" fillId="4" borderId="8" xfId="0" applyFill="1" applyBorder="1" applyAlignment="1">
      <alignment horizontal="center" vertical="top" shrinkToFit="1"/>
    </xf>
    <xf numFmtId="164" fontId="4" fillId="4" borderId="7" xfId="1" applyNumberFormat="1" applyFont="1" applyFill="1" applyBorder="1" applyAlignment="1">
      <alignment horizontal="center" vertical="top" shrinkToFit="1"/>
    </xf>
    <xf numFmtId="0" fontId="8" fillId="4" borderId="4" xfId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top" shrinkToFit="1"/>
    </xf>
    <xf numFmtId="0" fontId="12" fillId="4" borderId="8" xfId="0" applyFont="1" applyFill="1" applyBorder="1" applyAlignment="1">
      <alignment horizontal="center" vertical="top" shrinkToFit="1"/>
    </xf>
    <xf numFmtId="0" fontId="16" fillId="0" borderId="9" xfId="2" applyFont="1" applyBorder="1" applyAlignment="1">
      <alignment horizontal="center"/>
    </xf>
    <xf numFmtId="0" fontId="16" fillId="0" borderId="10" xfId="2" applyFont="1" applyBorder="1" applyAlignment="1">
      <alignment horizontal="center"/>
    </xf>
    <xf numFmtId="0" fontId="16" fillId="0" borderId="11" xfId="2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31" fillId="6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1" fillId="7" borderId="27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13" fillId="0" borderId="0" xfId="7" applyAlignment="1">
      <alignment horizontal="left" vertical="top" wrapText="1" indent="1"/>
    </xf>
    <xf numFmtId="0" fontId="38" fillId="2" borderId="33" xfId="7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38" fillId="2" borderId="1" xfId="7" applyFont="1" applyFill="1" applyBorder="1" applyAlignment="1">
      <alignment horizontal="center" vertical="center" wrapText="1"/>
    </xf>
    <xf numFmtId="0" fontId="38" fillId="2" borderId="2" xfId="7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38" fillId="2" borderId="35" xfId="7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5" fontId="39" fillId="2" borderId="2" xfId="7" applyNumberFormat="1" applyFont="1" applyFill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2" fontId="39" fillId="2" borderId="2" xfId="7" applyNumberFormat="1" applyFont="1" applyFill="1" applyBorder="1" applyAlignment="1">
      <alignment horizontal="center" vertical="center" shrinkToFit="1"/>
    </xf>
    <xf numFmtId="177" fontId="39" fillId="2" borderId="2" xfId="7" applyNumberFormat="1" applyFont="1" applyFill="1" applyBorder="1" applyAlignment="1">
      <alignment horizontal="center" vertical="center" shrinkToFit="1"/>
    </xf>
    <xf numFmtId="3" fontId="38" fillId="2" borderId="2" xfId="7" applyNumberFormat="1" applyFont="1" applyFill="1" applyBorder="1" applyAlignment="1">
      <alignment horizontal="center" vertical="center" wrapText="1"/>
    </xf>
    <xf numFmtId="3" fontId="0" fillId="0" borderId="29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0" fontId="31" fillId="0" borderId="30" xfId="0" applyFont="1" applyBorder="1"/>
    <xf numFmtId="0" fontId="0" fillId="0" borderId="30" xfId="0" applyBorder="1"/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/>
    <xf numFmtId="0" fontId="31" fillId="6" borderId="2" xfId="0" applyFont="1" applyFill="1" applyBorder="1" applyAlignment="1">
      <alignment horizontal="center" vertical="center" wrapText="1"/>
    </xf>
    <xf numFmtId="0" fontId="31" fillId="6" borderId="13" xfId="0" applyFont="1" applyFill="1" applyBorder="1"/>
    <xf numFmtId="0" fontId="4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3" xfId="0" applyBorder="1"/>
    <xf numFmtId="0" fontId="31" fillId="0" borderId="2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29" fillId="6" borderId="1" xfId="7" applyFont="1" applyFill="1" applyBorder="1" applyAlignment="1">
      <alignment horizontal="center" vertical="top"/>
    </xf>
    <xf numFmtId="0" fontId="30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13" fillId="0" borderId="0" xfId="7" applyAlignment="1">
      <alignment horizontal="left" vertical="top" wrapText="1"/>
    </xf>
    <xf numFmtId="0" fontId="26" fillId="3" borderId="1" xfId="7" applyFont="1" applyFill="1" applyBorder="1" applyAlignment="1">
      <alignment horizontal="right" vertical="center" wrapText="1"/>
    </xf>
    <xf numFmtId="0" fontId="11" fillId="0" borderId="0" xfId="0" applyFont="1" applyAlignment="1"/>
    <xf numFmtId="0" fontId="0" fillId="4" borderId="1" xfId="0" applyFill="1" applyBorder="1" applyAlignment="1">
      <alignment vertical="center"/>
    </xf>
    <xf numFmtId="0" fontId="52" fillId="4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/>
    </xf>
    <xf numFmtId="0" fontId="15" fillId="0" borderId="0" xfId="2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3" fontId="15" fillId="0" borderId="1" xfId="2" applyNumberFormat="1" applyFont="1" applyBorder="1" applyAlignment="1">
      <alignment horizontal="center" vertical="center"/>
    </xf>
  </cellXfs>
  <cellStyles count="10">
    <cellStyle name="Migliaia [0] 2" xfId="3" xr:uid="{DC26D86C-80E4-49B4-A0DE-1F8183391CA4}"/>
    <cellStyle name="Migliaia 2" xfId="4" xr:uid="{D8B4F8E6-09BC-41CF-8B18-3E82E11632C3}"/>
    <cellStyle name="Normale" xfId="0" builtinId="0"/>
    <cellStyle name="Normale 2" xfId="1" xr:uid="{0099EF46-CB90-4A9A-952C-99F997DF1024}"/>
    <cellStyle name="Normale 3" xfId="2" xr:uid="{25586425-A78A-4A5D-AF39-E22CA7BC2412}"/>
    <cellStyle name="Normale 4" xfId="7" xr:uid="{F4F35E80-8486-4A60-A71D-9C005B791758}"/>
    <cellStyle name="Normale 5" xfId="8" xr:uid="{A703ADFC-9F21-46A9-A92B-0C20B59B8319}"/>
    <cellStyle name="Normale 6" xfId="9" xr:uid="{5CCA9594-5236-4454-B788-C76E93492D16}"/>
    <cellStyle name="Percentuale 2" xfId="5" xr:uid="{12839B8B-2047-4DF2-A631-74FD547249C7}"/>
    <cellStyle name="Valuta 2" xfId="6" xr:uid="{D54E8F2E-8DCE-498D-B0D1-717F0111FF3D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56B0-2BA7-457B-8CFF-0C914AEEA6D0}">
  <dimension ref="B7:R14"/>
  <sheetViews>
    <sheetView tabSelected="1" topLeftCell="C1" workbookViewId="0">
      <selection activeCell="H20" sqref="H20"/>
    </sheetView>
  </sheetViews>
  <sheetFormatPr defaultRowHeight="13.8"/>
  <cols>
    <col min="1" max="1" width="4.77734375" style="63" customWidth="1"/>
    <col min="2" max="2" width="33.33203125" style="63" customWidth="1"/>
    <col min="3" max="3" width="35.5546875" style="63" customWidth="1"/>
    <col min="4" max="4" width="7.88671875" style="63" customWidth="1"/>
    <col min="5" max="16" width="8.88671875" style="63"/>
    <col min="17" max="17" width="10.77734375" style="63" customWidth="1"/>
    <col min="18" max="18" width="3" style="63" customWidth="1"/>
    <col min="19" max="16384" width="8.88671875" style="63"/>
  </cols>
  <sheetData>
    <row r="7" spans="2:18">
      <c r="D7" s="64"/>
      <c r="E7" s="125" t="s">
        <v>0</v>
      </c>
      <c r="F7" s="125" t="s">
        <v>1</v>
      </c>
      <c r="G7" s="125" t="s">
        <v>2</v>
      </c>
      <c r="H7" s="125" t="s">
        <v>3</v>
      </c>
      <c r="I7" s="125" t="s">
        <v>4</v>
      </c>
      <c r="J7" s="125" t="s">
        <v>5</v>
      </c>
      <c r="K7" s="125" t="s">
        <v>6</v>
      </c>
      <c r="L7" s="125" t="s">
        <v>7</v>
      </c>
      <c r="M7" s="125" t="s">
        <v>8</v>
      </c>
      <c r="N7" s="125" t="s">
        <v>9</v>
      </c>
      <c r="O7" s="125" t="s">
        <v>10</v>
      </c>
      <c r="P7" s="125" t="s">
        <v>11</v>
      </c>
      <c r="Q7" s="125" t="s">
        <v>12</v>
      </c>
      <c r="R7" s="64"/>
    </row>
    <row r="8" spans="2:18">
      <c r="B8" s="126" t="s">
        <v>14</v>
      </c>
      <c r="C8" s="127" t="s">
        <v>747</v>
      </c>
      <c r="D8" s="215" t="s">
        <v>13</v>
      </c>
      <c r="E8" s="216">
        <v>10474</v>
      </c>
      <c r="F8" s="216">
        <v>5276</v>
      </c>
      <c r="G8" s="216">
        <v>4428</v>
      </c>
      <c r="H8" s="216">
        <v>5601</v>
      </c>
      <c r="I8" s="216">
        <v>7848</v>
      </c>
      <c r="J8" s="216">
        <v>7131</v>
      </c>
      <c r="K8" s="216">
        <v>8371</v>
      </c>
      <c r="L8" s="216">
        <v>3644</v>
      </c>
      <c r="M8" s="216">
        <v>8100</v>
      </c>
      <c r="N8" s="216">
        <v>7408</v>
      </c>
      <c r="O8" s="216">
        <v>9181</v>
      </c>
      <c r="P8" s="216">
        <v>7336</v>
      </c>
      <c r="Q8" s="216">
        <f t="shared" ref="Q8:Q14" si="0">SUM(E8:P8)</f>
        <v>84798</v>
      </c>
      <c r="R8" s="64"/>
    </row>
    <row r="9" spans="2:18">
      <c r="B9" s="222" t="s">
        <v>15</v>
      </c>
      <c r="C9" s="127" t="s">
        <v>794</v>
      </c>
      <c r="D9" s="215" t="s">
        <v>20</v>
      </c>
      <c r="E9" s="217">
        <v>0</v>
      </c>
      <c r="F9" s="217">
        <v>0</v>
      </c>
      <c r="G9" s="217">
        <v>0</v>
      </c>
      <c r="H9" s="217">
        <v>0</v>
      </c>
      <c r="I9" s="217">
        <v>0</v>
      </c>
      <c r="J9" s="217">
        <v>0</v>
      </c>
      <c r="K9" s="217">
        <v>0</v>
      </c>
      <c r="L9" s="217">
        <v>0</v>
      </c>
      <c r="M9" s="217">
        <v>0</v>
      </c>
      <c r="N9" s="217">
        <v>0</v>
      </c>
      <c r="O9" s="217">
        <v>0</v>
      </c>
      <c r="P9" s="217">
        <v>0</v>
      </c>
      <c r="Q9" s="217">
        <f t="shared" si="0"/>
        <v>0</v>
      </c>
      <c r="R9" s="64"/>
    </row>
    <row r="10" spans="2:18" ht="28.2" customHeight="1">
      <c r="B10" s="223"/>
      <c r="C10" s="214" t="s">
        <v>795</v>
      </c>
      <c r="D10" s="215" t="s">
        <v>13</v>
      </c>
      <c r="E10" s="218">
        <v>4.1849999999999996</v>
      </c>
      <c r="F10" s="217">
        <v>0</v>
      </c>
      <c r="G10" s="218">
        <v>15.89</v>
      </c>
      <c r="H10" s="217">
        <v>0</v>
      </c>
      <c r="I10" s="217">
        <v>0</v>
      </c>
      <c r="J10" s="218">
        <v>17.43</v>
      </c>
      <c r="K10" s="218">
        <v>11.04</v>
      </c>
      <c r="L10" s="218">
        <v>29.73</v>
      </c>
      <c r="M10" s="218">
        <v>13.86</v>
      </c>
      <c r="N10" s="218">
        <v>9.27</v>
      </c>
      <c r="O10" s="218">
        <v>9.41</v>
      </c>
      <c r="P10" s="218">
        <v>7.23</v>
      </c>
      <c r="Q10" s="218">
        <f t="shared" si="0"/>
        <v>118.04499999999999</v>
      </c>
      <c r="R10" s="64"/>
    </row>
    <row r="11" spans="2:18" ht="27.6">
      <c r="B11" s="224"/>
      <c r="C11" s="214" t="s">
        <v>796</v>
      </c>
      <c r="D11" s="215" t="s">
        <v>13</v>
      </c>
      <c r="E11" s="217">
        <v>0</v>
      </c>
      <c r="F11" s="217">
        <v>0</v>
      </c>
      <c r="G11" s="218">
        <v>3.08</v>
      </c>
      <c r="H11" s="217">
        <v>0</v>
      </c>
      <c r="I11" s="218">
        <v>3.0579999999999998</v>
      </c>
      <c r="J11" s="217">
        <v>0</v>
      </c>
      <c r="K11" s="217">
        <v>0</v>
      </c>
      <c r="L11" s="218">
        <v>4.6269999999999998</v>
      </c>
      <c r="M11" s="217">
        <v>0</v>
      </c>
      <c r="N11" s="217">
        <v>0</v>
      </c>
      <c r="O11" s="217">
        <v>0</v>
      </c>
      <c r="P11" s="218">
        <v>4.665</v>
      </c>
      <c r="Q11" s="218">
        <f t="shared" si="0"/>
        <v>15.43</v>
      </c>
      <c r="R11" s="64"/>
    </row>
    <row r="12" spans="2:18">
      <c r="B12" s="221" t="s">
        <v>16</v>
      </c>
      <c r="C12" s="127" t="s">
        <v>17</v>
      </c>
      <c r="D12" s="215" t="s">
        <v>13</v>
      </c>
      <c r="E12" s="216">
        <v>4893</v>
      </c>
      <c r="F12" s="216">
        <v>1555</v>
      </c>
      <c r="G12" s="216">
        <v>1539</v>
      </c>
      <c r="H12" s="216">
        <v>1520</v>
      </c>
      <c r="I12" s="216">
        <v>1921</v>
      </c>
      <c r="J12" s="216">
        <v>2634</v>
      </c>
      <c r="K12" s="216">
        <v>1131</v>
      </c>
      <c r="L12" s="216">
        <v>815</v>
      </c>
      <c r="M12" s="216">
        <v>2375</v>
      </c>
      <c r="N12" s="216">
        <v>2652</v>
      </c>
      <c r="O12" s="216">
        <v>3456</v>
      </c>
      <c r="P12" s="216">
        <v>2905</v>
      </c>
      <c r="Q12" s="216">
        <f t="shared" si="0"/>
        <v>27396</v>
      </c>
      <c r="R12" s="64"/>
    </row>
    <row r="13" spans="2:18">
      <c r="B13" s="221"/>
      <c r="C13" s="127" t="s">
        <v>18</v>
      </c>
      <c r="D13" s="215" t="s">
        <v>13</v>
      </c>
      <c r="E13" s="216">
        <v>3327</v>
      </c>
      <c r="F13" s="216">
        <v>2533</v>
      </c>
      <c r="G13" s="216">
        <v>1849</v>
      </c>
      <c r="H13" s="216">
        <v>2814</v>
      </c>
      <c r="I13" s="216">
        <v>4047</v>
      </c>
      <c r="J13" s="216">
        <v>2887</v>
      </c>
      <c r="K13" s="216">
        <v>4264</v>
      </c>
      <c r="L13" s="216">
        <v>1847</v>
      </c>
      <c r="M13" s="216">
        <v>3779</v>
      </c>
      <c r="N13" s="216">
        <v>3059</v>
      </c>
      <c r="O13" s="216">
        <v>3633</v>
      </c>
      <c r="P13" s="216">
        <v>2943</v>
      </c>
      <c r="Q13" s="216">
        <f t="shared" si="0"/>
        <v>36982</v>
      </c>
      <c r="R13" s="64"/>
    </row>
    <row r="14" spans="2:18">
      <c r="B14" s="127" t="s">
        <v>19</v>
      </c>
      <c r="C14" s="127" t="s">
        <v>779</v>
      </c>
      <c r="D14" s="215" t="s">
        <v>13</v>
      </c>
      <c r="E14" s="216">
        <v>2528</v>
      </c>
      <c r="F14" s="216">
        <v>1333</v>
      </c>
      <c r="G14" s="216">
        <v>1156</v>
      </c>
      <c r="H14" s="216">
        <v>1407</v>
      </c>
      <c r="I14" s="216">
        <v>2136</v>
      </c>
      <c r="J14" s="216">
        <v>1841</v>
      </c>
      <c r="K14" s="216">
        <v>2244</v>
      </c>
      <c r="L14" s="216">
        <v>1060</v>
      </c>
      <c r="M14" s="216">
        <v>2061</v>
      </c>
      <c r="N14" s="216">
        <v>1927</v>
      </c>
      <c r="O14" s="216">
        <v>3432</v>
      </c>
      <c r="P14" s="216">
        <v>1722</v>
      </c>
      <c r="Q14" s="216">
        <f t="shared" si="0"/>
        <v>22847</v>
      </c>
      <c r="R14" s="64"/>
    </row>
  </sheetData>
  <mergeCells count="2">
    <mergeCell ref="B12:B13"/>
    <mergeCell ref="B9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67F4-C3EC-4E70-BACE-E9FC5687D1C2}">
  <dimension ref="B1:T29"/>
  <sheetViews>
    <sheetView zoomScaleNormal="100" workbookViewId="0">
      <selection activeCell="A19" sqref="A19"/>
    </sheetView>
  </sheetViews>
  <sheetFormatPr defaultRowHeight="13.8"/>
  <cols>
    <col min="1" max="1" width="5.109375" style="63" customWidth="1"/>
    <col min="2" max="2" width="35.5546875" style="63" customWidth="1"/>
    <col min="3" max="3" width="22.77734375" style="63" customWidth="1"/>
    <col min="4" max="4" width="12.88671875" style="63" customWidth="1"/>
    <col min="5" max="5" width="13.21875" style="63" customWidth="1"/>
    <col min="6" max="6" width="7.88671875" style="63" customWidth="1"/>
    <col min="7" max="18" width="8.88671875" style="63"/>
    <col min="19" max="19" width="10.77734375" style="63" customWidth="1"/>
    <col min="20" max="20" width="1.6640625" style="63" customWidth="1"/>
    <col min="21" max="16384" width="8.88671875" style="63"/>
  </cols>
  <sheetData>
    <row r="1" spans="2:20" ht="13.2" customHeight="1"/>
    <row r="3" spans="2:20">
      <c r="D3" s="128" t="s">
        <v>791</v>
      </c>
      <c r="E3" s="128" t="s">
        <v>792</v>
      </c>
      <c r="F3" s="128" t="s">
        <v>793</v>
      </c>
      <c r="G3" s="125" t="s">
        <v>0</v>
      </c>
      <c r="H3" s="125" t="s">
        <v>1</v>
      </c>
      <c r="I3" s="125" t="s">
        <v>2</v>
      </c>
      <c r="J3" s="125" t="s">
        <v>3</v>
      </c>
      <c r="K3" s="125" t="s">
        <v>4</v>
      </c>
      <c r="L3" s="125" t="s">
        <v>5</v>
      </c>
      <c r="M3" s="125" t="s">
        <v>6</v>
      </c>
      <c r="N3" s="125" t="s">
        <v>7</v>
      </c>
      <c r="O3" s="125" t="s">
        <v>8</v>
      </c>
      <c r="P3" s="125" t="s">
        <v>9</v>
      </c>
      <c r="Q3" s="125" t="s">
        <v>10</v>
      </c>
      <c r="R3" s="125" t="s">
        <v>11</v>
      </c>
      <c r="S3" s="125" t="s">
        <v>12</v>
      </c>
      <c r="T3" s="64"/>
    </row>
    <row r="4" spans="2:20" ht="27.6" customHeight="1">
      <c r="B4" s="227" t="s">
        <v>21</v>
      </c>
      <c r="C4" s="210" t="s">
        <v>798</v>
      </c>
      <c r="D4" s="215">
        <v>2016184064</v>
      </c>
      <c r="E4" s="215">
        <v>757977192</v>
      </c>
      <c r="F4" s="215" t="s">
        <v>124</v>
      </c>
      <c r="G4" s="219">
        <v>128</v>
      </c>
      <c r="H4" s="219">
        <v>83</v>
      </c>
      <c r="I4" s="219">
        <v>81</v>
      </c>
      <c r="J4" s="219">
        <v>108</v>
      </c>
      <c r="K4" s="219">
        <v>119</v>
      </c>
      <c r="L4" s="219">
        <v>131</v>
      </c>
      <c r="M4" s="219">
        <v>122</v>
      </c>
      <c r="N4" s="219">
        <v>93</v>
      </c>
      <c r="O4" s="219">
        <v>136</v>
      </c>
      <c r="P4" s="219">
        <v>132</v>
      </c>
      <c r="Q4" s="219">
        <v>151</v>
      </c>
      <c r="R4" s="219">
        <v>75</v>
      </c>
      <c r="S4" s="219">
        <f>SUM(G4:R4)</f>
        <v>1359</v>
      </c>
      <c r="T4" s="64"/>
    </row>
    <row r="5" spans="2:20" ht="27.6">
      <c r="B5" s="227"/>
      <c r="C5" s="210" t="s">
        <v>799</v>
      </c>
      <c r="D5" s="215">
        <v>2016184313</v>
      </c>
      <c r="E5" s="215">
        <v>757978205</v>
      </c>
      <c r="F5" s="215" t="s">
        <v>124</v>
      </c>
      <c r="G5" s="219">
        <v>821</v>
      </c>
      <c r="H5" s="219">
        <v>413</v>
      </c>
      <c r="I5" s="219">
        <v>483</v>
      </c>
      <c r="J5" s="219">
        <v>485</v>
      </c>
      <c r="K5" s="219">
        <v>507</v>
      </c>
      <c r="L5" s="219">
        <v>559</v>
      </c>
      <c r="M5" s="219">
        <v>1350</v>
      </c>
      <c r="N5" s="219">
        <v>353</v>
      </c>
      <c r="O5" s="219">
        <v>820</v>
      </c>
      <c r="P5" s="219">
        <v>673</v>
      </c>
      <c r="Q5" s="219">
        <v>696</v>
      </c>
      <c r="R5" s="219">
        <v>608</v>
      </c>
      <c r="S5" s="219">
        <f>SUM(G5:R5)</f>
        <v>7768</v>
      </c>
      <c r="T5" s="64"/>
    </row>
    <row r="6" spans="2:20" ht="27.6" customHeight="1">
      <c r="B6" s="228"/>
      <c r="C6" s="214" t="s">
        <v>797</v>
      </c>
      <c r="D6" s="215">
        <v>2016184334</v>
      </c>
      <c r="E6" s="215">
        <v>763072702</v>
      </c>
      <c r="F6" s="215" t="s">
        <v>124</v>
      </c>
      <c r="G6" s="220">
        <v>65</v>
      </c>
      <c r="H6" s="220">
        <v>0</v>
      </c>
      <c r="I6" s="220">
        <v>0</v>
      </c>
      <c r="J6" s="220">
        <v>0</v>
      </c>
      <c r="K6" s="220">
        <v>0</v>
      </c>
      <c r="L6" s="220">
        <v>49</v>
      </c>
      <c r="M6" s="220">
        <v>251</v>
      </c>
      <c r="N6" s="220">
        <v>0</v>
      </c>
      <c r="O6" s="220">
        <v>0</v>
      </c>
      <c r="P6" s="220">
        <v>0</v>
      </c>
      <c r="Q6" s="220">
        <v>0</v>
      </c>
      <c r="R6" s="220">
        <v>0</v>
      </c>
      <c r="S6" s="220">
        <f>SUM(G6:R6)</f>
        <v>365</v>
      </c>
    </row>
    <row r="8" spans="2:20">
      <c r="B8" s="209" t="s">
        <v>789</v>
      </c>
    </row>
    <row r="9" spans="2:20" ht="42.6" customHeight="1">
      <c r="B9" s="208" t="s">
        <v>790</v>
      </c>
      <c r="C9" s="212" t="s">
        <v>780</v>
      </c>
      <c r="D9" s="229" t="s">
        <v>781</v>
      </c>
      <c r="E9" s="230"/>
      <c r="F9" s="230"/>
      <c r="G9" s="138"/>
      <c r="H9" s="138"/>
      <c r="I9" s="138"/>
      <c r="J9" s="138"/>
    </row>
    <row r="10" spans="2:20" ht="14.4">
      <c r="B10" s="207" t="s">
        <v>782</v>
      </c>
      <c r="C10" s="211">
        <v>7768</v>
      </c>
      <c r="D10" s="225"/>
      <c r="E10" s="226"/>
      <c r="F10" s="226"/>
      <c r="G10" s="213"/>
      <c r="H10" s="213"/>
      <c r="I10" s="213"/>
      <c r="J10" s="213"/>
    </row>
    <row r="11" spans="2:20" ht="14.4">
      <c r="B11" s="207" t="s">
        <v>783</v>
      </c>
      <c r="C11" s="211">
        <v>7768</v>
      </c>
      <c r="D11" s="225"/>
      <c r="E11" s="226"/>
      <c r="F11" s="226"/>
      <c r="G11" s="213"/>
      <c r="H11" s="213"/>
      <c r="I11" s="213"/>
      <c r="J11" s="213"/>
    </row>
    <row r="12" spans="2:20" ht="14.4">
      <c r="B12" s="207" t="s">
        <v>785</v>
      </c>
      <c r="C12" s="211" t="s">
        <v>788</v>
      </c>
      <c r="D12" s="225"/>
      <c r="E12" s="226"/>
      <c r="F12" s="226"/>
      <c r="G12" s="213"/>
      <c r="H12" s="213"/>
      <c r="I12" s="213"/>
      <c r="J12" s="213"/>
    </row>
    <row r="13" spans="2:20" ht="14.4">
      <c r="B13" s="207" t="s">
        <v>784</v>
      </c>
      <c r="C13" s="211">
        <v>0</v>
      </c>
      <c r="D13" s="225"/>
      <c r="E13" s="226"/>
      <c r="F13" s="226"/>
      <c r="G13" s="213"/>
      <c r="H13" s="213"/>
      <c r="I13" s="213"/>
      <c r="J13" s="213"/>
    </row>
    <row r="14" spans="2:20" ht="14.4">
      <c r="B14" s="207" t="s">
        <v>786</v>
      </c>
      <c r="C14" s="211">
        <v>0</v>
      </c>
      <c r="D14" s="225"/>
      <c r="E14" s="226"/>
      <c r="F14" s="226"/>
      <c r="G14" s="213"/>
      <c r="H14" s="213"/>
      <c r="I14" s="213"/>
      <c r="J14" s="213"/>
    </row>
    <row r="15" spans="2:20" ht="14.4">
      <c r="B15" s="207" t="s">
        <v>787</v>
      </c>
      <c r="C15" s="211">
        <v>0</v>
      </c>
      <c r="D15" s="225"/>
      <c r="E15" s="226"/>
      <c r="F15" s="226"/>
      <c r="G15" s="213"/>
      <c r="H15" s="213"/>
      <c r="I15" s="213"/>
      <c r="J15" s="213"/>
    </row>
    <row r="17" spans="2:11" ht="6.6" customHeight="1">
      <c r="B17" s="293"/>
      <c r="C17" s="293"/>
      <c r="D17" s="293"/>
      <c r="E17" s="293"/>
      <c r="F17" s="293"/>
      <c r="G17" s="293"/>
      <c r="H17" s="293"/>
      <c r="I17" s="293"/>
      <c r="J17" s="293"/>
      <c r="K17" s="293"/>
    </row>
    <row r="18" spans="2:11">
      <c r="B18" s="293"/>
      <c r="C18" s="293"/>
      <c r="D18" s="293"/>
      <c r="E18" s="293"/>
      <c r="F18" s="293"/>
      <c r="G18" s="293"/>
      <c r="H18" s="293"/>
      <c r="I18" s="293"/>
      <c r="J18" s="293"/>
      <c r="K18" s="293"/>
    </row>
    <row r="19" spans="2:11" ht="42.6" customHeight="1"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2:11">
      <c r="B20" s="293"/>
      <c r="C20" s="293"/>
      <c r="D20" s="293"/>
      <c r="E20" s="293"/>
      <c r="F20" s="293"/>
      <c r="G20" s="293"/>
      <c r="H20" s="293"/>
      <c r="I20" s="293"/>
      <c r="J20" s="293"/>
      <c r="K20" s="293"/>
    </row>
    <row r="21" spans="2:11">
      <c r="B21" s="293"/>
      <c r="C21" s="293"/>
      <c r="D21" s="293"/>
      <c r="E21" s="293"/>
      <c r="F21" s="293"/>
      <c r="G21" s="293"/>
      <c r="H21" s="293"/>
      <c r="I21" s="293"/>
      <c r="J21" s="293"/>
      <c r="K21" s="293"/>
    </row>
    <row r="22" spans="2:11">
      <c r="B22" s="293"/>
      <c r="C22" s="293"/>
      <c r="D22" s="293"/>
      <c r="E22" s="293"/>
      <c r="F22" s="293"/>
      <c r="G22" s="293"/>
      <c r="H22" s="293"/>
      <c r="I22" s="293"/>
      <c r="J22" s="293"/>
      <c r="K22" s="293"/>
    </row>
    <row r="23" spans="2:11">
      <c r="B23" s="293"/>
      <c r="C23" s="293"/>
      <c r="D23" s="293"/>
      <c r="E23" s="293"/>
      <c r="F23" s="293"/>
      <c r="G23" s="293"/>
      <c r="H23" s="293"/>
      <c r="I23" s="293"/>
      <c r="J23" s="293"/>
      <c r="K23" s="293"/>
    </row>
    <row r="24" spans="2:11">
      <c r="B24" s="293"/>
      <c r="C24" s="293"/>
      <c r="D24" s="293"/>
      <c r="E24" s="293"/>
      <c r="F24" s="293"/>
      <c r="G24" s="293"/>
      <c r="H24" s="293"/>
      <c r="I24" s="293"/>
      <c r="J24" s="293"/>
      <c r="K24" s="293"/>
    </row>
    <row r="25" spans="2:11">
      <c r="B25" s="293"/>
      <c r="C25" s="293"/>
      <c r="D25" s="293"/>
      <c r="E25" s="293"/>
      <c r="F25" s="293"/>
      <c r="G25" s="293"/>
      <c r="H25" s="293"/>
      <c r="I25" s="293"/>
      <c r="J25" s="293"/>
      <c r="K25" s="293"/>
    </row>
    <row r="26" spans="2:11">
      <c r="B26" s="293"/>
      <c r="C26" s="293"/>
      <c r="D26" s="293"/>
      <c r="E26" s="293"/>
      <c r="F26" s="293"/>
      <c r="G26" s="293"/>
      <c r="H26" s="293"/>
      <c r="I26" s="293"/>
      <c r="J26" s="293"/>
      <c r="K26" s="293"/>
    </row>
    <row r="27" spans="2:11">
      <c r="B27" s="293"/>
      <c r="C27" s="293"/>
      <c r="D27" s="293"/>
      <c r="E27" s="293"/>
      <c r="F27" s="293"/>
      <c r="G27" s="293"/>
      <c r="H27" s="293"/>
      <c r="I27" s="293"/>
      <c r="J27" s="293"/>
      <c r="K27" s="293"/>
    </row>
    <row r="28" spans="2:11">
      <c r="B28" s="293"/>
      <c r="C28" s="293"/>
      <c r="D28" s="293"/>
      <c r="E28" s="293"/>
      <c r="F28" s="293"/>
      <c r="G28" s="293"/>
      <c r="H28" s="293"/>
      <c r="I28" s="293"/>
      <c r="J28" s="293"/>
      <c r="K28" s="293"/>
    </row>
    <row r="29" spans="2:11">
      <c r="B29" s="293"/>
      <c r="C29" s="293"/>
      <c r="D29" s="293"/>
      <c r="E29" s="293"/>
      <c r="F29" s="293"/>
      <c r="G29" s="293"/>
      <c r="H29" s="293"/>
      <c r="I29" s="293"/>
      <c r="J29" s="293"/>
      <c r="K29" s="293"/>
    </row>
  </sheetData>
  <mergeCells count="8">
    <mergeCell ref="B4:B6"/>
    <mergeCell ref="D9:F9"/>
    <mergeCell ref="D10:F10"/>
    <mergeCell ref="D11:F11"/>
    <mergeCell ref="D12:F12"/>
    <mergeCell ref="D13:F13"/>
    <mergeCell ref="D14:F14"/>
    <mergeCell ref="D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380F-A689-4F88-898A-65DE48390188}">
  <dimension ref="B1:N40"/>
  <sheetViews>
    <sheetView zoomScale="110" zoomScaleNormal="110" workbookViewId="0">
      <selection activeCell="E29" sqref="E29"/>
    </sheetView>
  </sheetViews>
  <sheetFormatPr defaultRowHeight="13.2"/>
  <cols>
    <col min="1" max="1" width="4.6640625" style="1" customWidth="1"/>
    <col min="2" max="2" width="8.88671875" style="1"/>
    <col min="3" max="3" width="13.5546875" style="1" customWidth="1"/>
    <col min="4" max="4" width="22.21875" style="1" customWidth="1"/>
    <col min="5" max="5" width="11" style="1" customWidth="1"/>
    <col min="6" max="6" width="6.44140625" style="1" customWidth="1"/>
    <col min="7" max="7" width="11.5546875" style="1" customWidth="1"/>
    <col min="8" max="8" width="27.77734375" style="1" bestFit="1" customWidth="1"/>
    <col min="9" max="14" width="7.77734375" style="3" customWidth="1"/>
    <col min="15" max="16384" width="8.88671875" style="1"/>
  </cols>
  <sheetData>
    <row r="1" spans="2:14" ht="16.2" customHeight="1"/>
    <row r="2" spans="2:14" ht="10.95" customHeight="1">
      <c r="D2" s="4"/>
      <c r="E2" s="4"/>
      <c r="F2" s="4"/>
      <c r="G2" s="4"/>
      <c r="H2" s="90" t="s">
        <v>22</v>
      </c>
      <c r="I2" s="231">
        <v>379093</v>
      </c>
      <c r="J2" s="232"/>
      <c r="K2" s="238">
        <v>381109</v>
      </c>
      <c r="L2" s="239"/>
      <c r="M2" s="238">
        <v>379077</v>
      </c>
      <c r="N2" s="239"/>
    </row>
    <row r="3" spans="2:14" ht="10.95" customHeight="1">
      <c r="D3" s="4"/>
      <c r="E3" s="4"/>
      <c r="F3" s="4"/>
      <c r="G3" s="4"/>
      <c r="H3" s="90" t="s">
        <v>23</v>
      </c>
      <c r="I3" s="231">
        <v>265652</v>
      </c>
      <c r="J3" s="232"/>
      <c r="K3" s="238">
        <v>269747</v>
      </c>
      <c r="L3" s="239"/>
      <c r="M3" s="238">
        <v>269735</v>
      </c>
      <c r="N3" s="239"/>
    </row>
    <row r="4" spans="2:14" ht="10.95" customHeight="1">
      <c r="D4" s="4"/>
      <c r="E4" s="4"/>
      <c r="F4" s="4"/>
      <c r="G4" s="4"/>
      <c r="H4" s="90" t="s">
        <v>24</v>
      </c>
      <c r="I4" s="233">
        <v>45533</v>
      </c>
      <c r="J4" s="232"/>
      <c r="K4" s="238" t="s">
        <v>78</v>
      </c>
      <c r="L4" s="239"/>
      <c r="M4" s="238" t="s">
        <v>78</v>
      </c>
      <c r="N4" s="239"/>
    </row>
    <row r="5" spans="2:14" ht="21" customHeight="1">
      <c r="D5" s="90" t="s">
        <v>25</v>
      </c>
      <c r="E5" s="92" t="s">
        <v>66</v>
      </c>
      <c r="F5" s="90" t="s">
        <v>26</v>
      </c>
      <c r="G5" s="90" t="s">
        <v>73</v>
      </c>
      <c r="H5" s="90" t="s">
        <v>27</v>
      </c>
      <c r="I5" s="93" t="s">
        <v>76</v>
      </c>
      <c r="J5" s="93" t="s">
        <v>77</v>
      </c>
      <c r="K5" s="93" t="s">
        <v>76</v>
      </c>
      <c r="L5" s="93" t="s">
        <v>77</v>
      </c>
      <c r="M5" s="93" t="s">
        <v>76</v>
      </c>
      <c r="N5" s="94" t="s">
        <v>77</v>
      </c>
    </row>
    <row r="6" spans="2:14" ht="11.25" customHeight="1">
      <c r="B6" s="237" t="s">
        <v>64</v>
      </c>
      <c r="C6" s="234" t="s">
        <v>65</v>
      </c>
      <c r="D6" s="2" t="s">
        <v>28</v>
      </c>
      <c r="E6" s="2" t="s">
        <v>67</v>
      </c>
      <c r="F6" s="2" t="s">
        <v>29</v>
      </c>
      <c r="G6" s="17" t="s">
        <v>75</v>
      </c>
      <c r="H6" s="2" t="s">
        <v>30</v>
      </c>
      <c r="I6" s="10"/>
      <c r="J6" s="10"/>
      <c r="K6" s="10"/>
      <c r="L6" s="10"/>
      <c r="M6" s="22">
        <v>7.95</v>
      </c>
      <c r="N6" s="30" t="s">
        <v>79</v>
      </c>
    </row>
    <row r="7" spans="2:14" ht="11.25" customHeight="1">
      <c r="B7" s="235"/>
      <c r="C7" s="235"/>
      <c r="D7" s="2" t="s">
        <v>34</v>
      </c>
      <c r="E7" s="2" t="s">
        <v>67</v>
      </c>
      <c r="F7" s="2" t="s">
        <v>35</v>
      </c>
      <c r="G7" s="17">
        <v>80</v>
      </c>
      <c r="H7" s="2" t="s">
        <v>36</v>
      </c>
      <c r="I7" s="11"/>
      <c r="J7" s="11"/>
      <c r="K7" s="11"/>
      <c r="L7" s="11"/>
      <c r="M7" s="23">
        <v>370</v>
      </c>
      <c r="N7" s="30" t="s">
        <v>80</v>
      </c>
    </row>
    <row r="8" spans="2:14" ht="11.25" customHeight="1">
      <c r="B8" s="235"/>
      <c r="C8" s="235"/>
      <c r="D8" s="2" t="s">
        <v>31</v>
      </c>
      <c r="E8" s="2" t="s">
        <v>67</v>
      </c>
      <c r="F8" s="2" t="s">
        <v>32</v>
      </c>
      <c r="G8" s="17" t="s">
        <v>74</v>
      </c>
      <c r="H8" s="2" t="s">
        <v>33</v>
      </c>
      <c r="I8" s="12"/>
      <c r="J8" s="12"/>
      <c r="K8" s="12"/>
      <c r="L8" s="12"/>
      <c r="M8" s="24">
        <v>6.2</v>
      </c>
      <c r="N8" s="30" t="s">
        <v>81</v>
      </c>
    </row>
    <row r="9" spans="2:14" ht="11.25" customHeight="1">
      <c r="B9" s="235"/>
      <c r="C9" s="235"/>
      <c r="D9" s="2" t="s">
        <v>37</v>
      </c>
      <c r="E9" s="2" t="s">
        <v>67</v>
      </c>
      <c r="F9" s="2" t="s">
        <v>35</v>
      </c>
      <c r="G9" s="17">
        <v>40</v>
      </c>
      <c r="H9" s="2" t="s">
        <v>38</v>
      </c>
      <c r="I9" s="10"/>
      <c r="J9" s="10"/>
      <c r="K9" s="10"/>
      <c r="L9" s="10"/>
      <c r="M9" s="22">
        <v>10.6</v>
      </c>
      <c r="N9" s="30" t="s">
        <v>82</v>
      </c>
    </row>
    <row r="10" spans="2:14" ht="11.25" customHeight="1">
      <c r="B10" s="235"/>
      <c r="C10" s="235"/>
      <c r="D10" s="5" t="s">
        <v>68</v>
      </c>
      <c r="E10" s="2" t="s">
        <v>67</v>
      </c>
      <c r="F10" s="2" t="s">
        <v>35</v>
      </c>
      <c r="G10" s="17">
        <v>160</v>
      </c>
      <c r="H10" s="2" t="s">
        <v>39</v>
      </c>
      <c r="I10" s="12"/>
      <c r="J10" s="12"/>
      <c r="K10" s="12"/>
      <c r="L10" s="12"/>
      <c r="M10" s="24">
        <v>29</v>
      </c>
      <c r="N10" s="30" t="s">
        <v>83</v>
      </c>
    </row>
    <row r="11" spans="2:14" ht="11.25" customHeight="1">
      <c r="B11" s="235"/>
      <c r="C11" s="235"/>
      <c r="D11" s="2" t="s">
        <v>40</v>
      </c>
      <c r="E11" s="2" t="s">
        <v>67</v>
      </c>
      <c r="F11" s="2" t="s">
        <v>35</v>
      </c>
      <c r="G11" s="18">
        <v>1200</v>
      </c>
      <c r="H11" s="2" t="s">
        <v>41</v>
      </c>
      <c r="I11" s="12"/>
      <c r="J11" s="12"/>
      <c r="K11" s="12"/>
      <c r="L11" s="12"/>
      <c r="M11" s="24">
        <v>27.4</v>
      </c>
      <c r="N11" s="30" t="s">
        <v>84</v>
      </c>
    </row>
    <row r="12" spans="2:14" ht="11.25" customHeight="1">
      <c r="B12" s="235"/>
      <c r="C12" s="235"/>
      <c r="D12" s="2" t="s">
        <v>42</v>
      </c>
      <c r="E12" s="2" t="s">
        <v>67</v>
      </c>
      <c r="F12" s="2" t="s">
        <v>35</v>
      </c>
      <c r="G12" s="17">
        <v>10</v>
      </c>
      <c r="H12" s="2" t="s">
        <v>43</v>
      </c>
      <c r="I12" s="10"/>
      <c r="J12" s="10"/>
      <c r="K12" s="10"/>
      <c r="L12" s="10"/>
      <c r="M12" s="22">
        <v>1.49</v>
      </c>
      <c r="N12" s="30" t="s">
        <v>85</v>
      </c>
    </row>
    <row r="13" spans="2:14" ht="11.25" customHeight="1">
      <c r="B13" s="235"/>
      <c r="C13" s="235"/>
      <c r="D13" s="5" t="s">
        <v>69</v>
      </c>
      <c r="E13" s="2" t="s">
        <v>67</v>
      </c>
      <c r="F13" s="2" t="s">
        <v>35</v>
      </c>
      <c r="G13" s="17">
        <v>15</v>
      </c>
      <c r="H13" s="2" t="s">
        <v>44</v>
      </c>
      <c r="I13" s="12"/>
      <c r="J13" s="12"/>
      <c r="K13" s="12"/>
      <c r="L13" s="12"/>
      <c r="M13" s="24">
        <v>11</v>
      </c>
      <c r="N13" s="30" t="s">
        <v>86</v>
      </c>
    </row>
    <row r="14" spans="2:14" ht="11.25" customHeight="1">
      <c r="B14" s="235"/>
      <c r="C14" s="235"/>
      <c r="D14" s="2" t="s">
        <v>45</v>
      </c>
      <c r="E14" s="2" t="s">
        <v>67</v>
      </c>
      <c r="F14" s="2" t="s">
        <v>35</v>
      </c>
      <c r="G14" s="17">
        <v>0.6</v>
      </c>
      <c r="H14" s="2" t="s">
        <v>41</v>
      </c>
      <c r="I14" s="13"/>
      <c r="J14" s="13"/>
      <c r="K14" s="13"/>
      <c r="L14" s="13"/>
      <c r="M14" s="32">
        <v>0.96</v>
      </c>
      <c r="N14" s="30" t="s">
        <v>87</v>
      </c>
    </row>
    <row r="15" spans="2:14" ht="11.25" customHeight="1">
      <c r="B15" s="235"/>
      <c r="C15" s="235"/>
      <c r="D15" s="2" t="s">
        <v>63</v>
      </c>
      <c r="E15" s="2" t="s">
        <v>67</v>
      </c>
      <c r="F15" s="2" t="s">
        <v>35</v>
      </c>
      <c r="G15" s="17">
        <v>20</v>
      </c>
      <c r="H15" s="2" t="s">
        <v>41</v>
      </c>
      <c r="I15" s="10"/>
      <c r="J15" s="10"/>
      <c r="K15" s="10"/>
      <c r="L15" s="10"/>
      <c r="M15" s="22">
        <v>0.51</v>
      </c>
      <c r="N15" s="30" t="s">
        <v>88</v>
      </c>
    </row>
    <row r="16" spans="2:14" ht="11.25" customHeight="1">
      <c r="B16" s="235"/>
      <c r="C16" s="235"/>
      <c r="D16" s="2" t="s">
        <v>60</v>
      </c>
      <c r="E16" s="2" t="s">
        <v>67</v>
      </c>
      <c r="F16" s="2" t="s">
        <v>50</v>
      </c>
      <c r="G16" s="17">
        <v>2</v>
      </c>
      <c r="H16" s="2" t="s">
        <v>61</v>
      </c>
      <c r="I16" s="13"/>
      <c r="J16" s="13"/>
      <c r="K16" s="13"/>
      <c r="L16" s="14"/>
      <c r="M16" s="25" t="s">
        <v>62</v>
      </c>
      <c r="N16" s="31" t="s">
        <v>74</v>
      </c>
    </row>
    <row r="17" spans="2:14" ht="11.25" customHeight="1">
      <c r="B17" s="235"/>
      <c r="C17" s="235"/>
      <c r="D17" s="2" t="s">
        <v>49</v>
      </c>
      <c r="E17" s="2" t="s">
        <v>67</v>
      </c>
      <c r="F17" s="2" t="s">
        <v>50</v>
      </c>
      <c r="G17" s="17" t="s">
        <v>74</v>
      </c>
      <c r="H17" s="2" t="s">
        <v>51</v>
      </c>
      <c r="I17" s="13"/>
      <c r="J17" s="13"/>
      <c r="K17" s="13"/>
      <c r="L17" s="14"/>
      <c r="M17" s="25" t="s">
        <v>52</v>
      </c>
      <c r="N17" s="31" t="s">
        <v>74</v>
      </c>
    </row>
    <row r="18" spans="2:14" ht="11.25" customHeight="1">
      <c r="B18" s="235"/>
      <c r="C18" s="235"/>
      <c r="D18" s="2" t="s">
        <v>54</v>
      </c>
      <c r="E18" s="2" t="s">
        <v>67</v>
      </c>
      <c r="F18" s="2" t="s">
        <v>50</v>
      </c>
      <c r="G18" s="17" t="s">
        <v>74</v>
      </c>
      <c r="H18" s="2" t="s">
        <v>55</v>
      </c>
      <c r="I18" s="13"/>
      <c r="J18" s="13"/>
      <c r="K18" s="13"/>
      <c r="L18" s="14"/>
      <c r="M18" s="25" t="s">
        <v>52</v>
      </c>
      <c r="N18" s="31" t="s">
        <v>74</v>
      </c>
    </row>
    <row r="19" spans="2:14" ht="11.25" customHeight="1">
      <c r="B19" s="235"/>
      <c r="C19" s="235"/>
      <c r="D19" s="2" t="s">
        <v>56</v>
      </c>
      <c r="E19" s="2" t="s">
        <v>67</v>
      </c>
      <c r="F19" s="2" t="s">
        <v>50</v>
      </c>
      <c r="G19" s="17" t="s">
        <v>74</v>
      </c>
      <c r="H19" s="2" t="s">
        <v>57</v>
      </c>
      <c r="I19" s="13"/>
      <c r="J19" s="13"/>
      <c r="K19" s="13"/>
      <c r="L19" s="21"/>
      <c r="M19" s="25" t="s">
        <v>58</v>
      </c>
      <c r="N19" s="31" t="s">
        <v>74</v>
      </c>
    </row>
    <row r="20" spans="2:14" ht="28.2" customHeight="1">
      <c r="B20" s="236"/>
      <c r="C20" s="236"/>
      <c r="D20" s="2" t="s">
        <v>46</v>
      </c>
      <c r="E20" s="2" t="s">
        <v>70</v>
      </c>
      <c r="F20" s="34" t="s">
        <v>47</v>
      </c>
      <c r="G20" s="35" t="s">
        <v>89</v>
      </c>
      <c r="H20" s="2" t="s">
        <v>48</v>
      </c>
      <c r="I20" s="15">
        <v>250</v>
      </c>
      <c r="J20" s="15" t="s">
        <v>74</v>
      </c>
      <c r="K20" s="19">
        <v>6500</v>
      </c>
      <c r="L20" s="15" t="s">
        <v>74</v>
      </c>
      <c r="M20" s="26"/>
      <c r="N20" s="31"/>
    </row>
    <row r="21" spans="2:14" ht="15.6" customHeight="1">
      <c r="B21" s="6"/>
      <c r="C21" s="6"/>
      <c r="D21" s="7"/>
      <c r="E21" s="7"/>
      <c r="F21" s="7"/>
      <c r="G21" s="7"/>
      <c r="H21" s="7"/>
      <c r="I21" s="8"/>
      <c r="J21" s="8"/>
      <c r="K21" s="8"/>
      <c r="L21" s="9"/>
      <c r="M21" s="9"/>
      <c r="N21" s="8"/>
    </row>
    <row r="22" spans="2:14" ht="10.95" customHeight="1">
      <c r="B22" s="6"/>
      <c r="C22" s="6"/>
      <c r="D22" s="7"/>
      <c r="E22" s="7"/>
      <c r="F22" s="7"/>
      <c r="G22" s="7"/>
      <c r="H22" s="91" t="s">
        <v>22</v>
      </c>
      <c r="I22" s="231">
        <v>379093</v>
      </c>
      <c r="J22" s="232"/>
      <c r="K22" s="231">
        <v>381109</v>
      </c>
      <c r="L22" s="232"/>
      <c r="M22" s="231">
        <v>379077</v>
      </c>
      <c r="N22" s="232"/>
    </row>
    <row r="23" spans="2:14" ht="10.95" customHeight="1">
      <c r="B23" s="6"/>
      <c r="C23" s="6"/>
      <c r="D23" s="7"/>
      <c r="E23" s="7"/>
      <c r="F23" s="7"/>
      <c r="G23" s="7"/>
      <c r="H23" s="91" t="s">
        <v>23</v>
      </c>
      <c r="I23" s="231">
        <v>265653</v>
      </c>
      <c r="J23" s="232"/>
      <c r="K23" s="231">
        <v>269748</v>
      </c>
      <c r="L23" s="232"/>
      <c r="M23" s="231">
        <v>269736</v>
      </c>
      <c r="N23" s="232"/>
    </row>
    <row r="24" spans="2:14" ht="10.95" customHeight="1">
      <c r="B24" s="6"/>
      <c r="C24" s="6"/>
      <c r="D24" s="7"/>
      <c r="E24" s="7"/>
      <c r="F24" s="7"/>
      <c r="G24" s="7"/>
      <c r="H24" s="91" t="s">
        <v>24</v>
      </c>
      <c r="I24" s="233">
        <v>45533</v>
      </c>
      <c r="J24" s="232"/>
      <c r="K24" s="233">
        <v>45547</v>
      </c>
      <c r="L24" s="232"/>
      <c r="M24" s="233">
        <v>45547</v>
      </c>
      <c r="N24" s="232"/>
    </row>
    <row r="25" spans="2:14" ht="21" customHeight="1">
      <c r="D25" s="90" t="s">
        <v>25</v>
      </c>
      <c r="E25" s="92" t="s">
        <v>66</v>
      </c>
      <c r="F25" s="90" t="s">
        <v>26</v>
      </c>
      <c r="G25" s="90" t="s">
        <v>73</v>
      </c>
      <c r="H25" s="90" t="s">
        <v>27</v>
      </c>
      <c r="I25" s="93" t="s">
        <v>76</v>
      </c>
      <c r="J25" s="93" t="s">
        <v>77</v>
      </c>
      <c r="K25" s="93" t="s">
        <v>76</v>
      </c>
      <c r="L25" s="93" t="s">
        <v>77</v>
      </c>
      <c r="M25" s="93" t="s">
        <v>76</v>
      </c>
      <c r="N25" s="94" t="s">
        <v>77</v>
      </c>
    </row>
    <row r="26" spans="2:14">
      <c r="B26" s="237" t="s">
        <v>71</v>
      </c>
      <c r="C26" s="234" t="s">
        <v>72</v>
      </c>
      <c r="D26" s="2" t="s">
        <v>28</v>
      </c>
      <c r="E26" s="2" t="s">
        <v>67</v>
      </c>
      <c r="F26" s="2" t="s">
        <v>29</v>
      </c>
      <c r="G26" s="17" t="s">
        <v>75</v>
      </c>
      <c r="H26" s="2" t="s">
        <v>30</v>
      </c>
      <c r="I26" s="10"/>
      <c r="J26" s="10"/>
      <c r="K26" s="10"/>
      <c r="L26" s="10"/>
      <c r="M26" s="22">
        <v>7.89</v>
      </c>
      <c r="N26" s="33" t="s">
        <v>79</v>
      </c>
    </row>
    <row r="27" spans="2:14" ht="13.2" customHeight="1">
      <c r="B27" s="235"/>
      <c r="C27" s="235"/>
      <c r="D27" s="2" t="s">
        <v>34</v>
      </c>
      <c r="E27" s="2" t="s">
        <v>67</v>
      </c>
      <c r="F27" s="2" t="s">
        <v>35</v>
      </c>
      <c r="G27" s="17">
        <v>80</v>
      </c>
      <c r="H27" s="2" t="s">
        <v>36</v>
      </c>
      <c r="I27" s="11"/>
      <c r="J27" s="11"/>
      <c r="K27" s="11"/>
      <c r="L27" s="11"/>
      <c r="M27" s="27">
        <v>22</v>
      </c>
      <c r="N27" s="33" t="s">
        <v>90</v>
      </c>
    </row>
    <row r="28" spans="2:14" ht="13.2" customHeight="1">
      <c r="B28" s="235"/>
      <c r="C28" s="235"/>
      <c r="D28" s="2" t="s">
        <v>31</v>
      </c>
      <c r="E28" s="2" t="s">
        <v>67</v>
      </c>
      <c r="F28" s="2" t="s">
        <v>32</v>
      </c>
      <c r="G28" s="17" t="s">
        <v>74</v>
      </c>
      <c r="H28" s="2" t="s">
        <v>33</v>
      </c>
      <c r="I28" s="12"/>
      <c r="J28" s="12"/>
      <c r="K28" s="12"/>
      <c r="L28" s="12"/>
      <c r="M28" s="24">
        <v>1.3</v>
      </c>
      <c r="N28" s="33" t="s">
        <v>91</v>
      </c>
    </row>
    <row r="29" spans="2:14" ht="13.2" customHeight="1">
      <c r="B29" s="235"/>
      <c r="C29" s="235"/>
      <c r="D29" s="2" t="s">
        <v>37</v>
      </c>
      <c r="E29" s="2" t="s">
        <v>67</v>
      </c>
      <c r="F29" s="2" t="s">
        <v>35</v>
      </c>
      <c r="G29" s="17">
        <v>40</v>
      </c>
      <c r="H29" s="2" t="s">
        <v>38</v>
      </c>
      <c r="I29" s="10"/>
      <c r="J29" s="10"/>
      <c r="K29" s="10"/>
      <c r="L29" s="10"/>
      <c r="M29" s="22">
        <v>5.0999999999999996</v>
      </c>
      <c r="N29" s="33" t="s">
        <v>92</v>
      </c>
    </row>
    <row r="30" spans="2:14" ht="13.2" customHeight="1">
      <c r="B30" s="235"/>
      <c r="C30" s="235"/>
      <c r="D30" s="5" t="s">
        <v>68</v>
      </c>
      <c r="E30" s="2" t="s">
        <v>67</v>
      </c>
      <c r="F30" s="2" t="s">
        <v>35</v>
      </c>
      <c r="G30" s="17">
        <v>160</v>
      </c>
      <c r="H30" s="2" t="s">
        <v>39</v>
      </c>
      <c r="I30" s="12"/>
      <c r="J30" s="12"/>
      <c r="K30" s="12"/>
      <c r="L30" s="12"/>
      <c r="M30" s="24">
        <v>30.7</v>
      </c>
      <c r="N30" s="33" t="s">
        <v>93</v>
      </c>
    </row>
    <row r="31" spans="2:14" ht="13.2" customHeight="1">
      <c r="B31" s="235"/>
      <c r="C31" s="235"/>
      <c r="D31" s="2" t="s">
        <v>40</v>
      </c>
      <c r="E31" s="2" t="s">
        <v>67</v>
      </c>
      <c r="F31" s="2" t="s">
        <v>35</v>
      </c>
      <c r="G31" s="18">
        <v>1200</v>
      </c>
      <c r="H31" s="2" t="s">
        <v>41</v>
      </c>
      <c r="I31" s="12"/>
      <c r="J31" s="12"/>
      <c r="K31" s="12"/>
      <c r="L31" s="12"/>
      <c r="M31" s="24">
        <v>15.6</v>
      </c>
      <c r="N31" s="33" t="s">
        <v>94</v>
      </c>
    </row>
    <row r="32" spans="2:14" ht="13.2" customHeight="1">
      <c r="B32" s="235"/>
      <c r="C32" s="235"/>
      <c r="D32" s="2" t="s">
        <v>42</v>
      </c>
      <c r="E32" s="2" t="s">
        <v>67</v>
      </c>
      <c r="F32" s="2" t="s">
        <v>35</v>
      </c>
      <c r="G32" s="17">
        <v>10</v>
      </c>
      <c r="H32" s="2" t="s">
        <v>43</v>
      </c>
      <c r="I32" s="10"/>
      <c r="J32" s="10"/>
      <c r="K32" s="10"/>
      <c r="L32" s="10"/>
      <c r="M32" s="22">
        <v>0.97</v>
      </c>
      <c r="N32" s="33" t="s">
        <v>95</v>
      </c>
    </row>
    <row r="33" spans="2:14" ht="13.2" customHeight="1">
      <c r="B33" s="235"/>
      <c r="C33" s="235"/>
      <c r="D33" s="5" t="s">
        <v>69</v>
      </c>
      <c r="E33" s="2" t="s">
        <v>67</v>
      </c>
      <c r="F33" s="2" t="s">
        <v>35</v>
      </c>
      <c r="G33" s="17">
        <v>15</v>
      </c>
      <c r="H33" s="2" t="s">
        <v>44</v>
      </c>
      <c r="I33" s="12"/>
      <c r="J33" s="12"/>
      <c r="K33" s="12"/>
      <c r="L33" s="12"/>
      <c r="M33" s="36">
        <v>0.19400000000000001</v>
      </c>
      <c r="N33" s="33" t="s">
        <v>96</v>
      </c>
    </row>
    <row r="34" spans="2:14" ht="13.2" customHeight="1">
      <c r="B34" s="235"/>
      <c r="C34" s="235"/>
      <c r="D34" s="2" t="s">
        <v>45</v>
      </c>
      <c r="E34" s="2" t="s">
        <v>67</v>
      </c>
      <c r="F34" s="2" t="s">
        <v>35</v>
      </c>
      <c r="G34" s="17">
        <v>0.6</v>
      </c>
      <c r="H34" s="2" t="s">
        <v>41</v>
      </c>
      <c r="I34" s="13"/>
      <c r="J34" s="13"/>
      <c r="K34" s="13"/>
      <c r="L34" s="13"/>
      <c r="M34" s="25">
        <v>5.3999999999999999E-2</v>
      </c>
      <c r="N34" s="33" t="s">
        <v>97</v>
      </c>
    </row>
    <row r="35" spans="2:14" ht="13.2" customHeight="1">
      <c r="B35" s="235"/>
      <c r="C35" s="235"/>
      <c r="D35" s="2" t="s">
        <v>63</v>
      </c>
      <c r="E35" s="2" t="s">
        <v>67</v>
      </c>
      <c r="F35" s="2" t="s">
        <v>35</v>
      </c>
      <c r="G35" s="17">
        <v>20</v>
      </c>
      <c r="H35" s="2" t="s">
        <v>41</v>
      </c>
      <c r="I35" s="10"/>
      <c r="J35" s="10"/>
      <c r="K35" s="10"/>
      <c r="L35" s="10"/>
      <c r="M35" s="22">
        <v>0.99</v>
      </c>
      <c r="N35" s="33" t="s">
        <v>98</v>
      </c>
    </row>
    <row r="36" spans="2:14" ht="13.2" customHeight="1">
      <c r="B36" s="235"/>
      <c r="C36" s="235"/>
      <c r="D36" s="2" t="s">
        <v>60</v>
      </c>
      <c r="E36" s="2" t="s">
        <v>67</v>
      </c>
      <c r="F36" s="2" t="s">
        <v>50</v>
      </c>
      <c r="G36" s="17">
        <v>2</v>
      </c>
      <c r="H36" s="2" t="s">
        <v>61</v>
      </c>
      <c r="I36" s="13"/>
      <c r="J36" s="13"/>
      <c r="K36" s="13"/>
      <c r="L36" s="14"/>
      <c r="M36" s="28" t="s">
        <v>62</v>
      </c>
      <c r="N36" s="31" t="s">
        <v>74</v>
      </c>
    </row>
    <row r="37" spans="2:14" ht="13.2" customHeight="1">
      <c r="B37" s="235"/>
      <c r="C37" s="235"/>
      <c r="D37" s="2" t="s">
        <v>49</v>
      </c>
      <c r="E37" s="2" t="s">
        <v>67</v>
      </c>
      <c r="F37" s="2" t="s">
        <v>50</v>
      </c>
      <c r="G37" s="17" t="s">
        <v>74</v>
      </c>
      <c r="H37" s="2" t="s">
        <v>51</v>
      </c>
      <c r="I37" s="13"/>
      <c r="J37" s="13"/>
      <c r="K37" s="13"/>
      <c r="L37" s="14"/>
      <c r="M37" s="28" t="s">
        <v>53</v>
      </c>
      <c r="N37" s="31" t="s">
        <v>74</v>
      </c>
    </row>
    <row r="38" spans="2:14" ht="13.2" customHeight="1">
      <c r="B38" s="235"/>
      <c r="C38" s="235"/>
      <c r="D38" s="2" t="s">
        <v>54</v>
      </c>
      <c r="E38" s="2" t="s">
        <v>67</v>
      </c>
      <c r="F38" s="2" t="s">
        <v>50</v>
      </c>
      <c r="G38" s="17" t="s">
        <v>74</v>
      </c>
      <c r="H38" s="2" t="s">
        <v>55</v>
      </c>
      <c r="I38" s="13"/>
      <c r="J38" s="13"/>
      <c r="K38" s="13"/>
      <c r="L38" s="14"/>
      <c r="M38" s="28" t="s">
        <v>52</v>
      </c>
      <c r="N38" s="31" t="s">
        <v>74</v>
      </c>
    </row>
    <row r="39" spans="2:14" ht="13.2" customHeight="1">
      <c r="B39" s="235"/>
      <c r="C39" s="235"/>
      <c r="D39" s="2" t="s">
        <v>56</v>
      </c>
      <c r="E39" s="2" t="s">
        <v>67</v>
      </c>
      <c r="F39" s="2" t="s">
        <v>50</v>
      </c>
      <c r="G39" s="17" t="s">
        <v>74</v>
      </c>
      <c r="H39" s="2" t="s">
        <v>57</v>
      </c>
      <c r="I39" s="13"/>
      <c r="J39" s="13"/>
      <c r="K39" s="13"/>
      <c r="L39" s="21"/>
      <c r="M39" s="28" t="s">
        <v>59</v>
      </c>
      <c r="N39" s="31" t="s">
        <v>74</v>
      </c>
    </row>
    <row r="40" spans="2:14" ht="28.2" customHeight="1">
      <c r="B40" s="236"/>
      <c r="C40" s="236"/>
      <c r="D40" s="2" t="s">
        <v>46</v>
      </c>
      <c r="E40" s="2" t="s">
        <v>70</v>
      </c>
      <c r="F40" s="34" t="s">
        <v>47</v>
      </c>
      <c r="G40" s="35" t="s">
        <v>89</v>
      </c>
      <c r="H40" s="2" t="s">
        <v>48</v>
      </c>
      <c r="I40" s="16">
        <v>6700</v>
      </c>
      <c r="J40" s="15" t="s">
        <v>74</v>
      </c>
      <c r="K40" s="19">
        <v>16000</v>
      </c>
      <c r="L40" s="15" t="s">
        <v>74</v>
      </c>
      <c r="M40" s="20"/>
      <c r="N40" s="29"/>
    </row>
  </sheetData>
  <mergeCells count="22">
    <mergeCell ref="C6:C20"/>
    <mergeCell ref="B6:B20"/>
    <mergeCell ref="B26:B40"/>
    <mergeCell ref="C26:C40"/>
    <mergeCell ref="M2:N2"/>
    <mergeCell ref="M3:N3"/>
    <mergeCell ref="M4:N4"/>
    <mergeCell ref="I22:J22"/>
    <mergeCell ref="I23:J23"/>
    <mergeCell ref="I2:J2"/>
    <mergeCell ref="I3:J3"/>
    <mergeCell ref="I4:J4"/>
    <mergeCell ref="K2:L2"/>
    <mergeCell ref="K3:L3"/>
    <mergeCell ref="K4:L4"/>
    <mergeCell ref="I24:J24"/>
    <mergeCell ref="K22:L22"/>
    <mergeCell ref="K23:L23"/>
    <mergeCell ref="K24:L24"/>
    <mergeCell ref="M22:N22"/>
    <mergeCell ref="M23:N23"/>
    <mergeCell ref="M24:N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9066-25B5-4E1C-84BB-D53D6B4383DD}">
  <sheetPr>
    <pageSetUpPr fitToPage="1"/>
  </sheetPr>
  <dimension ref="B1:K21"/>
  <sheetViews>
    <sheetView workbookViewId="0">
      <selection activeCell="M9" sqref="M9"/>
    </sheetView>
  </sheetViews>
  <sheetFormatPr defaultRowHeight="13.2"/>
  <cols>
    <col min="1" max="1" width="3.21875" style="38" customWidth="1"/>
    <col min="2" max="2" width="13.44140625" style="38" bestFit="1" customWidth="1"/>
    <col min="3" max="3" width="12.88671875" style="38" bestFit="1" customWidth="1"/>
    <col min="4" max="4" width="9.88671875" style="38" bestFit="1" customWidth="1"/>
    <col min="5" max="5" width="11.88671875" style="38" customWidth="1"/>
    <col min="6" max="6" width="9.44140625" style="38" customWidth="1"/>
    <col min="7" max="7" width="11.33203125" style="38" bestFit="1" customWidth="1"/>
    <col min="8" max="8" width="8.88671875" style="38" customWidth="1"/>
    <col min="9" max="9" width="13.44140625" style="38" customWidth="1"/>
    <col min="10" max="10" width="15.88671875" style="38" bestFit="1" customWidth="1"/>
    <col min="11" max="11" width="5.33203125" style="38" customWidth="1"/>
    <col min="12" max="12" width="11.109375" style="38" customWidth="1"/>
    <col min="13" max="13" width="10.6640625" style="38" bestFit="1" customWidth="1"/>
    <col min="14" max="14" width="6.44140625" style="38" customWidth="1"/>
    <col min="15" max="251" width="8.88671875" style="38"/>
    <col min="252" max="252" width="13.44140625" style="38" bestFit="1" customWidth="1"/>
    <col min="253" max="253" width="12.88671875" style="38" bestFit="1" customWidth="1"/>
    <col min="254" max="254" width="9.88671875" style="38" bestFit="1" customWidth="1"/>
    <col min="255" max="255" width="11.88671875" style="38" customWidth="1"/>
    <col min="256" max="256" width="9.44140625" style="38" customWidth="1"/>
    <col min="257" max="257" width="11.33203125" style="38" bestFit="1" customWidth="1"/>
    <col min="258" max="258" width="8.88671875" style="38"/>
    <col min="259" max="259" width="13.44140625" style="38" customWidth="1"/>
    <col min="260" max="260" width="15.88671875" style="38" bestFit="1" customWidth="1"/>
    <col min="261" max="261" width="5.33203125" style="38" customWidth="1"/>
    <col min="262" max="262" width="11.109375" style="38" customWidth="1"/>
    <col min="263" max="263" width="10.6640625" style="38" bestFit="1" customWidth="1"/>
    <col min="264" max="264" width="6.44140625" style="38" customWidth="1"/>
    <col min="265" max="265" width="11.44140625" style="38" customWidth="1"/>
    <col min="266" max="266" width="15.77734375" style="38" customWidth="1"/>
    <col min="267" max="267" width="5.6640625" style="38" customWidth="1"/>
    <col min="268" max="268" width="11.21875" style="38" bestFit="1" customWidth="1"/>
    <col min="269" max="269" width="13.109375" style="38" bestFit="1" customWidth="1"/>
    <col min="270" max="507" width="8.88671875" style="38"/>
    <col min="508" max="508" width="13.44140625" style="38" bestFit="1" customWidth="1"/>
    <col min="509" max="509" width="12.88671875" style="38" bestFit="1" customWidth="1"/>
    <col min="510" max="510" width="9.88671875" style="38" bestFit="1" customWidth="1"/>
    <col min="511" max="511" width="11.88671875" style="38" customWidth="1"/>
    <col min="512" max="512" width="9.44140625" style="38" customWidth="1"/>
    <col min="513" max="513" width="11.33203125" style="38" bestFit="1" customWidth="1"/>
    <col min="514" max="514" width="8.88671875" style="38"/>
    <col min="515" max="515" width="13.44140625" style="38" customWidth="1"/>
    <col min="516" max="516" width="15.88671875" style="38" bestFit="1" customWidth="1"/>
    <col min="517" max="517" width="5.33203125" style="38" customWidth="1"/>
    <col min="518" max="518" width="11.109375" style="38" customWidth="1"/>
    <col min="519" max="519" width="10.6640625" style="38" bestFit="1" customWidth="1"/>
    <col min="520" max="520" width="6.44140625" style="38" customWidth="1"/>
    <col min="521" max="521" width="11.44140625" style="38" customWidth="1"/>
    <col min="522" max="522" width="15.77734375" style="38" customWidth="1"/>
    <col min="523" max="523" width="5.6640625" style="38" customWidth="1"/>
    <col min="524" max="524" width="11.21875" style="38" bestFit="1" customWidth="1"/>
    <col min="525" max="525" width="13.109375" style="38" bestFit="1" customWidth="1"/>
    <col min="526" max="763" width="8.88671875" style="38"/>
    <col min="764" max="764" width="13.44140625" style="38" bestFit="1" customWidth="1"/>
    <col min="765" max="765" width="12.88671875" style="38" bestFit="1" customWidth="1"/>
    <col min="766" max="766" width="9.88671875" style="38" bestFit="1" customWidth="1"/>
    <col min="767" max="767" width="11.88671875" style="38" customWidth="1"/>
    <col min="768" max="768" width="9.44140625" style="38" customWidth="1"/>
    <col min="769" max="769" width="11.33203125" style="38" bestFit="1" customWidth="1"/>
    <col min="770" max="770" width="8.88671875" style="38"/>
    <col min="771" max="771" width="13.44140625" style="38" customWidth="1"/>
    <col min="772" max="772" width="15.88671875" style="38" bestFit="1" customWidth="1"/>
    <col min="773" max="773" width="5.33203125" style="38" customWidth="1"/>
    <col min="774" max="774" width="11.109375" style="38" customWidth="1"/>
    <col min="775" max="775" width="10.6640625" style="38" bestFit="1" customWidth="1"/>
    <col min="776" max="776" width="6.44140625" style="38" customWidth="1"/>
    <col min="777" max="777" width="11.44140625" style="38" customWidth="1"/>
    <col min="778" max="778" width="15.77734375" style="38" customWidth="1"/>
    <col min="779" max="779" width="5.6640625" style="38" customWidth="1"/>
    <col min="780" max="780" width="11.21875" style="38" bestFit="1" customWidth="1"/>
    <col min="781" max="781" width="13.109375" style="38" bestFit="1" customWidth="1"/>
    <col min="782" max="1019" width="8.88671875" style="38"/>
    <col min="1020" max="1020" width="13.44140625" style="38" bestFit="1" customWidth="1"/>
    <col min="1021" max="1021" width="12.88671875" style="38" bestFit="1" customWidth="1"/>
    <col min="1022" max="1022" width="9.88671875" style="38" bestFit="1" customWidth="1"/>
    <col min="1023" max="1023" width="11.88671875" style="38" customWidth="1"/>
    <col min="1024" max="1024" width="9.44140625" style="38" customWidth="1"/>
    <col min="1025" max="1025" width="11.33203125" style="38" bestFit="1" customWidth="1"/>
    <col min="1026" max="1026" width="8.88671875" style="38"/>
    <col min="1027" max="1027" width="13.44140625" style="38" customWidth="1"/>
    <col min="1028" max="1028" width="15.88671875" style="38" bestFit="1" customWidth="1"/>
    <col min="1029" max="1029" width="5.33203125" style="38" customWidth="1"/>
    <col min="1030" max="1030" width="11.109375" style="38" customWidth="1"/>
    <col min="1031" max="1031" width="10.6640625" style="38" bestFit="1" customWidth="1"/>
    <col min="1032" max="1032" width="6.44140625" style="38" customWidth="1"/>
    <col min="1033" max="1033" width="11.44140625" style="38" customWidth="1"/>
    <col min="1034" max="1034" width="15.77734375" style="38" customWidth="1"/>
    <col min="1035" max="1035" width="5.6640625" style="38" customWidth="1"/>
    <col min="1036" max="1036" width="11.21875" style="38" bestFit="1" customWidth="1"/>
    <col min="1037" max="1037" width="13.109375" style="38" bestFit="1" customWidth="1"/>
    <col min="1038" max="1275" width="8.88671875" style="38"/>
    <col min="1276" max="1276" width="13.44140625" style="38" bestFit="1" customWidth="1"/>
    <col min="1277" max="1277" width="12.88671875" style="38" bestFit="1" customWidth="1"/>
    <col min="1278" max="1278" width="9.88671875" style="38" bestFit="1" customWidth="1"/>
    <col min="1279" max="1279" width="11.88671875" style="38" customWidth="1"/>
    <col min="1280" max="1280" width="9.44140625" style="38" customWidth="1"/>
    <col min="1281" max="1281" width="11.33203125" style="38" bestFit="1" customWidth="1"/>
    <col min="1282" max="1282" width="8.88671875" style="38"/>
    <col min="1283" max="1283" width="13.44140625" style="38" customWidth="1"/>
    <col min="1284" max="1284" width="15.88671875" style="38" bestFit="1" customWidth="1"/>
    <col min="1285" max="1285" width="5.33203125" style="38" customWidth="1"/>
    <col min="1286" max="1286" width="11.109375" style="38" customWidth="1"/>
    <col min="1287" max="1287" width="10.6640625" style="38" bestFit="1" customWidth="1"/>
    <col min="1288" max="1288" width="6.44140625" style="38" customWidth="1"/>
    <col min="1289" max="1289" width="11.44140625" style="38" customWidth="1"/>
    <col min="1290" max="1290" width="15.77734375" style="38" customWidth="1"/>
    <col min="1291" max="1291" width="5.6640625" style="38" customWidth="1"/>
    <col min="1292" max="1292" width="11.21875" style="38" bestFit="1" customWidth="1"/>
    <col min="1293" max="1293" width="13.109375" style="38" bestFit="1" customWidth="1"/>
    <col min="1294" max="1531" width="8.88671875" style="38"/>
    <col min="1532" max="1532" width="13.44140625" style="38" bestFit="1" customWidth="1"/>
    <col min="1533" max="1533" width="12.88671875" style="38" bestFit="1" customWidth="1"/>
    <col min="1534" max="1534" width="9.88671875" style="38" bestFit="1" customWidth="1"/>
    <col min="1535" max="1535" width="11.88671875" style="38" customWidth="1"/>
    <col min="1536" max="1536" width="9.44140625" style="38" customWidth="1"/>
    <col min="1537" max="1537" width="11.33203125" style="38" bestFit="1" customWidth="1"/>
    <col min="1538" max="1538" width="8.88671875" style="38"/>
    <col min="1539" max="1539" width="13.44140625" style="38" customWidth="1"/>
    <col min="1540" max="1540" width="15.88671875" style="38" bestFit="1" customWidth="1"/>
    <col min="1541" max="1541" width="5.33203125" style="38" customWidth="1"/>
    <col min="1542" max="1542" width="11.109375" style="38" customWidth="1"/>
    <col min="1543" max="1543" width="10.6640625" style="38" bestFit="1" customWidth="1"/>
    <col min="1544" max="1544" width="6.44140625" style="38" customWidth="1"/>
    <col min="1545" max="1545" width="11.44140625" style="38" customWidth="1"/>
    <col min="1546" max="1546" width="15.77734375" style="38" customWidth="1"/>
    <col min="1547" max="1547" width="5.6640625" style="38" customWidth="1"/>
    <col min="1548" max="1548" width="11.21875" style="38" bestFit="1" customWidth="1"/>
    <col min="1549" max="1549" width="13.109375" style="38" bestFit="1" customWidth="1"/>
    <col min="1550" max="1787" width="8.88671875" style="38"/>
    <col min="1788" max="1788" width="13.44140625" style="38" bestFit="1" customWidth="1"/>
    <col min="1789" max="1789" width="12.88671875" style="38" bestFit="1" customWidth="1"/>
    <col min="1790" max="1790" width="9.88671875" style="38" bestFit="1" customWidth="1"/>
    <col min="1791" max="1791" width="11.88671875" style="38" customWidth="1"/>
    <col min="1792" max="1792" width="9.44140625" style="38" customWidth="1"/>
    <col min="1793" max="1793" width="11.33203125" style="38" bestFit="1" customWidth="1"/>
    <col min="1794" max="1794" width="8.88671875" style="38"/>
    <col min="1795" max="1795" width="13.44140625" style="38" customWidth="1"/>
    <col min="1796" max="1796" width="15.88671875" style="38" bestFit="1" customWidth="1"/>
    <col min="1797" max="1797" width="5.33203125" style="38" customWidth="1"/>
    <col min="1798" max="1798" width="11.109375" style="38" customWidth="1"/>
    <col min="1799" max="1799" width="10.6640625" style="38" bestFit="1" customWidth="1"/>
    <col min="1800" max="1800" width="6.44140625" style="38" customWidth="1"/>
    <col min="1801" max="1801" width="11.44140625" style="38" customWidth="1"/>
    <col min="1802" max="1802" width="15.77734375" style="38" customWidth="1"/>
    <col min="1803" max="1803" width="5.6640625" style="38" customWidth="1"/>
    <col min="1804" max="1804" width="11.21875" style="38" bestFit="1" customWidth="1"/>
    <col min="1805" max="1805" width="13.109375" style="38" bestFit="1" customWidth="1"/>
    <col min="1806" max="2043" width="8.88671875" style="38"/>
    <col min="2044" max="2044" width="13.44140625" style="38" bestFit="1" customWidth="1"/>
    <col min="2045" max="2045" width="12.88671875" style="38" bestFit="1" customWidth="1"/>
    <col min="2046" max="2046" width="9.88671875" style="38" bestFit="1" customWidth="1"/>
    <col min="2047" max="2047" width="11.88671875" style="38" customWidth="1"/>
    <col min="2048" max="2048" width="9.44140625" style="38" customWidth="1"/>
    <col min="2049" max="2049" width="11.33203125" style="38" bestFit="1" customWidth="1"/>
    <col min="2050" max="2050" width="8.88671875" style="38"/>
    <col min="2051" max="2051" width="13.44140625" style="38" customWidth="1"/>
    <col min="2052" max="2052" width="15.88671875" style="38" bestFit="1" customWidth="1"/>
    <col min="2053" max="2053" width="5.33203125" style="38" customWidth="1"/>
    <col min="2054" max="2054" width="11.109375" style="38" customWidth="1"/>
    <col min="2055" max="2055" width="10.6640625" style="38" bestFit="1" customWidth="1"/>
    <col min="2056" max="2056" width="6.44140625" style="38" customWidth="1"/>
    <col min="2057" max="2057" width="11.44140625" style="38" customWidth="1"/>
    <col min="2058" max="2058" width="15.77734375" style="38" customWidth="1"/>
    <col min="2059" max="2059" width="5.6640625" style="38" customWidth="1"/>
    <col min="2060" max="2060" width="11.21875" style="38" bestFit="1" customWidth="1"/>
    <col min="2061" max="2061" width="13.109375" style="38" bestFit="1" customWidth="1"/>
    <col min="2062" max="2299" width="8.88671875" style="38"/>
    <col min="2300" max="2300" width="13.44140625" style="38" bestFit="1" customWidth="1"/>
    <col min="2301" max="2301" width="12.88671875" style="38" bestFit="1" customWidth="1"/>
    <col min="2302" max="2302" width="9.88671875" style="38" bestFit="1" customWidth="1"/>
    <col min="2303" max="2303" width="11.88671875" style="38" customWidth="1"/>
    <col min="2304" max="2304" width="9.44140625" style="38" customWidth="1"/>
    <col min="2305" max="2305" width="11.33203125" style="38" bestFit="1" customWidth="1"/>
    <col min="2306" max="2306" width="8.88671875" style="38"/>
    <col min="2307" max="2307" width="13.44140625" style="38" customWidth="1"/>
    <col min="2308" max="2308" width="15.88671875" style="38" bestFit="1" customWidth="1"/>
    <col min="2309" max="2309" width="5.33203125" style="38" customWidth="1"/>
    <col min="2310" max="2310" width="11.109375" style="38" customWidth="1"/>
    <col min="2311" max="2311" width="10.6640625" style="38" bestFit="1" customWidth="1"/>
    <col min="2312" max="2312" width="6.44140625" style="38" customWidth="1"/>
    <col min="2313" max="2313" width="11.44140625" style="38" customWidth="1"/>
    <col min="2314" max="2314" width="15.77734375" style="38" customWidth="1"/>
    <col min="2315" max="2315" width="5.6640625" style="38" customWidth="1"/>
    <col min="2316" max="2316" width="11.21875" style="38" bestFit="1" customWidth="1"/>
    <col min="2317" max="2317" width="13.109375" style="38" bestFit="1" customWidth="1"/>
    <col min="2318" max="2555" width="8.88671875" style="38"/>
    <col min="2556" max="2556" width="13.44140625" style="38" bestFit="1" customWidth="1"/>
    <col min="2557" max="2557" width="12.88671875" style="38" bestFit="1" customWidth="1"/>
    <col min="2558" max="2558" width="9.88671875" style="38" bestFit="1" customWidth="1"/>
    <col min="2559" max="2559" width="11.88671875" style="38" customWidth="1"/>
    <col min="2560" max="2560" width="9.44140625" style="38" customWidth="1"/>
    <col min="2561" max="2561" width="11.33203125" style="38" bestFit="1" customWidth="1"/>
    <col min="2562" max="2562" width="8.88671875" style="38"/>
    <col min="2563" max="2563" width="13.44140625" style="38" customWidth="1"/>
    <col min="2564" max="2564" width="15.88671875" style="38" bestFit="1" customWidth="1"/>
    <col min="2565" max="2565" width="5.33203125" style="38" customWidth="1"/>
    <col min="2566" max="2566" width="11.109375" style="38" customWidth="1"/>
    <col min="2567" max="2567" width="10.6640625" style="38" bestFit="1" customWidth="1"/>
    <col min="2568" max="2568" width="6.44140625" style="38" customWidth="1"/>
    <col min="2569" max="2569" width="11.44140625" style="38" customWidth="1"/>
    <col min="2570" max="2570" width="15.77734375" style="38" customWidth="1"/>
    <col min="2571" max="2571" width="5.6640625" style="38" customWidth="1"/>
    <col min="2572" max="2572" width="11.21875" style="38" bestFit="1" customWidth="1"/>
    <col min="2573" max="2573" width="13.109375" style="38" bestFit="1" customWidth="1"/>
    <col min="2574" max="2811" width="8.88671875" style="38"/>
    <col min="2812" max="2812" width="13.44140625" style="38" bestFit="1" customWidth="1"/>
    <col min="2813" max="2813" width="12.88671875" style="38" bestFit="1" customWidth="1"/>
    <col min="2814" max="2814" width="9.88671875" style="38" bestFit="1" customWidth="1"/>
    <col min="2815" max="2815" width="11.88671875" style="38" customWidth="1"/>
    <col min="2816" max="2816" width="9.44140625" style="38" customWidth="1"/>
    <col min="2817" max="2817" width="11.33203125" style="38" bestFit="1" customWidth="1"/>
    <col min="2818" max="2818" width="8.88671875" style="38"/>
    <col min="2819" max="2819" width="13.44140625" style="38" customWidth="1"/>
    <col min="2820" max="2820" width="15.88671875" style="38" bestFit="1" customWidth="1"/>
    <col min="2821" max="2821" width="5.33203125" style="38" customWidth="1"/>
    <col min="2822" max="2822" width="11.109375" style="38" customWidth="1"/>
    <col min="2823" max="2823" width="10.6640625" style="38" bestFit="1" customWidth="1"/>
    <col min="2824" max="2824" width="6.44140625" style="38" customWidth="1"/>
    <col min="2825" max="2825" width="11.44140625" style="38" customWidth="1"/>
    <col min="2826" max="2826" width="15.77734375" style="38" customWidth="1"/>
    <col min="2827" max="2827" width="5.6640625" style="38" customWidth="1"/>
    <col min="2828" max="2828" width="11.21875" style="38" bestFit="1" customWidth="1"/>
    <col min="2829" max="2829" width="13.109375" style="38" bestFit="1" customWidth="1"/>
    <col min="2830" max="3067" width="8.88671875" style="38"/>
    <col min="3068" max="3068" width="13.44140625" style="38" bestFit="1" customWidth="1"/>
    <col min="3069" max="3069" width="12.88671875" style="38" bestFit="1" customWidth="1"/>
    <col min="3070" max="3070" width="9.88671875" style="38" bestFit="1" customWidth="1"/>
    <col min="3071" max="3071" width="11.88671875" style="38" customWidth="1"/>
    <col min="3072" max="3072" width="9.44140625" style="38" customWidth="1"/>
    <col min="3073" max="3073" width="11.33203125" style="38" bestFit="1" customWidth="1"/>
    <col min="3074" max="3074" width="8.88671875" style="38"/>
    <col min="3075" max="3075" width="13.44140625" style="38" customWidth="1"/>
    <col min="3076" max="3076" width="15.88671875" style="38" bestFit="1" customWidth="1"/>
    <col min="3077" max="3077" width="5.33203125" style="38" customWidth="1"/>
    <col min="3078" max="3078" width="11.109375" style="38" customWidth="1"/>
    <col min="3079" max="3079" width="10.6640625" style="38" bestFit="1" customWidth="1"/>
    <col min="3080" max="3080" width="6.44140625" style="38" customWidth="1"/>
    <col min="3081" max="3081" width="11.44140625" style="38" customWidth="1"/>
    <col min="3082" max="3082" width="15.77734375" style="38" customWidth="1"/>
    <col min="3083" max="3083" width="5.6640625" style="38" customWidth="1"/>
    <col min="3084" max="3084" width="11.21875" style="38" bestFit="1" customWidth="1"/>
    <col min="3085" max="3085" width="13.109375" style="38" bestFit="1" customWidth="1"/>
    <col min="3086" max="3323" width="8.88671875" style="38"/>
    <col min="3324" max="3324" width="13.44140625" style="38" bestFit="1" customWidth="1"/>
    <col min="3325" max="3325" width="12.88671875" style="38" bestFit="1" customWidth="1"/>
    <col min="3326" max="3326" width="9.88671875" style="38" bestFit="1" customWidth="1"/>
    <col min="3327" max="3327" width="11.88671875" style="38" customWidth="1"/>
    <col min="3328" max="3328" width="9.44140625" style="38" customWidth="1"/>
    <col min="3329" max="3329" width="11.33203125" style="38" bestFit="1" customWidth="1"/>
    <col min="3330" max="3330" width="8.88671875" style="38"/>
    <col min="3331" max="3331" width="13.44140625" style="38" customWidth="1"/>
    <col min="3332" max="3332" width="15.88671875" style="38" bestFit="1" customWidth="1"/>
    <col min="3333" max="3333" width="5.33203125" style="38" customWidth="1"/>
    <col min="3334" max="3334" width="11.109375" style="38" customWidth="1"/>
    <col min="3335" max="3335" width="10.6640625" style="38" bestFit="1" customWidth="1"/>
    <col min="3336" max="3336" width="6.44140625" style="38" customWidth="1"/>
    <col min="3337" max="3337" width="11.44140625" style="38" customWidth="1"/>
    <col min="3338" max="3338" width="15.77734375" style="38" customWidth="1"/>
    <col min="3339" max="3339" width="5.6640625" style="38" customWidth="1"/>
    <col min="3340" max="3340" width="11.21875" style="38" bestFit="1" customWidth="1"/>
    <col min="3341" max="3341" width="13.109375" style="38" bestFit="1" customWidth="1"/>
    <col min="3342" max="3579" width="8.88671875" style="38"/>
    <col min="3580" max="3580" width="13.44140625" style="38" bestFit="1" customWidth="1"/>
    <col min="3581" max="3581" width="12.88671875" style="38" bestFit="1" customWidth="1"/>
    <col min="3582" max="3582" width="9.88671875" style="38" bestFit="1" customWidth="1"/>
    <col min="3583" max="3583" width="11.88671875" style="38" customWidth="1"/>
    <col min="3584" max="3584" width="9.44140625" style="38" customWidth="1"/>
    <col min="3585" max="3585" width="11.33203125" style="38" bestFit="1" customWidth="1"/>
    <col min="3586" max="3586" width="8.88671875" style="38"/>
    <col min="3587" max="3587" width="13.44140625" style="38" customWidth="1"/>
    <col min="3588" max="3588" width="15.88671875" style="38" bestFit="1" customWidth="1"/>
    <col min="3589" max="3589" width="5.33203125" style="38" customWidth="1"/>
    <col min="3590" max="3590" width="11.109375" style="38" customWidth="1"/>
    <col min="3591" max="3591" width="10.6640625" style="38" bestFit="1" customWidth="1"/>
    <col min="3592" max="3592" width="6.44140625" style="38" customWidth="1"/>
    <col min="3593" max="3593" width="11.44140625" style="38" customWidth="1"/>
    <col min="3594" max="3594" width="15.77734375" style="38" customWidth="1"/>
    <col min="3595" max="3595" width="5.6640625" style="38" customWidth="1"/>
    <col min="3596" max="3596" width="11.21875" style="38" bestFit="1" customWidth="1"/>
    <col min="3597" max="3597" width="13.109375" style="38" bestFit="1" customWidth="1"/>
    <col min="3598" max="3835" width="8.88671875" style="38"/>
    <col min="3836" max="3836" width="13.44140625" style="38" bestFit="1" customWidth="1"/>
    <col min="3837" max="3837" width="12.88671875" style="38" bestFit="1" customWidth="1"/>
    <col min="3838" max="3838" width="9.88671875" style="38" bestFit="1" customWidth="1"/>
    <col min="3839" max="3839" width="11.88671875" style="38" customWidth="1"/>
    <col min="3840" max="3840" width="9.44140625" style="38" customWidth="1"/>
    <col min="3841" max="3841" width="11.33203125" style="38" bestFit="1" customWidth="1"/>
    <col min="3842" max="3842" width="8.88671875" style="38"/>
    <col min="3843" max="3843" width="13.44140625" style="38" customWidth="1"/>
    <col min="3844" max="3844" width="15.88671875" style="38" bestFit="1" customWidth="1"/>
    <col min="3845" max="3845" width="5.33203125" style="38" customWidth="1"/>
    <col min="3846" max="3846" width="11.109375" style="38" customWidth="1"/>
    <col min="3847" max="3847" width="10.6640625" style="38" bestFit="1" customWidth="1"/>
    <col min="3848" max="3848" width="6.44140625" style="38" customWidth="1"/>
    <col min="3849" max="3849" width="11.44140625" style="38" customWidth="1"/>
    <col min="3850" max="3850" width="15.77734375" style="38" customWidth="1"/>
    <col min="3851" max="3851" width="5.6640625" style="38" customWidth="1"/>
    <col min="3852" max="3852" width="11.21875" style="38" bestFit="1" customWidth="1"/>
    <col min="3853" max="3853" width="13.109375" style="38" bestFit="1" customWidth="1"/>
    <col min="3854" max="4091" width="8.88671875" style="38"/>
    <col min="4092" max="4092" width="13.44140625" style="38" bestFit="1" customWidth="1"/>
    <col min="4093" max="4093" width="12.88671875" style="38" bestFit="1" customWidth="1"/>
    <col min="4094" max="4094" width="9.88671875" style="38" bestFit="1" customWidth="1"/>
    <col min="4095" max="4095" width="11.88671875" style="38" customWidth="1"/>
    <col min="4096" max="4096" width="9.44140625" style="38" customWidth="1"/>
    <col min="4097" max="4097" width="11.33203125" style="38" bestFit="1" customWidth="1"/>
    <col min="4098" max="4098" width="8.88671875" style="38"/>
    <col min="4099" max="4099" width="13.44140625" style="38" customWidth="1"/>
    <col min="4100" max="4100" width="15.88671875" style="38" bestFit="1" customWidth="1"/>
    <col min="4101" max="4101" width="5.33203125" style="38" customWidth="1"/>
    <col min="4102" max="4102" width="11.109375" style="38" customWidth="1"/>
    <col min="4103" max="4103" width="10.6640625" style="38" bestFit="1" customWidth="1"/>
    <col min="4104" max="4104" width="6.44140625" style="38" customWidth="1"/>
    <col min="4105" max="4105" width="11.44140625" style="38" customWidth="1"/>
    <col min="4106" max="4106" width="15.77734375" style="38" customWidth="1"/>
    <col min="4107" max="4107" width="5.6640625" style="38" customWidth="1"/>
    <col min="4108" max="4108" width="11.21875" style="38" bestFit="1" customWidth="1"/>
    <col min="4109" max="4109" width="13.109375" style="38" bestFit="1" customWidth="1"/>
    <col min="4110" max="4347" width="8.88671875" style="38"/>
    <col min="4348" max="4348" width="13.44140625" style="38" bestFit="1" customWidth="1"/>
    <col min="4349" max="4349" width="12.88671875" style="38" bestFit="1" customWidth="1"/>
    <col min="4350" max="4350" width="9.88671875" style="38" bestFit="1" customWidth="1"/>
    <col min="4351" max="4351" width="11.88671875" style="38" customWidth="1"/>
    <col min="4352" max="4352" width="9.44140625" style="38" customWidth="1"/>
    <col min="4353" max="4353" width="11.33203125" style="38" bestFit="1" customWidth="1"/>
    <col min="4354" max="4354" width="8.88671875" style="38"/>
    <col min="4355" max="4355" width="13.44140625" style="38" customWidth="1"/>
    <col min="4356" max="4356" width="15.88671875" style="38" bestFit="1" customWidth="1"/>
    <col min="4357" max="4357" width="5.33203125" style="38" customWidth="1"/>
    <col min="4358" max="4358" width="11.109375" style="38" customWidth="1"/>
    <col min="4359" max="4359" width="10.6640625" style="38" bestFit="1" customWidth="1"/>
    <col min="4360" max="4360" width="6.44140625" style="38" customWidth="1"/>
    <col min="4361" max="4361" width="11.44140625" style="38" customWidth="1"/>
    <col min="4362" max="4362" width="15.77734375" style="38" customWidth="1"/>
    <col min="4363" max="4363" width="5.6640625" style="38" customWidth="1"/>
    <col min="4364" max="4364" width="11.21875" style="38" bestFit="1" customWidth="1"/>
    <col min="4365" max="4365" width="13.109375" style="38" bestFit="1" customWidth="1"/>
    <col min="4366" max="4603" width="8.88671875" style="38"/>
    <col min="4604" max="4604" width="13.44140625" style="38" bestFit="1" customWidth="1"/>
    <col min="4605" max="4605" width="12.88671875" style="38" bestFit="1" customWidth="1"/>
    <col min="4606" max="4606" width="9.88671875" style="38" bestFit="1" customWidth="1"/>
    <col min="4607" max="4607" width="11.88671875" style="38" customWidth="1"/>
    <col min="4608" max="4608" width="9.44140625" style="38" customWidth="1"/>
    <col min="4609" max="4609" width="11.33203125" style="38" bestFit="1" customWidth="1"/>
    <col min="4610" max="4610" width="8.88671875" style="38"/>
    <col min="4611" max="4611" width="13.44140625" style="38" customWidth="1"/>
    <col min="4612" max="4612" width="15.88671875" style="38" bestFit="1" customWidth="1"/>
    <col min="4613" max="4613" width="5.33203125" style="38" customWidth="1"/>
    <col min="4614" max="4614" width="11.109375" style="38" customWidth="1"/>
    <col min="4615" max="4615" width="10.6640625" style="38" bestFit="1" customWidth="1"/>
    <col min="4616" max="4616" width="6.44140625" style="38" customWidth="1"/>
    <col min="4617" max="4617" width="11.44140625" style="38" customWidth="1"/>
    <col min="4618" max="4618" width="15.77734375" style="38" customWidth="1"/>
    <col min="4619" max="4619" width="5.6640625" style="38" customWidth="1"/>
    <col min="4620" max="4620" width="11.21875" style="38" bestFit="1" customWidth="1"/>
    <col min="4621" max="4621" width="13.109375" style="38" bestFit="1" customWidth="1"/>
    <col min="4622" max="4859" width="8.88671875" style="38"/>
    <col min="4860" max="4860" width="13.44140625" style="38" bestFit="1" customWidth="1"/>
    <col min="4861" max="4861" width="12.88671875" style="38" bestFit="1" customWidth="1"/>
    <col min="4862" max="4862" width="9.88671875" style="38" bestFit="1" customWidth="1"/>
    <col min="4863" max="4863" width="11.88671875" style="38" customWidth="1"/>
    <col min="4864" max="4864" width="9.44140625" style="38" customWidth="1"/>
    <col min="4865" max="4865" width="11.33203125" style="38" bestFit="1" customWidth="1"/>
    <col min="4866" max="4866" width="8.88671875" style="38"/>
    <col min="4867" max="4867" width="13.44140625" style="38" customWidth="1"/>
    <col min="4868" max="4868" width="15.88671875" style="38" bestFit="1" customWidth="1"/>
    <col min="4869" max="4869" width="5.33203125" style="38" customWidth="1"/>
    <col min="4870" max="4870" width="11.109375" style="38" customWidth="1"/>
    <col min="4871" max="4871" width="10.6640625" style="38" bestFit="1" customWidth="1"/>
    <col min="4872" max="4872" width="6.44140625" style="38" customWidth="1"/>
    <col min="4873" max="4873" width="11.44140625" style="38" customWidth="1"/>
    <col min="4874" max="4874" width="15.77734375" style="38" customWidth="1"/>
    <col min="4875" max="4875" width="5.6640625" style="38" customWidth="1"/>
    <col min="4876" max="4876" width="11.21875" style="38" bestFit="1" customWidth="1"/>
    <col min="4877" max="4877" width="13.109375" style="38" bestFit="1" customWidth="1"/>
    <col min="4878" max="5115" width="8.88671875" style="38"/>
    <col min="5116" max="5116" width="13.44140625" style="38" bestFit="1" customWidth="1"/>
    <col min="5117" max="5117" width="12.88671875" style="38" bestFit="1" customWidth="1"/>
    <col min="5118" max="5118" width="9.88671875" style="38" bestFit="1" customWidth="1"/>
    <col min="5119" max="5119" width="11.88671875" style="38" customWidth="1"/>
    <col min="5120" max="5120" width="9.44140625" style="38" customWidth="1"/>
    <col min="5121" max="5121" width="11.33203125" style="38" bestFit="1" customWidth="1"/>
    <col min="5122" max="5122" width="8.88671875" style="38"/>
    <col min="5123" max="5123" width="13.44140625" style="38" customWidth="1"/>
    <col min="5124" max="5124" width="15.88671875" style="38" bestFit="1" customWidth="1"/>
    <col min="5125" max="5125" width="5.33203125" style="38" customWidth="1"/>
    <col min="5126" max="5126" width="11.109375" style="38" customWidth="1"/>
    <col min="5127" max="5127" width="10.6640625" style="38" bestFit="1" customWidth="1"/>
    <col min="5128" max="5128" width="6.44140625" style="38" customWidth="1"/>
    <col min="5129" max="5129" width="11.44140625" style="38" customWidth="1"/>
    <col min="5130" max="5130" width="15.77734375" style="38" customWidth="1"/>
    <col min="5131" max="5131" width="5.6640625" style="38" customWidth="1"/>
    <col min="5132" max="5132" width="11.21875" style="38" bestFit="1" customWidth="1"/>
    <col min="5133" max="5133" width="13.109375" style="38" bestFit="1" customWidth="1"/>
    <col min="5134" max="5371" width="8.88671875" style="38"/>
    <col min="5372" max="5372" width="13.44140625" style="38" bestFit="1" customWidth="1"/>
    <col min="5373" max="5373" width="12.88671875" style="38" bestFit="1" customWidth="1"/>
    <col min="5374" max="5374" width="9.88671875" style="38" bestFit="1" customWidth="1"/>
    <col min="5375" max="5375" width="11.88671875" style="38" customWidth="1"/>
    <col min="5376" max="5376" width="9.44140625" style="38" customWidth="1"/>
    <col min="5377" max="5377" width="11.33203125" style="38" bestFit="1" customWidth="1"/>
    <col min="5378" max="5378" width="8.88671875" style="38"/>
    <col min="5379" max="5379" width="13.44140625" style="38" customWidth="1"/>
    <col min="5380" max="5380" width="15.88671875" style="38" bestFit="1" customWidth="1"/>
    <col min="5381" max="5381" width="5.33203125" style="38" customWidth="1"/>
    <col min="5382" max="5382" width="11.109375" style="38" customWidth="1"/>
    <col min="5383" max="5383" width="10.6640625" style="38" bestFit="1" customWidth="1"/>
    <col min="5384" max="5384" width="6.44140625" style="38" customWidth="1"/>
    <col min="5385" max="5385" width="11.44140625" style="38" customWidth="1"/>
    <col min="5386" max="5386" width="15.77734375" style="38" customWidth="1"/>
    <col min="5387" max="5387" width="5.6640625" style="38" customWidth="1"/>
    <col min="5388" max="5388" width="11.21875" style="38" bestFit="1" customWidth="1"/>
    <col min="5389" max="5389" width="13.109375" style="38" bestFit="1" customWidth="1"/>
    <col min="5390" max="5627" width="8.88671875" style="38"/>
    <col min="5628" max="5628" width="13.44140625" style="38" bestFit="1" customWidth="1"/>
    <col min="5629" max="5629" width="12.88671875" style="38" bestFit="1" customWidth="1"/>
    <col min="5630" max="5630" width="9.88671875" style="38" bestFit="1" customWidth="1"/>
    <col min="5631" max="5631" width="11.88671875" style="38" customWidth="1"/>
    <col min="5632" max="5632" width="9.44140625" style="38" customWidth="1"/>
    <col min="5633" max="5633" width="11.33203125" style="38" bestFit="1" customWidth="1"/>
    <col min="5634" max="5634" width="8.88671875" style="38"/>
    <col min="5635" max="5635" width="13.44140625" style="38" customWidth="1"/>
    <col min="5636" max="5636" width="15.88671875" style="38" bestFit="1" customWidth="1"/>
    <col min="5637" max="5637" width="5.33203125" style="38" customWidth="1"/>
    <col min="5638" max="5638" width="11.109375" style="38" customWidth="1"/>
    <col min="5639" max="5639" width="10.6640625" style="38" bestFit="1" customWidth="1"/>
    <col min="5640" max="5640" width="6.44140625" style="38" customWidth="1"/>
    <col min="5641" max="5641" width="11.44140625" style="38" customWidth="1"/>
    <col min="5642" max="5642" width="15.77734375" style="38" customWidth="1"/>
    <col min="5643" max="5643" width="5.6640625" style="38" customWidth="1"/>
    <col min="5644" max="5644" width="11.21875" style="38" bestFit="1" customWidth="1"/>
    <col min="5645" max="5645" width="13.109375" style="38" bestFit="1" customWidth="1"/>
    <col min="5646" max="5883" width="8.88671875" style="38"/>
    <col min="5884" max="5884" width="13.44140625" style="38" bestFit="1" customWidth="1"/>
    <col min="5885" max="5885" width="12.88671875" style="38" bestFit="1" customWidth="1"/>
    <col min="5886" max="5886" width="9.88671875" style="38" bestFit="1" customWidth="1"/>
    <col min="5887" max="5887" width="11.88671875" style="38" customWidth="1"/>
    <col min="5888" max="5888" width="9.44140625" style="38" customWidth="1"/>
    <col min="5889" max="5889" width="11.33203125" style="38" bestFit="1" customWidth="1"/>
    <col min="5890" max="5890" width="8.88671875" style="38"/>
    <col min="5891" max="5891" width="13.44140625" style="38" customWidth="1"/>
    <col min="5892" max="5892" width="15.88671875" style="38" bestFit="1" customWidth="1"/>
    <col min="5893" max="5893" width="5.33203125" style="38" customWidth="1"/>
    <col min="5894" max="5894" width="11.109375" style="38" customWidth="1"/>
    <col min="5895" max="5895" width="10.6640625" style="38" bestFit="1" customWidth="1"/>
    <col min="5896" max="5896" width="6.44140625" style="38" customWidth="1"/>
    <col min="5897" max="5897" width="11.44140625" style="38" customWidth="1"/>
    <col min="5898" max="5898" width="15.77734375" style="38" customWidth="1"/>
    <col min="5899" max="5899" width="5.6640625" style="38" customWidth="1"/>
    <col min="5900" max="5900" width="11.21875" style="38" bestFit="1" customWidth="1"/>
    <col min="5901" max="5901" width="13.109375" style="38" bestFit="1" customWidth="1"/>
    <col min="5902" max="6139" width="8.88671875" style="38"/>
    <col min="6140" max="6140" width="13.44140625" style="38" bestFit="1" customWidth="1"/>
    <col min="6141" max="6141" width="12.88671875" style="38" bestFit="1" customWidth="1"/>
    <col min="6142" max="6142" width="9.88671875" style="38" bestFit="1" customWidth="1"/>
    <col min="6143" max="6143" width="11.88671875" style="38" customWidth="1"/>
    <col min="6144" max="6144" width="9.44140625" style="38" customWidth="1"/>
    <col min="6145" max="6145" width="11.33203125" style="38" bestFit="1" customWidth="1"/>
    <col min="6146" max="6146" width="8.88671875" style="38"/>
    <col min="6147" max="6147" width="13.44140625" style="38" customWidth="1"/>
    <col min="6148" max="6148" width="15.88671875" style="38" bestFit="1" customWidth="1"/>
    <col min="6149" max="6149" width="5.33203125" style="38" customWidth="1"/>
    <col min="6150" max="6150" width="11.109375" style="38" customWidth="1"/>
    <col min="6151" max="6151" width="10.6640625" style="38" bestFit="1" customWidth="1"/>
    <col min="6152" max="6152" width="6.44140625" style="38" customWidth="1"/>
    <col min="6153" max="6153" width="11.44140625" style="38" customWidth="1"/>
    <col min="6154" max="6154" width="15.77734375" style="38" customWidth="1"/>
    <col min="6155" max="6155" width="5.6640625" style="38" customWidth="1"/>
    <col min="6156" max="6156" width="11.21875" style="38" bestFit="1" customWidth="1"/>
    <col min="6157" max="6157" width="13.109375" style="38" bestFit="1" customWidth="1"/>
    <col min="6158" max="6395" width="8.88671875" style="38"/>
    <col min="6396" max="6396" width="13.44140625" style="38" bestFit="1" customWidth="1"/>
    <col min="6397" max="6397" width="12.88671875" style="38" bestFit="1" customWidth="1"/>
    <col min="6398" max="6398" width="9.88671875" style="38" bestFit="1" customWidth="1"/>
    <col min="6399" max="6399" width="11.88671875" style="38" customWidth="1"/>
    <col min="6400" max="6400" width="9.44140625" style="38" customWidth="1"/>
    <col min="6401" max="6401" width="11.33203125" style="38" bestFit="1" customWidth="1"/>
    <col min="6402" max="6402" width="8.88671875" style="38"/>
    <col min="6403" max="6403" width="13.44140625" style="38" customWidth="1"/>
    <col min="6404" max="6404" width="15.88671875" style="38" bestFit="1" customWidth="1"/>
    <col min="6405" max="6405" width="5.33203125" style="38" customWidth="1"/>
    <col min="6406" max="6406" width="11.109375" style="38" customWidth="1"/>
    <col min="6407" max="6407" width="10.6640625" style="38" bestFit="1" customWidth="1"/>
    <col min="6408" max="6408" width="6.44140625" style="38" customWidth="1"/>
    <col min="6409" max="6409" width="11.44140625" style="38" customWidth="1"/>
    <col min="6410" max="6410" width="15.77734375" style="38" customWidth="1"/>
    <col min="6411" max="6411" width="5.6640625" style="38" customWidth="1"/>
    <col min="6412" max="6412" width="11.21875" style="38" bestFit="1" customWidth="1"/>
    <col min="6413" max="6413" width="13.109375" style="38" bestFit="1" customWidth="1"/>
    <col min="6414" max="6651" width="8.88671875" style="38"/>
    <col min="6652" max="6652" width="13.44140625" style="38" bestFit="1" customWidth="1"/>
    <col min="6653" max="6653" width="12.88671875" style="38" bestFit="1" customWidth="1"/>
    <col min="6654" max="6654" width="9.88671875" style="38" bestFit="1" customWidth="1"/>
    <col min="6655" max="6655" width="11.88671875" style="38" customWidth="1"/>
    <col min="6656" max="6656" width="9.44140625" style="38" customWidth="1"/>
    <col min="6657" max="6657" width="11.33203125" style="38" bestFit="1" customWidth="1"/>
    <col min="6658" max="6658" width="8.88671875" style="38"/>
    <col min="6659" max="6659" width="13.44140625" style="38" customWidth="1"/>
    <col min="6660" max="6660" width="15.88671875" style="38" bestFit="1" customWidth="1"/>
    <col min="6661" max="6661" width="5.33203125" style="38" customWidth="1"/>
    <col min="6662" max="6662" width="11.109375" style="38" customWidth="1"/>
    <col min="6663" max="6663" width="10.6640625" style="38" bestFit="1" customWidth="1"/>
    <col min="6664" max="6664" width="6.44140625" style="38" customWidth="1"/>
    <col min="6665" max="6665" width="11.44140625" style="38" customWidth="1"/>
    <col min="6666" max="6666" width="15.77734375" style="38" customWidth="1"/>
    <col min="6667" max="6667" width="5.6640625" style="38" customWidth="1"/>
    <col min="6668" max="6668" width="11.21875" style="38" bestFit="1" customWidth="1"/>
    <col min="6669" max="6669" width="13.109375" style="38" bestFit="1" customWidth="1"/>
    <col min="6670" max="6907" width="8.88671875" style="38"/>
    <col min="6908" max="6908" width="13.44140625" style="38" bestFit="1" customWidth="1"/>
    <col min="6909" max="6909" width="12.88671875" style="38" bestFit="1" customWidth="1"/>
    <col min="6910" max="6910" width="9.88671875" style="38" bestFit="1" customWidth="1"/>
    <col min="6911" max="6911" width="11.88671875" style="38" customWidth="1"/>
    <col min="6912" max="6912" width="9.44140625" style="38" customWidth="1"/>
    <col min="6913" max="6913" width="11.33203125" style="38" bestFit="1" customWidth="1"/>
    <col min="6914" max="6914" width="8.88671875" style="38"/>
    <col min="6915" max="6915" width="13.44140625" style="38" customWidth="1"/>
    <col min="6916" max="6916" width="15.88671875" style="38" bestFit="1" customWidth="1"/>
    <col min="6917" max="6917" width="5.33203125" style="38" customWidth="1"/>
    <col min="6918" max="6918" width="11.109375" style="38" customWidth="1"/>
    <col min="6919" max="6919" width="10.6640625" style="38" bestFit="1" customWidth="1"/>
    <col min="6920" max="6920" width="6.44140625" style="38" customWidth="1"/>
    <col min="6921" max="6921" width="11.44140625" style="38" customWidth="1"/>
    <col min="6922" max="6922" width="15.77734375" style="38" customWidth="1"/>
    <col min="6923" max="6923" width="5.6640625" style="38" customWidth="1"/>
    <col min="6924" max="6924" width="11.21875" style="38" bestFit="1" customWidth="1"/>
    <col min="6925" max="6925" width="13.109375" style="38" bestFit="1" customWidth="1"/>
    <col min="6926" max="7163" width="8.88671875" style="38"/>
    <col min="7164" max="7164" width="13.44140625" style="38" bestFit="1" customWidth="1"/>
    <col min="7165" max="7165" width="12.88671875" style="38" bestFit="1" customWidth="1"/>
    <col min="7166" max="7166" width="9.88671875" style="38" bestFit="1" customWidth="1"/>
    <col min="7167" max="7167" width="11.88671875" style="38" customWidth="1"/>
    <col min="7168" max="7168" width="9.44140625" style="38" customWidth="1"/>
    <col min="7169" max="7169" width="11.33203125" style="38" bestFit="1" customWidth="1"/>
    <col min="7170" max="7170" width="8.88671875" style="38"/>
    <col min="7171" max="7171" width="13.44140625" style="38" customWidth="1"/>
    <col min="7172" max="7172" width="15.88671875" style="38" bestFit="1" customWidth="1"/>
    <col min="7173" max="7173" width="5.33203125" style="38" customWidth="1"/>
    <col min="7174" max="7174" width="11.109375" style="38" customWidth="1"/>
    <col min="7175" max="7175" width="10.6640625" style="38" bestFit="1" customWidth="1"/>
    <col min="7176" max="7176" width="6.44140625" style="38" customWidth="1"/>
    <col min="7177" max="7177" width="11.44140625" style="38" customWidth="1"/>
    <col min="7178" max="7178" width="15.77734375" style="38" customWidth="1"/>
    <col min="7179" max="7179" width="5.6640625" style="38" customWidth="1"/>
    <col min="7180" max="7180" width="11.21875" style="38" bestFit="1" customWidth="1"/>
    <col min="7181" max="7181" width="13.109375" style="38" bestFit="1" customWidth="1"/>
    <col min="7182" max="7419" width="8.88671875" style="38"/>
    <col min="7420" max="7420" width="13.44140625" style="38" bestFit="1" customWidth="1"/>
    <col min="7421" max="7421" width="12.88671875" style="38" bestFit="1" customWidth="1"/>
    <col min="7422" max="7422" width="9.88671875" style="38" bestFit="1" customWidth="1"/>
    <col min="7423" max="7423" width="11.88671875" style="38" customWidth="1"/>
    <col min="7424" max="7424" width="9.44140625" style="38" customWidth="1"/>
    <col min="7425" max="7425" width="11.33203125" style="38" bestFit="1" customWidth="1"/>
    <col min="7426" max="7426" width="8.88671875" style="38"/>
    <col min="7427" max="7427" width="13.44140625" style="38" customWidth="1"/>
    <col min="7428" max="7428" width="15.88671875" style="38" bestFit="1" customWidth="1"/>
    <col min="7429" max="7429" width="5.33203125" style="38" customWidth="1"/>
    <col min="7430" max="7430" width="11.109375" style="38" customWidth="1"/>
    <col min="7431" max="7431" width="10.6640625" style="38" bestFit="1" customWidth="1"/>
    <col min="7432" max="7432" width="6.44140625" style="38" customWidth="1"/>
    <col min="7433" max="7433" width="11.44140625" style="38" customWidth="1"/>
    <col min="7434" max="7434" width="15.77734375" style="38" customWidth="1"/>
    <col min="7435" max="7435" width="5.6640625" style="38" customWidth="1"/>
    <col min="7436" max="7436" width="11.21875" style="38" bestFit="1" customWidth="1"/>
    <col min="7437" max="7437" width="13.109375" style="38" bestFit="1" customWidth="1"/>
    <col min="7438" max="7675" width="8.88671875" style="38"/>
    <col min="7676" max="7676" width="13.44140625" style="38" bestFit="1" customWidth="1"/>
    <col min="7677" max="7677" width="12.88671875" style="38" bestFit="1" customWidth="1"/>
    <col min="7678" max="7678" width="9.88671875" style="38" bestFit="1" customWidth="1"/>
    <col min="7679" max="7679" width="11.88671875" style="38" customWidth="1"/>
    <col min="7680" max="7680" width="9.44140625" style="38" customWidth="1"/>
    <col min="7681" max="7681" width="11.33203125" style="38" bestFit="1" customWidth="1"/>
    <col min="7682" max="7682" width="8.88671875" style="38"/>
    <col min="7683" max="7683" width="13.44140625" style="38" customWidth="1"/>
    <col min="7684" max="7684" width="15.88671875" style="38" bestFit="1" customWidth="1"/>
    <col min="7685" max="7685" width="5.33203125" style="38" customWidth="1"/>
    <col min="7686" max="7686" width="11.109375" style="38" customWidth="1"/>
    <col min="7687" max="7687" width="10.6640625" style="38" bestFit="1" customWidth="1"/>
    <col min="7688" max="7688" width="6.44140625" style="38" customWidth="1"/>
    <col min="7689" max="7689" width="11.44140625" style="38" customWidth="1"/>
    <col min="7690" max="7690" width="15.77734375" style="38" customWidth="1"/>
    <col min="7691" max="7691" width="5.6640625" style="38" customWidth="1"/>
    <col min="7692" max="7692" width="11.21875" style="38" bestFit="1" customWidth="1"/>
    <col min="7693" max="7693" width="13.109375" style="38" bestFit="1" customWidth="1"/>
    <col min="7694" max="7931" width="8.88671875" style="38"/>
    <col min="7932" max="7932" width="13.44140625" style="38" bestFit="1" customWidth="1"/>
    <col min="7933" max="7933" width="12.88671875" style="38" bestFit="1" customWidth="1"/>
    <col min="7934" max="7934" width="9.88671875" style="38" bestFit="1" customWidth="1"/>
    <col min="7935" max="7935" width="11.88671875" style="38" customWidth="1"/>
    <col min="7936" max="7936" width="9.44140625" style="38" customWidth="1"/>
    <col min="7937" max="7937" width="11.33203125" style="38" bestFit="1" customWidth="1"/>
    <col min="7938" max="7938" width="8.88671875" style="38"/>
    <col min="7939" max="7939" width="13.44140625" style="38" customWidth="1"/>
    <col min="7940" max="7940" width="15.88671875" style="38" bestFit="1" customWidth="1"/>
    <col min="7941" max="7941" width="5.33203125" style="38" customWidth="1"/>
    <col min="7942" max="7942" width="11.109375" style="38" customWidth="1"/>
    <col min="7943" max="7943" width="10.6640625" style="38" bestFit="1" customWidth="1"/>
    <col min="7944" max="7944" width="6.44140625" style="38" customWidth="1"/>
    <col min="7945" max="7945" width="11.44140625" style="38" customWidth="1"/>
    <col min="7946" max="7946" width="15.77734375" style="38" customWidth="1"/>
    <col min="7947" max="7947" width="5.6640625" style="38" customWidth="1"/>
    <col min="7948" max="7948" width="11.21875" style="38" bestFit="1" customWidth="1"/>
    <col min="7949" max="7949" width="13.109375" style="38" bestFit="1" customWidth="1"/>
    <col min="7950" max="8187" width="8.88671875" style="38"/>
    <col min="8188" max="8188" width="13.44140625" style="38" bestFit="1" customWidth="1"/>
    <col min="8189" max="8189" width="12.88671875" style="38" bestFit="1" customWidth="1"/>
    <col min="8190" max="8190" width="9.88671875" style="38" bestFit="1" customWidth="1"/>
    <col min="8191" max="8191" width="11.88671875" style="38" customWidth="1"/>
    <col min="8192" max="8192" width="9.44140625" style="38" customWidth="1"/>
    <col min="8193" max="8193" width="11.33203125" style="38" bestFit="1" customWidth="1"/>
    <col min="8194" max="8194" width="8.88671875" style="38"/>
    <col min="8195" max="8195" width="13.44140625" style="38" customWidth="1"/>
    <col min="8196" max="8196" width="15.88671875" style="38" bestFit="1" customWidth="1"/>
    <col min="8197" max="8197" width="5.33203125" style="38" customWidth="1"/>
    <col min="8198" max="8198" width="11.109375" style="38" customWidth="1"/>
    <col min="8199" max="8199" width="10.6640625" style="38" bestFit="1" customWidth="1"/>
    <col min="8200" max="8200" width="6.44140625" style="38" customWidth="1"/>
    <col min="8201" max="8201" width="11.44140625" style="38" customWidth="1"/>
    <col min="8202" max="8202" width="15.77734375" style="38" customWidth="1"/>
    <col min="8203" max="8203" width="5.6640625" style="38" customWidth="1"/>
    <col min="8204" max="8204" width="11.21875" style="38" bestFit="1" customWidth="1"/>
    <col min="8205" max="8205" width="13.109375" style="38" bestFit="1" customWidth="1"/>
    <col min="8206" max="8443" width="8.88671875" style="38"/>
    <col min="8444" max="8444" width="13.44140625" style="38" bestFit="1" customWidth="1"/>
    <col min="8445" max="8445" width="12.88671875" style="38" bestFit="1" customWidth="1"/>
    <col min="8446" max="8446" width="9.88671875" style="38" bestFit="1" customWidth="1"/>
    <col min="8447" max="8447" width="11.88671875" style="38" customWidth="1"/>
    <col min="8448" max="8448" width="9.44140625" style="38" customWidth="1"/>
    <col min="8449" max="8449" width="11.33203125" style="38" bestFit="1" customWidth="1"/>
    <col min="8450" max="8450" width="8.88671875" style="38"/>
    <col min="8451" max="8451" width="13.44140625" style="38" customWidth="1"/>
    <col min="8452" max="8452" width="15.88671875" style="38" bestFit="1" customWidth="1"/>
    <col min="8453" max="8453" width="5.33203125" style="38" customWidth="1"/>
    <col min="8454" max="8454" width="11.109375" style="38" customWidth="1"/>
    <col min="8455" max="8455" width="10.6640625" style="38" bestFit="1" customWidth="1"/>
    <col min="8456" max="8456" width="6.44140625" style="38" customWidth="1"/>
    <col min="8457" max="8457" width="11.44140625" style="38" customWidth="1"/>
    <col min="8458" max="8458" width="15.77734375" style="38" customWidth="1"/>
    <col min="8459" max="8459" width="5.6640625" style="38" customWidth="1"/>
    <col min="8460" max="8460" width="11.21875" style="38" bestFit="1" customWidth="1"/>
    <col min="8461" max="8461" width="13.109375" style="38" bestFit="1" customWidth="1"/>
    <col min="8462" max="8699" width="8.88671875" style="38"/>
    <col min="8700" max="8700" width="13.44140625" style="38" bestFit="1" customWidth="1"/>
    <col min="8701" max="8701" width="12.88671875" style="38" bestFit="1" customWidth="1"/>
    <col min="8702" max="8702" width="9.88671875" style="38" bestFit="1" customWidth="1"/>
    <col min="8703" max="8703" width="11.88671875" style="38" customWidth="1"/>
    <col min="8704" max="8704" width="9.44140625" style="38" customWidth="1"/>
    <col min="8705" max="8705" width="11.33203125" style="38" bestFit="1" customWidth="1"/>
    <col min="8706" max="8706" width="8.88671875" style="38"/>
    <col min="8707" max="8707" width="13.44140625" style="38" customWidth="1"/>
    <col min="8708" max="8708" width="15.88671875" style="38" bestFit="1" customWidth="1"/>
    <col min="8709" max="8709" width="5.33203125" style="38" customWidth="1"/>
    <col min="8710" max="8710" width="11.109375" style="38" customWidth="1"/>
    <col min="8711" max="8711" width="10.6640625" style="38" bestFit="1" customWidth="1"/>
    <col min="8712" max="8712" width="6.44140625" style="38" customWidth="1"/>
    <col min="8713" max="8713" width="11.44140625" style="38" customWidth="1"/>
    <col min="8714" max="8714" width="15.77734375" style="38" customWidth="1"/>
    <col min="8715" max="8715" width="5.6640625" style="38" customWidth="1"/>
    <col min="8716" max="8716" width="11.21875" style="38" bestFit="1" customWidth="1"/>
    <col min="8717" max="8717" width="13.109375" style="38" bestFit="1" customWidth="1"/>
    <col min="8718" max="8955" width="8.88671875" style="38"/>
    <col min="8956" max="8956" width="13.44140625" style="38" bestFit="1" customWidth="1"/>
    <col min="8957" max="8957" width="12.88671875" style="38" bestFit="1" customWidth="1"/>
    <col min="8958" max="8958" width="9.88671875" style="38" bestFit="1" customWidth="1"/>
    <col min="8959" max="8959" width="11.88671875" style="38" customWidth="1"/>
    <col min="8960" max="8960" width="9.44140625" style="38" customWidth="1"/>
    <col min="8961" max="8961" width="11.33203125" style="38" bestFit="1" customWidth="1"/>
    <col min="8962" max="8962" width="8.88671875" style="38"/>
    <col min="8963" max="8963" width="13.44140625" style="38" customWidth="1"/>
    <col min="8964" max="8964" width="15.88671875" style="38" bestFit="1" customWidth="1"/>
    <col min="8965" max="8965" width="5.33203125" style="38" customWidth="1"/>
    <col min="8966" max="8966" width="11.109375" style="38" customWidth="1"/>
    <col min="8967" max="8967" width="10.6640625" style="38" bestFit="1" customWidth="1"/>
    <col min="8968" max="8968" width="6.44140625" style="38" customWidth="1"/>
    <col min="8969" max="8969" width="11.44140625" style="38" customWidth="1"/>
    <col min="8970" max="8970" width="15.77734375" style="38" customWidth="1"/>
    <col min="8971" max="8971" width="5.6640625" style="38" customWidth="1"/>
    <col min="8972" max="8972" width="11.21875" style="38" bestFit="1" customWidth="1"/>
    <col min="8973" max="8973" width="13.109375" style="38" bestFit="1" customWidth="1"/>
    <col min="8974" max="9211" width="8.88671875" style="38"/>
    <col min="9212" max="9212" width="13.44140625" style="38" bestFit="1" customWidth="1"/>
    <col min="9213" max="9213" width="12.88671875" style="38" bestFit="1" customWidth="1"/>
    <col min="9214" max="9214" width="9.88671875" style="38" bestFit="1" customWidth="1"/>
    <col min="9215" max="9215" width="11.88671875" style="38" customWidth="1"/>
    <col min="9216" max="9216" width="9.44140625" style="38" customWidth="1"/>
    <col min="9217" max="9217" width="11.33203125" style="38" bestFit="1" customWidth="1"/>
    <col min="9218" max="9218" width="8.88671875" style="38"/>
    <col min="9219" max="9219" width="13.44140625" style="38" customWidth="1"/>
    <col min="9220" max="9220" width="15.88671875" style="38" bestFit="1" customWidth="1"/>
    <col min="9221" max="9221" width="5.33203125" style="38" customWidth="1"/>
    <col min="9222" max="9222" width="11.109375" style="38" customWidth="1"/>
    <col min="9223" max="9223" width="10.6640625" style="38" bestFit="1" customWidth="1"/>
    <col min="9224" max="9224" width="6.44140625" style="38" customWidth="1"/>
    <col min="9225" max="9225" width="11.44140625" style="38" customWidth="1"/>
    <col min="9226" max="9226" width="15.77734375" style="38" customWidth="1"/>
    <col min="9227" max="9227" width="5.6640625" style="38" customWidth="1"/>
    <col min="9228" max="9228" width="11.21875" style="38" bestFit="1" customWidth="1"/>
    <col min="9229" max="9229" width="13.109375" style="38" bestFit="1" customWidth="1"/>
    <col min="9230" max="9467" width="8.88671875" style="38"/>
    <col min="9468" max="9468" width="13.44140625" style="38" bestFit="1" customWidth="1"/>
    <col min="9469" max="9469" width="12.88671875" style="38" bestFit="1" customWidth="1"/>
    <col min="9470" max="9470" width="9.88671875" style="38" bestFit="1" customWidth="1"/>
    <col min="9471" max="9471" width="11.88671875" style="38" customWidth="1"/>
    <col min="9472" max="9472" width="9.44140625" style="38" customWidth="1"/>
    <col min="9473" max="9473" width="11.33203125" style="38" bestFit="1" customWidth="1"/>
    <col min="9474" max="9474" width="8.88671875" style="38"/>
    <col min="9475" max="9475" width="13.44140625" style="38" customWidth="1"/>
    <col min="9476" max="9476" width="15.88671875" style="38" bestFit="1" customWidth="1"/>
    <col min="9477" max="9477" width="5.33203125" style="38" customWidth="1"/>
    <col min="9478" max="9478" width="11.109375" style="38" customWidth="1"/>
    <col min="9479" max="9479" width="10.6640625" style="38" bestFit="1" customWidth="1"/>
    <col min="9480" max="9480" width="6.44140625" style="38" customWidth="1"/>
    <col min="9481" max="9481" width="11.44140625" style="38" customWidth="1"/>
    <col min="9482" max="9482" width="15.77734375" style="38" customWidth="1"/>
    <col min="9483" max="9483" width="5.6640625" style="38" customWidth="1"/>
    <col min="9484" max="9484" width="11.21875" style="38" bestFit="1" customWidth="1"/>
    <col min="9485" max="9485" width="13.109375" style="38" bestFit="1" customWidth="1"/>
    <col min="9486" max="9723" width="8.88671875" style="38"/>
    <col min="9724" max="9724" width="13.44140625" style="38" bestFit="1" customWidth="1"/>
    <col min="9725" max="9725" width="12.88671875" style="38" bestFit="1" customWidth="1"/>
    <col min="9726" max="9726" width="9.88671875" style="38" bestFit="1" customWidth="1"/>
    <col min="9727" max="9727" width="11.88671875" style="38" customWidth="1"/>
    <col min="9728" max="9728" width="9.44140625" style="38" customWidth="1"/>
    <col min="9729" max="9729" width="11.33203125" style="38" bestFit="1" customWidth="1"/>
    <col min="9730" max="9730" width="8.88671875" style="38"/>
    <col min="9731" max="9731" width="13.44140625" style="38" customWidth="1"/>
    <col min="9732" max="9732" width="15.88671875" style="38" bestFit="1" customWidth="1"/>
    <col min="9733" max="9733" width="5.33203125" style="38" customWidth="1"/>
    <col min="9734" max="9734" width="11.109375" style="38" customWidth="1"/>
    <col min="9735" max="9735" width="10.6640625" style="38" bestFit="1" customWidth="1"/>
    <col min="9736" max="9736" width="6.44140625" style="38" customWidth="1"/>
    <col min="9737" max="9737" width="11.44140625" style="38" customWidth="1"/>
    <col min="9738" max="9738" width="15.77734375" style="38" customWidth="1"/>
    <col min="9739" max="9739" width="5.6640625" style="38" customWidth="1"/>
    <col min="9740" max="9740" width="11.21875" style="38" bestFit="1" customWidth="1"/>
    <col min="9741" max="9741" width="13.109375" style="38" bestFit="1" customWidth="1"/>
    <col min="9742" max="9979" width="8.88671875" style="38"/>
    <col min="9980" max="9980" width="13.44140625" style="38" bestFit="1" customWidth="1"/>
    <col min="9981" max="9981" width="12.88671875" style="38" bestFit="1" customWidth="1"/>
    <col min="9982" max="9982" width="9.88671875" style="38" bestFit="1" customWidth="1"/>
    <col min="9983" max="9983" width="11.88671875" style="38" customWidth="1"/>
    <col min="9984" max="9984" width="9.44140625" style="38" customWidth="1"/>
    <col min="9985" max="9985" width="11.33203125" style="38" bestFit="1" customWidth="1"/>
    <col min="9986" max="9986" width="8.88671875" style="38"/>
    <col min="9987" max="9987" width="13.44140625" style="38" customWidth="1"/>
    <col min="9988" max="9988" width="15.88671875" style="38" bestFit="1" customWidth="1"/>
    <col min="9989" max="9989" width="5.33203125" style="38" customWidth="1"/>
    <col min="9990" max="9990" width="11.109375" style="38" customWidth="1"/>
    <col min="9991" max="9991" width="10.6640625" style="38" bestFit="1" customWidth="1"/>
    <col min="9992" max="9992" width="6.44140625" style="38" customWidth="1"/>
    <col min="9993" max="9993" width="11.44140625" style="38" customWidth="1"/>
    <col min="9994" max="9994" width="15.77734375" style="38" customWidth="1"/>
    <col min="9995" max="9995" width="5.6640625" style="38" customWidth="1"/>
    <col min="9996" max="9996" width="11.21875" style="38" bestFit="1" customWidth="1"/>
    <col min="9997" max="9997" width="13.109375" style="38" bestFit="1" customWidth="1"/>
    <col min="9998" max="10235" width="8.88671875" style="38"/>
    <col min="10236" max="10236" width="13.44140625" style="38" bestFit="1" customWidth="1"/>
    <col min="10237" max="10237" width="12.88671875" style="38" bestFit="1" customWidth="1"/>
    <col min="10238" max="10238" width="9.88671875" style="38" bestFit="1" customWidth="1"/>
    <col min="10239" max="10239" width="11.88671875" style="38" customWidth="1"/>
    <col min="10240" max="10240" width="9.44140625" style="38" customWidth="1"/>
    <col min="10241" max="10241" width="11.33203125" style="38" bestFit="1" customWidth="1"/>
    <col min="10242" max="10242" width="8.88671875" style="38"/>
    <col min="10243" max="10243" width="13.44140625" style="38" customWidth="1"/>
    <col min="10244" max="10244" width="15.88671875" style="38" bestFit="1" customWidth="1"/>
    <col min="10245" max="10245" width="5.33203125" style="38" customWidth="1"/>
    <col min="10246" max="10246" width="11.109375" style="38" customWidth="1"/>
    <col min="10247" max="10247" width="10.6640625" style="38" bestFit="1" customWidth="1"/>
    <col min="10248" max="10248" width="6.44140625" style="38" customWidth="1"/>
    <col min="10249" max="10249" width="11.44140625" style="38" customWidth="1"/>
    <col min="10250" max="10250" width="15.77734375" style="38" customWidth="1"/>
    <col min="10251" max="10251" width="5.6640625" style="38" customWidth="1"/>
    <col min="10252" max="10252" width="11.21875" style="38" bestFit="1" customWidth="1"/>
    <col min="10253" max="10253" width="13.109375" style="38" bestFit="1" customWidth="1"/>
    <col min="10254" max="10491" width="8.88671875" style="38"/>
    <col min="10492" max="10492" width="13.44140625" style="38" bestFit="1" customWidth="1"/>
    <col min="10493" max="10493" width="12.88671875" style="38" bestFit="1" customWidth="1"/>
    <col min="10494" max="10494" width="9.88671875" style="38" bestFit="1" customWidth="1"/>
    <col min="10495" max="10495" width="11.88671875" style="38" customWidth="1"/>
    <col min="10496" max="10496" width="9.44140625" style="38" customWidth="1"/>
    <col min="10497" max="10497" width="11.33203125" style="38" bestFit="1" customWidth="1"/>
    <col min="10498" max="10498" width="8.88671875" style="38"/>
    <col min="10499" max="10499" width="13.44140625" style="38" customWidth="1"/>
    <col min="10500" max="10500" width="15.88671875" style="38" bestFit="1" customWidth="1"/>
    <col min="10501" max="10501" width="5.33203125" style="38" customWidth="1"/>
    <col min="10502" max="10502" width="11.109375" style="38" customWidth="1"/>
    <col min="10503" max="10503" width="10.6640625" style="38" bestFit="1" customWidth="1"/>
    <col min="10504" max="10504" width="6.44140625" style="38" customWidth="1"/>
    <col min="10505" max="10505" width="11.44140625" style="38" customWidth="1"/>
    <col min="10506" max="10506" width="15.77734375" style="38" customWidth="1"/>
    <col min="10507" max="10507" width="5.6640625" style="38" customWidth="1"/>
    <col min="10508" max="10508" width="11.21875" style="38" bestFit="1" customWidth="1"/>
    <col min="10509" max="10509" width="13.109375" style="38" bestFit="1" customWidth="1"/>
    <col min="10510" max="10747" width="8.88671875" style="38"/>
    <col min="10748" max="10748" width="13.44140625" style="38" bestFit="1" customWidth="1"/>
    <col min="10749" max="10749" width="12.88671875" style="38" bestFit="1" customWidth="1"/>
    <col min="10750" max="10750" width="9.88671875" style="38" bestFit="1" customWidth="1"/>
    <col min="10751" max="10751" width="11.88671875" style="38" customWidth="1"/>
    <col min="10752" max="10752" width="9.44140625" style="38" customWidth="1"/>
    <col min="10753" max="10753" width="11.33203125" style="38" bestFit="1" customWidth="1"/>
    <col min="10754" max="10754" width="8.88671875" style="38"/>
    <col min="10755" max="10755" width="13.44140625" style="38" customWidth="1"/>
    <col min="10756" max="10756" width="15.88671875" style="38" bestFit="1" customWidth="1"/>
    <col min="10757" max="10757" width="5.33203125" style="38" customWidth="1"/>
    <col min="10758" max="10758" width="11.109375" style="38" customWidth="1"/>
    <col min="10759" max="10759" width="10.6640625" style="38" bestFit="1" customWidth="1"/>
    <col min="10760" max="10760" width="6.44140625" style="38" customWidth="1"/>
    <col min="10761" max="10761" width="11.44140625" style="38" customWidth="1"/>
    <col min="10762" max="10762" width="15.77734375" style="38" customWidth="1"/>
    <col min="10763" max="10763" width="5.6640625" style="38" customWidth="1"/>
    <col min="10764" max="10764" width="11.21875" style="38" bestFit="1" customWidth="1"/>
    <col min="10765" max="10765" width="13.109375" style="38" bestFit="1" customWidth="1"/>
    <col min="10766" max="11003" width="8.88671875" style="38"/>
    <col min="11004" max="11004" width="13.44140625" style="38" bestFit="1" customWidth="1"/>
    <col min="11005" max="11005" width="12.88671875" style="38" bestFit="1" customWidth="1"/>
    <col min="11006" max="11006" width="9.88671875" style="38" bestFit="1" customWidth="1"/>
    <col min="11007" max="11007" width="11.88671875" style="38" customWidth="1"/>
    <col min="11008" max="11008" width="9.44140625" style="38" customWidth="1"/>
    <col min="11009" max="11009" width="11.33203125" style="38" bestFit="1" customWidth="1"/>
    <col min="11010" max="11010" width="8.88671875" style="38"/>
    <col min="11011" max="11011" width="13.44140625" style="38" customWidth="1"/>
    <col min="11012" max="11012" width="15.88671875" style="38" bestFit="1" customWidth="1"/>
    <col min="11013" max="11013" width="5.33203125" style="38" customWidth="1"/>
    <col min="11014" max="11014" width="11.109375" style="38" customWidth="1"/>
    <col min="11015" max="11015" width="10.6640625" style="38" bestFit="1" customWidth="1"/>
    <col min="11016" max="11016" width="6.44140625" style="38" customWidth="1"/>
    <col min="11017" max="11017" width="11.44140625" style="38" customWidth="1"/>
    <col min="11018" max="11018" width="15.77734375" style="38" customWidth="1"/>
    <col min="11019" max="11019" width="5.6640625" style="38" customWidth="1"/>
    <col min="11020" max="11020" width="11.21875" style="38" bestFit="1" customWidth="1"/>
    <col min="11021" max="11021" width="13.109375" style="38" bestFit="1" customWidth="1"/>
    <col min="11022" max="11259" width="8.88671875" style="38"/>
    <col min="11260" max="11260" width="13.44140625" style="38" bestFit="1" customWidth="1"/>
    <col min="11261" max="11261" width="12.88671875" style="38" bestFit="1" customWidth="1"/>
    <col min="11262" max="11262" width="9.88671875" style="38" bestFit="1" customWidth="1"/>
    <col min="11263" max="11263" width="11.88671875" style="38" customWidth="1"/>
    <col min="11264" max="11264" width="9.44140625" style="38" customWidth="1"/>
    <col min="11265" max="11265" width="11.33203125" style="38" bestFit="1" customWidth="1"/>
    <col min="11266" max="11266" width="8.88671875" style="38"/>
    <col min="11267" max="11267" width="13.44140625" style="38" customWidth="1"/>
    <col min="11268" max="11268" width="15.88671875" style="38" bestFit="1" customWidth="1"/>
    <col min="11269" max="11269" width="5.33203125" style="38" customWidth="1"/>
    <col min="11270" max="11270" width="11.109375" style="38" customWidth="1"/>
    <col min="11271" max="11271" width="10.6640625" style="38" bestFit="1" customWidth="1"/>
    <col min="11272" max="11272" width="6.44140625" style="38" customWidth="1"/>
    <col min="11273" max="11273" width="11.44140625" style="38" customWidth="1"/>
    <col min="11274" max="11274" width="15.77734375" style="38" customWidth="1"/>
    <col min="11275" max="11275" width="5.6640625" style="38" customWidth="1"/>
    <col min="11276" max="11276" width="11.21875" style="38" bestFit="1" customWidth="1"/>
    <col min="11277" max="11277" width="13.109375" style="38" bestFit="1" customWidth="1"/>
    <col min="11278" max="11515" width="8.88671875" style="38"/>
    <col min="11516" max="11516" width="13.44140625" style="38" bestFit="1" customWidth="1"/>
    <col min="11517" max="11517" width="12.88671875" style="38" bestFit="1" customWidth="1"/>
    <col min="11518" max="11518" width="9.88671875" style="38" bestFit="1" customWidth="1"/>
    <col min="11519" max="11519" width="11.88671875" style="38" customWidth="1"/>
    <col min="11520" max="11520" width="9.44140625" style="38" customWidth="1"/>
    <col min="11521" max="11521" width="11.33203125" style="38" bestFit="1" customWidth="1"/>
    <col min="11522" max="11522" width="8.88671875" style="38"/>
    <col min="11523" max="11523" width="13.44140625" style="38" customWidth="1"/>
    <col min="11524" max="11524" width="15.88671875" style="38" bestFit="1" customWidth="1"/>
    <col min="11525" max="11525" width="5.33203125" style="38" customWidth="1"/>
    <col min="11526" max="11526" width="11.109375" style="38" customWidth="1"/>
    <col min="11527" max="11527" width="10.6640625" style="38" bestFit="1" customWidth="1"/>
    <col min="11528" max="11528" width="6.44140625" style="38" customWidth="1"/>
    <col min="11529" max="11529" width="11.44140625" style="38" customWidth="1"/>
    <col min="11530" max="11530" width="15.77734375" style="38" customWidth="1"/>
    <col min="11531" max="11531" width="5.6640625" style="38" customWidth="1"/>
    <col min="11532" max="11532" width="11.21875" style="38" bestFit="1" customWidth="1"/>
    <col min="11533" max="11533" width="13.109375" style="38" bestFit="1" customWidth="1"/>
    <col min="11534" max="11771" width="8.88671875" style="38"/>
    <col min="11772" max="11772" width="13.44140625" style="38" bestFit="1" customWidth="1"/>
    <col min="11773" max="11773" width="12.88671875" style="38" bestFit="1" customWidth="1"/>
    <col min="11774" max="11774" width="9.88671875" style="38" bestFit="1" customWidth="1"/>
    <col min="11775" max="11775" width="11.88671875" style="38" customWidth="1"/>
    <col min="11776" max="11776" width="9.44140625" style="38" customWidth="1"/>
    <col min="11777" max="11777" width="11.33203125" style="38" bestFit="1" customWidth="1"/>
    <col min="11778" max="11778" width="8.88671875" style="38"/>
    <col min="11779" max="11779" width="13.44140625" style="38" customWidth="1"/>
    <col min="11780" max="11780" width="15.88671875" style="38" bestFit="1" customWidth="1"/>
    <col min="11781" max="11781" width="5.33203125" style="38" customWidth="1"/>
    <col min="11782" max="11782" width="11.109375" style="38" customWidth="1"/>
    <col min="11783" max="11783" width="10.6640625" style="38" bestFit="1" customWidth="1"/>
    <col min="11784" max="11784" width="6.44140625" style="38" customWidth="1"/>
    <col min="11785" max="11785" width="11.44140625" style="38" customWidth="1"/>
    <col min="11786" max="11786" width="15.77734375" style="38" customWidth="1"/>
    <col min="11787" max="11787" width="5.6640625" style="38" customWidth="1"/>
    <col min="11788" max="11788" width="11.21875" style="38" bestFit="1" customWidth="1"/>
    <col min="11789" max="11789" width="13.109375" style="38" bestFit="1" customWidth="1"/>
    <col min="11790" max="12027" width="8.88671875" style="38"/>
    <col min="12028" max="12028" width="13.44140625" style="38" bestFit="1" customWidth="1"/>
    <col min="12029" max="12029" width="12.88671875" style="38" bestFit="1" customWidth="1"/>
    <col min="12030" max="12030" width="9.88671875" style="38" bestFit="1" customWidth="1"/>
    <col min="12031" max="12031" width="11.88671875" style="38" customWidth="1"/>
    <col min="12032" max="12032" width="9.44140625" style="38" customWidth="1"/>
    <col min="12033" max="12033" width="11.33203125" style="38" bestFit="1" customWidth="1"/>
    <col min="12034" max="12034" width="8.88671875" style="38"/>
    <col min="12035" max="12035" width="13.44140625" style="38" customWidth="1"/>
    <col min="12036" max="12036" width="15.88671875" style="38" bestFit="1" customWidth="1"/>
    <col min="12037" max="12037" width="5.33203125" style="38" customWidth="1"/>
    <col min="12038" max="12038" width="11.109375" style="38" customWidth="1"/>
    <col min="12039" max="12039" width="10.6640625" style="38" bestFit="1" customWidth="1"/>
    <col min="12040" max="12040" width="6.44140625" style="38" customWidth="1"/>
    <col min="12041" max="12041" width="11.44140625" style="38" customWidth="1"/>
    <col min="12042" max="12042" width="15.77734375" style="38" customWidth="1"/>
    <col min="12043" max="12043" width="5.6640625" style="38" customWidth="1"/>
    <col min="12044" max="12044" width="11.21875" style="38" bestFit="1" customWidth="1"/>
    <col min="12045" max="12045" width="13.109375" style="38" bestFit="1" customWidth="1"/>
    <col min="12046" max="12283" width="8.88671875" style="38"/>
    <col min="12284" max="12284" width="13.44140625" style="38" bestFit="1" customWidth="1"/>
    <col min="12285" max="12285" width="12.88671875" style="38" bestFit="1" customWidth="1"/>
    <col min="12286" max="12286" width="9.88671875" style="38" bestFit="1" customWidth="1"/>
    <col min="12287" max="12287" width="11.88671875" style="38" customWidth="1"/>
    <col min="12288" max="12288" width="9.44140625" style="38" customWidth="1"/>
    <col min="12289" max="12289" width="11.33203125" style="38" bestFit="1" customWidth="1"/>
    <col min="12290" max="12290" width="8.88671875" style="38"/>
    <col min="12291" max="12291" width="13.44140625" style="38" customWidth="1"/>
    <col min="12292" max="12292" width="15.88671875" style="38" bestFit="1" customWidth="1"/>
    <col min="12293" max="12293" width="5.33203125" style="38" customWidth="1"/>
    <col min="12294" max="12294" width="11.109375" style="38" customWidth="1"/>
    <col min="12295" max="12295" width="10.6640625" style="38" bestFit="1" customWidth="1"/>
    <col min="12296" max="12296" width="6.44140625" style="38" customWidth="1"/>
    <col min="12297" max="12297" width="11.44140625" style="38" customWidth="1"/>
    <col min="12298" max="12298" width="15.77734375" style="38" customWidth="1"/>
    <col min="12299" max="12299" width="5.6640625" style="38" customWidth="1"/>
    <col min="12300" max="12300" width="11.21875" style="38" bestFit="1" customWidth="1"/>
    <col min="12301" max="12301" width="13.109375" style="38" bestFit="1" customWidth="1"/>
    <col min="12302" max="12539" width="8.88671875" style="38"/>
    <col min="12540" max="12540" width="13.44140625" style="38" bestFit="1" customWidth="1"/>
    <col min="12541" max="12541" width="12.88671875" style="38" bestFit="1" customWidth="1"/>
    <col min="12542" max="12542" width="9.88671875" style="38" bestFit="1" customWidth="1"/>
    <col min="12543" max="12543" width="11.88671875" style="38" customWidth="1"/>
    <col min="12544" max="12544" width="9.44140625" style="38" customWidth="1"/>
    <col min="12545" max="12545" width="11.33203125" style="38" bestFit="1" customWidth="1"/>
    <col min="12546" max="12546" width="8.88671875" style="38"/>
    <col min="12547" max="12547" width="13.44140625" style="38" customWidth="1"/>
    <col min="12548" max="12548" width="15.88671875" style="38" bestFit="1" customWidth="1"/>
    <col min="12549" max="12549" width="5.33203125" style="38" customWidth="1"/>
    <col min="12550" max="12550" width="11.109375" style="38" customWidth="1"/>
    <col min="12551" max="12551" width="10.6640625" style="38" bestFit="1" customWidth="1"/>
    <col min="12552" max="12552" width="6.44140625" style="38" customWidth="1"/>
    <col min="12553" max="12553" width="11.44140625" style="38" customWidth="1"/>
    <col min="12554" max="12554" width="15.77734375" style="38" customWidth="1"/>
    <col min="12555" max="12555" width="5.6640625" style="38" customWidth="1"/>
    <col min="12556" max="12556" width="11.21875" style="38" bestFit="1" customWidth="1"/>
    <col min="12557" max="12557" width="13.109375" style="38" bestFit="1" customWidth="1"/>
    <col min="12558" max="12795" width="8.88671875" style="38"/>
    <col min="12796" max="12796" width="13.44140625" style="38" bestFit="1" customWidth="1"/>
    <col min="12797" max="12797" width="12.88671875" style="38" bestFit="1" customWidth="1"/>
    <col min="12798" max="12798" width="9.88671875" style="38" bestFit="1" customWidth="1"/>
    <col min="12799" max="12799" width="11.88671875" style="38" customWidth="1"/>
    <col min="12800" max="12800" width="9.44140625" style="38" customWidth="1"/>
    <col min="12801" max="12801" width="11.33203125" style="38" bestFit="1" customWidth="1"/>
    <col min="12802" max="12802" width="8.88671875" style="38"/>
    <col min="12803" max="12803" width="13.44140625" style="38" customWidth="1"/>
    <col min="12804" max="12804" width="15.88671875" style="38" bestFit="1" customWidth="1"/>
    <col min="12805" max="12805" width="5.33203125" style="38" customWidth="1"/>
    <col min="12806" max="12806" width="11.109375" style="38" customWidth="1"/>
    <col min="12807" max="12807" width="10.6640625" style="38" bestFit="1" customWidth="1"/>
    <col min="12808" max="12808" width="6.44140625" style="38" customWidth="1"/>
    <col min="12809" max="12809" width="11.44140625" style="38" customWidth="1"/>
    <col min="12810" max="12810" width="15.77734375" style="38" customWidth="1"/>
    <col min="12811" max="12811" width="5.6640625" style="38" customWidth="1"/>
    <col min="12812" max="12812" width="11.21875" style="38" bestFit="1" customWidth="1"/>
    <col min="12813" max="12813" width="13.109375" style="38" bestFit="1" customWidth="1"/>
    <col min="12814" max="13051" width="8.88671875" style="38"/>
    <col min="13052" max="13052" width="13.44140625" style="38" bestFit="1" customWidth="1"/>
    <col min="13053" max="13053" width="12.88671875" style="38" bestFit="1" customWidth="1"/>
    <col min="13054" max="13054" width="9.88671875" style="38" bestFit="1" customWidth="1"/>
    <col min="13055" max="13055" width="11.88671875" style="38" customWidth="1"/>
    <col min="13056" max="13056" width="9.44140625" style="38" customWidth="1"/>
    <col min="13057" max="13057" width="11.33203125" style="38" bestFit="1" customWidth="1"/>
    <col min="13058" max="13058" width="8.88671875" style="38"/>
    <col min="13059" max="13059" width="13.44140625" style="38" customWidth="1"/>
    <col min="13060" max="13060" width="15.88671875" style="38" bestFit="1" customWidth="1"/>
    <col min="13061" max="13061" width="5.33203125" style="38" customWidth="1"/>
    <col min="13062" max="13062" width="11.109375" style="38" customWidth="1"/>
    <col min="13063" max="13063" width="10.6640625" style="38" bestFit="1" customWidth="1"/>
    <col min="13064" max="13064" width="6.44140625" style="38" customWidth="1"/>
    <col min="13065" max="13065" width="11.44140625" style="38" customWidth="1"/>
    <col min="13066" max="13066" width="15.77734375" style="38" customWidth="1"/>
    <col min="13067" max="13067" width="5.6640625" style="38" customWidth="1"/>
    <col min="13068" max="13068" width="11.21875" style="38" bestFit="1" customWidth="1"/>
    <col min="13069" max="13069" width="13.109375" style="38" bestFit="1" customWidth="1"/>
    <col min="13070" max="13307" width="8.88671875" style="38"/>
    <col min="13308" max="13308" width="13.44140625" style="38" bestFit="1" customWidth="1"/>
    <col min="13309" max="13309" width="12.88671875" style="38" bestFit="1" customWidth="1"/>
    <col min="13310" max="13310" width="9.88671875" style="38" bestFit="1" customWidth="1"/>
    <col min="13311" max="13311" width="11.88671875" style="38" customWidth="1"/>
    <col min="13312" max="13312" width="9.44140625" style="38" customWidth="1"/>
    <col min="13313" max="13313" width="11.33203125" style="38" bestFit="1" customWidth="1"/>
    <col min="13314" max="13314" width="8.88671875" style="38"/>
    <col min="13315" max="13315" width="13.44140625" style="38" customWidth="1"/>
    <col min="13316" max="13316" width="15.88671875" style="38" bestFit="1" customWidth="1"/>
    <col min="13317" max="13317" width="5.33203125" style="38" customWidth="1"/>
    <col min="13318" max="13318" width="11.109375" style="38" customWidth="1"/>
    <col min="13319" max="13319" width="10.6640625" style="38" bestFit="1" customWidth="1"/>
    <col min="13320" max="13320" width="6.44140625" style="38" customWidth="1"/>
    <col min="13321" max="13321" width="11.44140625" style="38" customWidth="1"/>
    <col min="13322" max="13322" width="15.77734375" style="38" customWidth="1"/>
    <col min="13323" max="13323" width="5.6640625" style="38" customWidth="1"/>
    <col min="13324" max="13324" width="11.21875" style="38" bestFit="1" customWidth="1"/>
    <col min="13325" max="13325" width="13.109375" style="38" bestFit="1" customWidth="1"/>
    <col min="13326" max="13563" width="8.88671875" style="38"/>
    <col min="13564" max="13564" width="13.44140625" style="38" bestFit="1" customWidth="1"/>
    <col min="13565" max="13565" width="12.88671875" style="38" bestFit="1" customWidth="1"/>
    <col min="13566" max="13566" width="9.88671875" style="38" bestFit="1" customWidth="1"/>
    <col min="13567" max="13567" width="11.88671875" style="38" customWidth="1"/>
    <col min="13568" max="13568" width="9.44140625" style="38" customWidth="1"/>
    <col min="13569" max="13569" width="11.33203125" style="38" bestFit="1" customWidth="1"/>
    <col min="13570" max="13570" width="8.88671875" style="38"/>
    <col min="13571" max="13571" width="13.44140625" style="38" customWidth="1"/>
    <col min="13572" max="13572" width="15.88671875" style="38" bestFit="1" customWidth="1"/>
    <col min="13573" max="13573" width="5.33203125" style="38" customWidth="1"/>
    <col min="13574" max="13574" width="11.109375" style="38" customWidth="1"/>
    <col min="13575" max="13575" width="10.6640625" style="38" bestFit="1" customWidth="1"/>
    <col min="13576" max="13576" width="6.44140625" style="38" customWidth="1"/>
    <col min="13577" max="13577" width="11.44140625" style="38" customWidth="1"/>
    <col min="13578" max="13578" width="15.77734375" style="38" customWidth="1"/>
    <col min="13579" max="13579" width="5.6640625" style="38" customWidth="1"/>
    <col min="13580" max="13580" width="11.21875" style="38" bestFit="1" customWidth="1"/>
    <col min="13581" max="13581" width="13.109375" style="38" bestFit="1" customWidth="1"/>
    <col min="13582" max="13819" width="8.88671875" style="38"/>
    <col min="13820" max="13820" width="13.44140625" style="38" bestFit="1" customWidth="1"/>
    <col min="13821" max="13821" width="12.88671875" style="38" bestFit="1" customWidth="1"/>
    <col min="13822" max="13822" width="9.88671875" style="38" bestFit="1" customWidth="1"/>
    <col min="13823" max="13823" width="11.88671875" style="38" customWidth="1"/>
    <col min="13824" max="13824" width="9.44140625" style="38" customWidth="1"/>
    <col min="13825" max="13825" width="11.33203125" style="38" bestFit="1" customWidth="1"/>
    <col min="13826" max="13826" width="8.88671875" style="38"/>
    <col min="13827" max="13827" width="13.44140625" style="38" customWidth="1"/>
    <col min="13828" max="13828" width="15.88671875" style="38" bestFit="1" customWidth="1"/>
    <col min="13829" max="13829" width="5.33203125" style="38" customWidth="1"/>
    <col min="13830" max="13830" width="11.109375" style="38" customWidth="1"/>
    <col min="13831" max="13831" width="10.6640625" style="38" bestFit="1" customWidth="1"/>
    <col min="13832" max="13832" width="6.44140625" style="38" customWidth="1"/>
    <col min="13833" max="13833" width="11.44140625" style="38" customWidth="1"/>
    <col min="13834" max="13834" width="15.77734375" style="38" customWidth="1"/>
    <col min="13835" max="13835" width="5.6640625" style="38" customWidth="1"/>
    <col min="13836" max="13836" width="11.21875" style="38" bestFit="1" customWidth="1"/>
    <col min="13837" max="13837" width="13.109375" style="38" bestFit="1" customWidth="1"/>
    <col min="13838" max="14075" width="8.88671875" style="38"/>
    <col min="14076" max="14076" width="13.44140625" style="38" bestFit="1" customWidth="1"/>
    <col min="14077" max="14077" width="12.88671875" style="38" bestFit="1" customWidth="1"/>
    <col min="14078" max="14078" width="9.88671875" style="38" bestFit="1" customWidth="1"/>
    <col min="14079" max="14079" width="11.88671875" style="38" customWidth="1"/>
    <col min="14080" max="14080" width="9.44140625" style="38" customWidth="1"/>
    <col min="14081" max="14081" width="11.33203125" style="38" bestFit="1" customWidth="1"/>
    <col min="14082" max="14082" width="8.88671875" style="38"/>
    <col min="14083" max="14083" width="13.44140625" style="38" customWidth="1"/>
    <col min="14084" max="14084" width="15.88671875" style="38" bestFit="1" customWidth="1"/>
    <col min="14085" max="14085" width="5.33203125" style="38" customWidth="1"/>
    <col min="14086" max="14086" width="11.109375" style="38" customWidth="1"/>
    <col min="14087" max="14087" width="10.6640625" style="38" bestFit="1" customWidth="1"/>
    <col min="14088" max="14088" width="6.44140625" style="38" customWidth="1"/>
    <col min="14089" max="14089" width="11.44140625" style="38" customWidth="1"/>
    <col min="14090" max="14090" width="15.77734375" style="38" customWidth="1"/>
    <col min="14091" max="14091" width="5.6640625" style="38" customWidth="1"/>
    <col min="14092" max="14092" width="11.21875" style="38" bestFit="1" customWidth="1"/>
    <col min="14093" max="14093" width="13.109375" style="38" bestFit="1" customWidth="1"/>
    <col min="14094" max="14331" width="8.88671875" style="38"/>
    <col min="14332" max="14332" width="13.44140625" style="38" bestFit="1" customWidth="1"/>
    <col min="14333" max="14333" width="12.88671875" style="38" bestFit="1" customWidth="1"/>
    <col min="14334" max="14334" width="9.88671875" style="38" bestFit="1" customWidth="1"/>
    <col min="14335" max="14335" width="11.88671875" style="38" customWidth="1"/>
    <col min="14336" max="14336" width="9.44140625" style="38" customWidth="1"/>
    <col min="14337" max="14337" width="11.33203125" style="38" bestFit="1" customWidth="1"/>
    <col min="14338" max="14338" width="8.88671875" style="38"/>
    <col min="14339" max="14339" width="13.44140625" style="38" customWidth="1"/>
    <col min="14340" max="14340" width="15.88671875" style="38" bestFit="1" customWidth="1"/>
    <col min="14341" max="14341" width="5.33203125" style="38" customWidth="1"/>
    <col min="14342" max="14342" width="11.109375" style="38" customWidth="1"/>
    <col min="14343" max="14343" width="10.6640625" style="38" bestFit="1" customWidth="1"/>
    <col min="14344" max="14344" width="6.44140625" style="38" customWidth="1"/>
    <col min="14345" max="14345" width="11.44140625" style="38" customWidth="1"/>
    <col min="14346" max="14346" width="15.77734375" style="38" customWidth="1"/>
    <col min="14347" max="14347" width="5.6640625" style="38" customWidth="1"/>
    <col min="14348" max="14348" width="11.21875" style="38" bestFit="1" customWidth="1"/>
    <col min="14349" max="14349" width="13.109375" style="38" bestFit="1" customWidth="1"/>
    <col min="14350" max="14587" width="8.88671875" style="38"/>
    <col min="14588" max="14588" width="13.44140625" style="38" bestFit="1" customWidth="1"/>
    <col min="14589" max="14589" width="12.88671875" style="38" bestFit="1" customWidth="1"/>
    <col min="14590" max="14590" width="9.88671875" style="38" bestFit="1" customWidth="1"/>
    <col min="14591" max="14591" width="11.88671875" style="38" customWidth="1"/>
    <col min="14592" max="14592" width="9.44140625" style="38" customWidth="1"/>
    <col min="14593" max="14593" width="11.33203125" style="38" bestFit="1" customWidth="1"/>
    <col min="14594" max="14594" width="8.88671875" style="38"/>
    <col min="14595" max="14595" width="13.44140625" style="38" customWidth="1"/>
    <col min="14596" max="14596" width="15.88671875" style="38" bestFit="1" customWidth="1"/>
    <col min="14597" max="14597" width="5.33203125" style="38" customWidth="1"/>
    <col min="14598" max="14598" width="11.109375" style="38" customWidth="1"/>
    <col min="14599" max="14599" width="10.6640625" style="38" bestFit="1" customWidth="1"/>
    <col min="14600" max="14600" width="6.44140625" style="38" customWidth="1"/>
    <col min="14601" max="14601" width="11.44140625" style="38" customWidth="1"/>
    <col min="14602" max="14602" width="15.77734375" style="38" customWidth="1"/>
    <col min="14603" max="14603" width="5.6640625" style="38" customWidth="1"/>
    <col min="14604" max="14604" width="11.21875" style="38" bestFit="1" customWidth="1"/>
    <col min="14605" max="14605" width="13.109375" style="38" bestFit="1" customWidth="1"/>
    <col min="14606" max="14843" width="8.88671875" style="38"/>
    <col min="14844" max="14844" width="13.44140625" style="38" bestFit="1" customWidth="1"/>
    <col min="14845" max="14845" width="12.88671875" style="38" bestFit="1" customWidth="1"/>
    <col min="14846" max="14846" width="9.88671875" style="38" bestFit="1" customWidth="1"/>
    <col min="14847" max="14847" width="11.88671875" style="38" customWidth="1"/>
    <col min="14848" max="14848" width="9.44140625" style="38" customWidth="1"/>
    <col min="14849" max="14849" width="11.33203125" style="38" bestFit="1" customWidth="1"/>
    <col min="14850" max="14850" width="8.88671875" style="38"/>
    <col min="14851" max="14851" width="13.44140625" style="38" customWidth="1"/>
    <col min="14852" max="14852" width="15.88671875" style="38" bestFit="1" customWidth="1"/>
    <col min="14853" max="14853" width="5.33203125" style="38" customWidth="1"/>
    <col min="14854" max="14854" width="11.109375" style="38" customWidth="1"/>
    <col min="14855" max="14855" width="10.6640625" style="38" bestFit="1" customWidth="1"/>
    <col min="14856" max="14856" width="6.44140625" style="38" customWidth="1"/>
    <col min="14857" max="14857" width="11.44140625" style="38" customWidth="1"/>
    <col min="14858" max="14858" width="15.77734375" style="38" customWidth="1"/>
    <col min="14859" max="14859" width="5.6640625" style="38" customWidth="1"/>
    <col min="14860" max="14860" width="11.21875" style="38" bestFit="1" customWidth="1"/>
    <col min="14861" max="14861" width="13.109375" style="38" bestFit="1" customWidth="1"/>
    <col min="14862" max="15099" width="8.88671875" style="38"/>
    <col min="15100" max="15100" width="13.44140625" style="38" bestFit="1" customWidth="1"/>
    <col min="15101" max="15101" width="12.88671875" style="38" bestFit="1" customWidth="1"/>
    <col min="15102" max="15102" width="9.88671875" style="38" bestFit="1" customWidth="1"/>
    <col min="15103" max="15103" width="11.88671875" style="38" customWidth="1"/>
    <col min="15104" max="15104" width="9.44140625" style="38" customWidth="1"/>
    <col min="15105" max="15105" width="11.33203125" style="38" bestFit="1" customWidth="1"/>
    <col min="15106" max="15106" width="8.88671875" style="38"/>
    <col min="15107" max="15107" width="13.44140625" style="38" customWidth="1"/>
    <col min="15108" max="15108" width="15.88671875" style="38" bestFit="1" customWidth="1"/>
    <col min="15109" max="15109" width="5.33203125" style="38" customWidth="1"/>
    <col min="15110" max="15110" width="11.109375" style="38" customWidth="1"/>
    <col min="15111" max="15111" width="10.6640625" style="38" bestFit="1" customWidth="1"/>
    <col min="15112" max="15112" width="6.44140625" style="38" customWidth="1"/>
    <col min="15113" max="15113" width="11.44140625" style="38" customWidth="1"/>
    <col min="15114" max="15114" width="15.77734375" style="38" customWidth="1"/>
    <col min="15115" max="15115" width="5.6640625" style="38" customWidth="1"/>
    <col min="15116" max="15116" width="11.21875" style="38" bestFit="1" customWidth="1"/>
    <col min="15117" max="15117" width="13.109375" style="38" bestFit="1" customWidth="1"/>
    <col min="15118" max="15355" width="8.88671875" style="38"/>
    <col min="15356" max="15356" width="13.44140625" style="38" bestFit="1" customWidth="1"/>
    <col min="15357" max="15357" width="12.88671875" style="38" bestFit="1" customWidth="1"/>
    <col min="15358" max="15358" width="9.88671875" style="38" bestFit="1" customWidth="1"/>
    <col min="15359" max="15359" width="11.88671875" style="38" customWidth="1"/>
    <col min="15360" max="15360" width="9.44140625" style="38" customWidth="1"/>
    <col min="15361" max="15361" width="11.33203125" style="38" bestFit="1" customWidth="1"/>
    <col min="15362" max="15362" width="8.88671875" style="38"/>
    <col min="15363" max="15363" width="13.44140625" style="38" customWidth="1"/>
    <col min="15364" max="15364" width="15.88671875" style="38" bestFit="1" customWidth="1"/>
    <col min="15365" max="15365" width="5.33203125" style="38" customWidth="1"/>
    <col min="15366" max="15366" width="11.109375" style="38" customWidth="1"/>
    <col min="15367" max="15367" width="10.6640625" style="38" bestFit="1" customWidth="1"/>
    <col min="15368" max="15368" width="6.44140625" style="38" customWidth="1"/>
    <col min="15369" max="15369" width="11.44140625" style="38" customWidth="1"/>
    <col min="15370" max="15370" width="15.77734375" style="38" customWidth="1"/>
    <col min="15371" max="15371" width="5.6640625" style="38" customWidth="1"/>
    <col min="15372" max="15372" width="11.21875" style="38" bestFit="1" customWidth="1"/>
    <col min="15373" max="15373" width="13.109375" style="38" bestFit="1" customWidth="1"/>
    <col min="15374" max="15611" width="8.88671875" style="38"/>
    <col min="15612" max="15612" width="13.44140625" style="38" bestFit="1" customWidth="1"/>
    <col min="15613" max="15613" width="12.88671875" style="38" bestFit="1" customWidth="1"/>
    <col min="15614" max="15614" width="9.88671875" style="38" bestFit="1" customWidth="1"/>
    <col min="15615" max="15615" width="11.88671875" style="38" customWidth="1"/>
    <col min="15616" max="15616" width="9.44140625" style="38" customWidth="1"/>
    <col min="15617" max="15617" width="11.33203125" style="38" bestFit="1" customWidth="1"/>
    <col min="15618" max="15618" width="8.88671875" style="38"/>
    <col min="15619" max="15619" width="13.44140625" style="38" customWidth="1"/>
    <col min="15620" max="15620" width="15.88671875" style="38" bestFit="1" customWidth="1"/>
    <col min="15621" max="15621" width="5.33203125" style="38" customWidth="1"/>
    <col min="15622" max="15622" width="11.109375" style="38" customWidth="1"/>
    <col min="15623" max="15623" width="10.6640625" style="38" bestFit="1" customWidth="1"/>
    <col min="15624" max="15624" width="6.44140625" style="38" customWidth="1"/>
    <col min="15625" max="15625" width="11.44140625" style="38" customWidth="1"/>
    <col min="15626" max="15626" width="15.77734375" style="38" customWidth="1"/>
    <col min="15627" max="15627" width="5.6640625" style="38" customWidth="1"/>
    <col min="15628" max="15628" width="11.21875" style="38" bestFit="1" customWidth="1"/>
    <col min="15629" max="15629" width="13.109375" style="38" bestFit="1" customWidth="1"/>
    <col min="15630" max="15867" width="8.88671875" style="38"/>
    <col min="15868" max="15868" width="13.44140625" style="38" bestFit="1" customWidth="1"/>
    <col min="15869" max="15869" width="12.88671875" style="38" bestFit="1" customWidth="1"/>
    <col min="15870" max="15870" width="9.88671875" style="38" bestFit="1" customWidth="1"/>
    <col min="15871" max="15871" width="11.88671875" style="38" customWidth="1"/>
    <col min="15872" max="15872" width="9.44140625" style="38" customWidth="1"/>
    <col min="15873" max="15873" width="11.33203125" style="38" bestFit="1" customWidth="1"/>
    <col min="15874" max="15874" width="8.88671875" style="38"/>
    <col min="15875" max="15875" width="13.44140625" style="38" customWidth="1"/>
    <col min="15876" max="15876" width="15.88671875" style="38" bestFit="1" customWidth="1"/>
    <col min="15877" max="15877" width="5.33203125" style="38" customWidth="1"/>
    <col min="15878" max="15878" width="11.109375" style="38" customWidth="1"/>
    <col min="15879" max="15879" width="10.6640625" style="38" bestFit="1" customWidth="1"/>
    <col min="15880" max="15880" width="6.44140625" style="38" customWidth="1"/>
    <col min="15881" max="15881" width="11.44140625" style="38" customWidth="1"/>
    <col min="15882" max="15882" width="15.77734375" style="38" customWidth="1"/>
    <col min="15883" max="15883" width="5.6640625" style="38" customWidth="1"/>
    <col min="15884" max="15884" width="11.21875" style="38" bestFit="1" customWidth="1"/>
    <col min="15885" max="15885" width="13.109375" style="38" bestFit="1" customWidth="1"/>
    <col min="15886" max="16123" width="8.88671875" style="38"/>
    <col min="16124" max="16124" width="13.44140625" style="38" bestFit="1" customWidth="1"/>
    <col min="16125" max="16125" width="12.88671875" style="38" bestFit="1" customWidth="1"/>
    <col min="16126" max="16126" width="9.88671875" style="38" bestFit="1" customWidth="1"/>
    <col min="16127" max="16127" width="11.88671875" style="38" customWidth="1"/>
    <col min="16128" max="16128" width="9.44140625" style="38" customWidth="1"/>
    <col min="16129" max="16129" width="11.33203125" style="38" bestFit="1" customWidth="1"/>
    <col min="16130" max="16130" width="8.88671875" style="38"/>
    <col min="16131" max="16131" width="13.44140625" style="38" customWidth="1"/>
    <col min="16132" max="16132" width="15.88671875" style="38" bestFit="1" customWidth="1"/>
    <col min="16133" max="16133" width="5.33203125" style="38" customWidth="1"/>
    <col min="16134" max="16134" width="11.109375" style="38" customWidth="1"/>
    <col min="16135" max="16135" width="10.6640625" style="38" bestFit="1" customWidth="1"/>
    <col min="16136" max="16136" width="6.44140625" style="38" customWidth="1"/>
    <col min="16137" max="16137" width="11.44140625" style="38" customWidth="1"/>
    <col min="16138" max="16138" width="15.77734375" style="38" customWidth="1"/>
    <col min="16139" max="16139" width="5.6640625" style="38" customWidth="1"/>
    <col min="16140" max="16140" width="11.21875" style="38" bestFit="1" customWidth="1"/>
    <col min="16141" max="16141" width="13.109375" style="38" bestFit="1" customWidth="1"/>
    <col min="16142" max="16384" width="8.88671875" style="38"/>
  </cols>
  <sheetData>
    <row r="1" spans="2:11">
      <c r="B1" s="37" t="s">
        <v>99</v>
      </c>
    </row>
    <row r="2" spans="2:11" ht="13.8" thickBot="1">
      <c r="B2" s="37"/>
    </row>
    <row r="3" spans="2:11" ht="13.8" thickBot="1">
      <c r="B3" s="240" t="s">
        <v>112</v>
      </c>
      <c r="C3" s="241"/>
      <c r="D3" s="241"/>
      <c r="E3" s="241"/>
      <c r="F3" s="241"/>
      <c r="G3" s="241"/>
      <c r="H3" s="241"/>
      <c r="I3" s="242"/>
      <c r="J3" s="42" t="s">
        <v>113</v>
      </c>
      <c r="K3" s="43"/>
    </row>
    <row r="4" spans="2:11">
      <c r="B4" s="39" t="s">
        <v>114</v>
      </c>
      <c r="C4" s="44" t="s">
        <v>115</v>
      </c>
      <c r="D4" s="44" t="s">
        <v>116</v>
      </c>
      <c r="E4" s="44" t="s">
        <v>117</v>
      </c>
      <c r="F4" s="44" t="s">
        <v>118</v>
      </c>
      <c r="G4" s="44" t="s">
        <v>119</v>
      </c>
      <c r="H4" s="44" t="s">
        <v>120</v>
      </c>
      <c r="I4" s="45" t="s">
        <v>121</v>
      </c>
      <c r="J4" s="46" t="s">
        <v>122</v>
      </c>
    </row>
    <row r="5" spans="2:11" ht="14.4">
      <c r="B5" s="40" t="s">
        <v>100</v>
      </c>
      <c r="C5" s="47">
        <v>489300</v>
      </c>
      <c r="D5" s="48">
        <f t="shared" ref="D5:D16" si="0">C5/I5</f>
        <v>0.46355903059034853</v>
      </c>
      <c r="E5" s="47">
        <v>233562</v>
      </c>
      <c r="F5" s="48">
        <f t="shared" ref="F5:F16" si="1">E5/I5</f>
        <v>0.22127482996677494</v>
      </c>
      <c r="G5" s="47">
        <v>332667</v>
      </c>
      <c r="H5" s="48">
        <f t="shared" ref="H5:H16" si="2">G5/I5</f>
        <v>0.31516613944287653</v>
      </c>
      <c r="I5" s="49">
        <f t="shared" ref="I5:I16" si="3">C5+E5+G5</f>
        <v>1055529</v>
      </c>
      <c r="J5" s="50">
        <v>6336</v>
      </c>
    </row>
    <row r="6" spans="2:11" ht="14.4">
      <c r="B6" s="40" t="s">
        <v>101</v>
      </c>
      <c r="C6" s="47">
        <v>355317</v>
      </c>
      <c r="D6" s="48">
        <f t="shared" si="0"/>
        <v>0.5225288421238391</v>
      </c>
      <c r="E6" s="47">
        <v>136791</v>
      </c>
      <c r="F6" s="48">
        <f t="shared" si="1"/>
        <v>0.20116471444642975</v>
      </c>
      <c r="G6" s="47">
        <v>187887</v>
      </c>
      <c r="H6" s="48">
        <f t="shared" si="2"/>
        <v>0.2763064434297311</v>
      </c>
      <c r="I6" s="49">
        <f t="shared" si="3"/>
        <v>679995</v>
      </c>
      <c r="J6" s="50">
        <v>6621</v>
      </c>
    </row>
    <row r="7" spans="2:11" ht="14.4">
      <c r="B7" s="40" t="s">
        <v>102</v>
      </c>
      <c r="C7" s="47">
        <v>354237</v>
      </c>
      <c r="D7" s="48">
        <f t="shared" si="0"/>
        <v>0.58243601189742178</v>
      </c>
      <c r="E7" s="47">
        <v>119655</v>
      </c>
      <c r="F7" s="48">
        <f t="shared" si="1"/>
        <v>0.19673659443701816</v>
      </c>
      <c r="G7" s="47">
        <v>134307</v>
      </c>
      <c r="H7" s="48">
        <f t="shared" si="2"/>
        <v>0.22082739366556012</v>
      </c>
      <c r="I7" s="49">
        <f t="shared" si="3"/>
        <v>608199</v>
      </c>
      <c r="J7" s="50">
        <v>9288</v>
      </c>
      <c r="K7" s="51"/>
    </row>
    <row r="8" spans="2:11" ht="14.4">
      <c r="B8" s="40" t="s">
        <v>103</v>
      </c>
      <c r="C8" s="52">
        <v>369363</v>
      </c>
      <c r="D8" s="48">
        <f t="shared" si="0"/>
        <v>0.5505345668689271</v>
      </c>
      <c r="E8" s="52">
        <v>126537</v>
      </c>
      <c r="F8" s="48">
        <f t="shared" si="1"/>
        <v>0.18860306118342507</v>
      </c>
      <c r="G8" s="52">
        <v>175017</v>
      </c>
      <c r="H8" s="48">
        <f t="shared" si="2"/>
        <v>0.26086237194764778</v>
      </c>
      <c r="I8" s="49">
        <f t="shared" si="3"/>
        <v>670917</v>
      </c>
      <c r="J8" s="50">
        <v>13540</v>
      </c>
      <c r="K8" s="51"/>
    </row>
    <row r="9" spans="2:11" ht="14.4">
      <c r="B9" s="40" t="s">
        <v>104</v>
      </c>
      <c r="C9" s="47">
        <v>429432</v>
      </c>
      <c r="D9" s="48">
        <f t="shared" si="0"/>
        <v>0.50545019261937629</v>
      </c>
      <c r="E9" s="47">
        <v>180861</v>
      </c>
      <c r="F9" s="48">
        <f t="shared" si="1"/>
        <v>0.21287707317417665</v>
      </c>
      <c r="G9" s="47">
        <v>239310</v>
      </c>
      <c r="H9" s="48">
        <f t="shared" si="2"/>
        <v>0.28167273420644701</v>
      </c>
      <c r="I9" s="49">
        <f t="shared" si="3"/>
        <v>849603</v>
      </c>
      <c r="J9" s="50">
        <v>14567</v>
      </c>
      <c r="K9" s="51"/>
    </row>
    <row r="10" spans="2:11" ht="14.4">
      <c r="B10" s="40" t="s">
        <v>105</v>
      </c>
      <c r="C10" s="47">
        <v>416349</v>
      </c>
      <c r="D10" s="48">
        <f t="shared" si="0"/>
        <v>0.53109059112112877</v>
      </c>
      <c r="E10" s="47">
        <v>162009</v>
      </c>
      <c r="F10" s="48">
        <f t="shared" si="1"/>
        <v>0.20665704871860613</v>
      </c>
      <c r="G10" s="47">
        <v>205593</v>
      </c>
      <c r="H10" s="48">
        <f t="shared" si="2"/>
        <v>0.2622523601602651</v>
      </c>
      <c r="I10" s="49">
        <f t="shared" si="3"/>
        <v>783951</v>
      </c>
      <c r="J10" s="50">
        <v>15088</v>
      </c>
      <c r="K10" s="51"/>
    </row>
    <row r="11" spans="2:11">
      <c r="B11" s="40" t="s">
        <v>106</v>
      </c>
      <c r="C11" s="47">
        <v>476214</v>
      </c>
      <c r="D11" s="48">
        <f t="shared" si="0"/>
        <v>0.51386987021983965</v>
      </c>
      <c r="E11" s="47">
        <v>201078</v>
      </c>
      <c r="F11" s="48">
        <f t="shared" si="1"/>
        <v>0.21697792539502181</v>
      </c>
      <c r="G11" s="47">
        <v>249429</v>
      </c>
      <c r="H11" s="48">
        <f t="shared" si="2"/>
        <v>0.26915220438513859</v>
      </c>
      <c r="I11" s="49">
        <f t="shared" si="3"/>
        <v>926721</v>
      </c>
      <c r="J11" s="53">
        <v>13818</v>
      </c>
      <c r="K11" s="51"/>
    </row>
    <row r="12" spans="2:11">
      <c r="B12" s="40" t="s">
        <v>107</v>
      </c>
      <c r="C12" s="47">
        <v>236058</v>
      </c>
      <c r="D12" s="48">
        <f t="shared" si="0"/>
        <v>0.45128211010489733</v>
      </c>
      <c r="E12" s="47">
        <v>132816</v>
      </c>
      <c r="F12" s="48">
        <f t="shared" si="1"/>
        <v>0.25390999133980652</v>
      </c>
      <c r="G12" s="47">
        <v>154209</v>
      </c>
      <c r="H12" s="48">
        <f t="shared" si="2"/>
        <v>0.29480789855529621</v>
      </c>
      <c r="I12" s="49">
        <f t="shared" si="3"/>
        <v>523083</v>
      </c>
      <c r="J12" s="53">
        <v>9298</v>
      </c>
      <c r="K12" s="51"/>
    </row>
    <row r="13" spans="2:11">
      <c r="B13" s="40" t="s">
        <v>108</v>
      </c>
      <c r="C13" s="47">
        <v>448389</v>
      </c>
      <c r="D13" s="48">
        <f t="shared" si="0"/>
        <v>0.49057823787938964</v>
      </c>
      <c r="E13" s="47">
        <v>199503</v>
      </c>
      <c r="F13" s="48">
        <f t="shared" si="1"/>
        <v>0.21827437825560367</v>
      </c>
      <c r="G13" s="47">
        <v>266109</v>
      </c>
      <c r="H13" s="48">
        <f t="shared" si="2"/>
        <v>0.29114738386500671</v>
      </c>
      <c r="I13" s="49">
        <f t="shared" si="3"/>
        <v>914001</v>
      </c>
      <c r="J13" s="53">
        <v>10235</v>
      </c>
      <c r="K13" s="51"/>
    </row>
    <row r="14" spans="2:11">
      <c r="B14" s="40" t="s">
        <v>109</v>
      </c>
      <c r="C14" s="47">
        <v>449028</v>
      </c>
      <c r="D14" s="48">
        <f t="shared" si="0"/>
        <v>0.53091280566965326</v>
      </c>
      <c r="E14" s="47">
        <v>174771</v>
      </c>
      <c r="F14" s="48">
        <f t="shared" si="1"/>
        <v>0.20664226275352757</v>
      </c>
      <c r="G14" s="47">
        <v>221967</v>
      </c>
      <c r="H14" s="48">
        <f t="shared" si="2"/>
        <v>0.26244493157681914</v>
      </c>
      <c r="I14" s="49">
        <f t="shared" si="3"/>
        <v>845766</v>
      </c>
      <c r="J14" s="53">
        <v>5767</v>
      </c>
      <c r="K14" s="51"/>
    </row>
    <row r="15" spans="2:11" ht="14.4">
      <c r="B15" s="40" t="s">
        <v>110</v>
      </c>
      <c r="C15" s="47">
        <v>481089</v>
      </c>
      <c r="D15" s="48">
        <f t="shared" si="0"/>
        <v>0.49934920160426477</v>
      </c>
      <c r="E15" s="47">
        <v>202215</v>
      </c>
      <c r="F15" s="48">
        <f t="shared" si="1"/>
        <v>0.20989026729442245</v>
      </c>
      <c r="G15" s="47">
        <v>280128</v>
      </c>
      <c r="H15" s="48">
        <f t="shared" si="2"/>
        <v>0.29076053110131278</v>
      </c>
      <c r="I15" s="49">
        <f t="shared" si="3"/>
        <v>963432</v>
      </c>
      <c r="J15" s="50">
        <v>7009</v>
      </c>
      <c r="K15" s="51"/>
    </row>
    <row r="16" spans="2:11" ht="15" thickBot="1">
      <c r="B16" s="41" t="s">
        <v>111</v>
      </c>
      <c r="C16" s="47">
        <v>415566</v>
      </c>
      <c r="D16" s="48">
        <f t="shared" si="0"/>
        <v>0.51340002149636976</v>
      </c>
      <c r="E16" s="47">
        <v>171279</v>
      </c>
      <c r="F16" s="48">
        <f t="shared" si="1"/>
        <v>0.21160210960924788</v>
      </c>
      <c r="G16" s="47">
        <v>222594</v>
      </c>
      <c r="H16" s="48">
        <f t="shared" si="2"/>
        <v>0.27499786889438238</v>
      </c>
      <c r="I16" s="49">
        <f t="shared" si="3"/>
        <v>809439</v>
      </c>
      <c r="J16" s="54">
        <v>4866</v>
      </c>
      <c r="K16" s="51"/>
    </row>
    <row r="17" spans="2:11" ht="13.8" thickBot="1">
      <c r="B17" s="55" t="s">
        <v>123</v>
      </c>
      <c r="C17" s="56">
        <f>SUM(C5:C16)</f>
        <v>4920342</v>
      </c>
      <c r="D17" s="57">
        <f>C17/I17</f>
        <v>0.51090519878437934</v>
      </c>
      <c r="E17" s="56">
        <f>SUM(E5:E16)</f>
        <v>2041077</v>
      </c>
      <c r="F17" s="57">
        <f>E17/I17</f>
        <v>0.21193584722753514</v>
      </c>
      <c r="G17" s="56">
        <f>SUM(G5:G16)</f>
        <v>2669217</v>
      </c>
      <c r="H17" s="57">
        <f>G17/I17</f>
        <v>0.27715895398808554</v>
      </c>
      <c r="I17" s="58">
        <f>SUM(I5:I16)</f>
        <v>9630636</v>
      </c>
      <c r="J17" s="59">
        <f>SUM(J5:J16)</f>
        <v>116433</v>
      </c>
      <c r="K17" s="60"/>
    </row>
    <row r="19" spans="2:11" ht="13.8">
      <c r="D19" s="61"/>
      <c r="E19" s="61"/>
      <c r="F19" s="61"/>
    </row>
    <row r="20" spans="2:11">
      <c r="C20" s="62"/>
    </row>
    <row r="21" spans="2:11" s="297" customFormat="1" ht="21" customHeight="1">
      <c r="B21" s="298" t="s">
        <v>809</v>
      </c>
      <c r="C21" s="299"/>
      <c r="D21" s="300">
        <v>19022</v>
      </c>
    </row>
  </sheetData>
  <mergeCells count="2">
    <mergeCell ref="B3:I3"/>
    <mergeCell ref="B21:C21"/>
  </mergeCells>
  <pageMargins left="0.19685039370078741" right="0.19685039370078741" top="0.59055118110236227" bottom="0.59055118110236227" header="0.51181102362204722" footer="0.51181102362204722"/>
  <pageSetup paperSize="9" scale="72" orientation="landscape" r:id="rId1"/>
  <headerFooter alignWithMargins="0"/>
  <rowBreaks count="1" manualBreakCount="1">
    <brk id="1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39E4-922F-4F93-99B0-21ADAA00E714}">
  <dimension ref="B2:O27"/>
  <sheetViews>
    <sheetView zoomScale="50" zoomScaleNormal="50" workbookViewId="0">
      <selection activeCell="H23" sqref="H23:O23"/>
    </sheetView>
  </sheetViews>
  <sheetFormatPr defaultRowHeight="14.4"/>
  <cols>
    <col min="1" max="1" width="3.109375" customWidth="1"/>
    <col min="2" max="2" width="21.77734375" customWidth="1"/>
    <col min="3" max="3" width="32.5546875" customWidth="1"/>
    <col min="4" max="4" width="14.33203125" customWidth="1"/>
    <col min="5" max="5" width="8.77734375" customWidth="1"/>
    <col min="6" max="6" width="32.6640625" customWidth="1"/>
    <col min="7" max="7" width="32.88671875" customWidth="1"/>
    <col min="8" max="8" width="15.6640625" customWidth="1"/>
    <col min="9" max="9" width="15.77734375" customWidth="1"/>
    <col min="10" max="10" width="70.21875" customWidth="1"/>
    <col min="11" max="13" width="39.21875" customWidth="1"/>
    <col min="14" max="14" width="17.109375" customWidth="1"/>
    <col min="15" max="15" width="3.21875" customWidth="1"/>
  </cols>
  <sheetData>
    <row r="2" spans="2:15" s="130" customFormat="1" ht="35.4" customHeight="1">
      <c r="B2" s="129" t="s">
        <v>377</v>
      </c>
      <c r="C2" s="129" t="s">
        <v>378</v>
      </c>
      <c r="D2" s="129" t="s">
        <v>379</v>
      </c>
      <c r="E2" s="129" t="s">
        <v>380</v>
      </c>
      <c r="F2" s="129" t="s">
        <v>381</v>
      </c>
      <c r="G2" s="129" t="s">
        <v>382</v>
      </c>
      <c r="H2" s="169" t="s">
        <v>688</v>
      </c>
      <c r="I2" s="169" t="s">
        <v>689</v>
      </c>
      <c r="J2" s="170" t="s">
        <v>387</v>
      </c>
      <c r="K2" s="131" t="s">
        <v>238</v>
      </c>
      <c r="L2" s="131" t="s">
        <v>676</v>
      </c>
      <c r="M2" s="131" t="s">
        <v>677</v>
      </c>
      <c r="N2" s="164" t="s">
        <v>379</v>
      </c>
      <c r="O2" s="166"/>
    </row>
    <row r="3" spans="2:15" ht="41.4" customHeight="1">
      <c r="B3" s="132" t="s">
        <v>388</v>
      </c>
      <c r="C3" s="132" t="s">
        <v>383</v>
      </c>
      <c r="D3" s="132" t="s">
        <v>389</v>
      </c>
      <c r="E3" s="132" t="s">
        <v>384</v>
      </c>
      <c r="F3" s="132" t="s">
        <v>385</v>
      </c>
      <c r="G3" s="133" t="s">
        <v>386</v>
      </c>
      <c r="H3" s="147" t="s">
        <v>384</v>
      </c>
      <c r="I3" s="147" t="s">
        <v>384</v>
      </c>
      <c r="J3" s="134" t="s">
        <v>390</v>
      </c>
      <c r="K3" s="134" t="s">
        <v>394</v>
      </c>
      <c r="L3" s="134" t="s">
        <v>690</v>
      </c>
      <c r="M3" s="147" t="s">
        <v>691</v>
      </c>
      <c r="N3" s="165" t="s">
        <v>384</v>
      </c>
      <c r="O3" s="167"/>
    </row>
    <row r="4" spans="2:15" s="130" customFormat="1" ht="30" customHeight="1">
      <c r="B4" s="137" t="s">
        <v>391</v>
      </c>
      <c r="C4" s="146" t="s">
        <v>609</v>
      </c>
      <c r="D4" s="137">
        <v>31.22</v>
      </c>
      <c r="E4" s="137" t="s">
        <v>384</v>
      </c>
      <c r="F4" s="137" t="s">
        <v>395</v>
      </c>
      <c r="G4" s="137">
        <v>31.22</v>
      </c>
      <c r="H4" s="137">
        <v>0</v>
      </c>
      <c r="I4" s="137">
        <v>0</v>
      </c>
      <c r="J4" s="135" t="s">
        <v>392</v>
      </c>
      <c r="K4" s="137" t="s">
        <v>393</v>
      </c>
      <c r="L4" s="137" t="s">
        <v>678</v>
      </c>
      <c r="M4" s="137" t="s">
        <v>680</v>
      </c>
      <c r="N4" s="157">
        <v>31.22</v>
      </c>
      <c r="O4" s="168"/>
    </row>
    <row r="5" spans="2:15" s="130" customFormat="1" ht="30" customHeight="1">
      <c r="B5" s="137" t="s">
        <v>396</v>
      </c>
      <c r="C5" s="146" t="s">
        <v>610</v>
      </c>
      <c r="D5" s="137">
        <v>11.74</v>
      </c>
      <c r="E5" s="137" t="s">
        <v>384</v>
      </c>
      <c r="F5" s="137" t="s">
        <v>395</v>
      </c>
      <c r="G5" s="137">
        <v>11.74</v>
      </c>
      <c r="H5" s="137">
        <v>0</v>
      </c>
      <c r="I5" s="137">
        <v>0</v>
      </c>
      <c r="J5" s="135" t="s">
        <v>397</v>
      </c>
      <c r="K5" s="137" t="s">
        <v>393</v>
      </c>
      <c r="L5" s="137" t="s">
        <v>678</v>
      </c>
      <c r="M5" s="137" t="s">
        <v>681</v>
      </c>
      <c r="N5" s="157">
        <v>11.74</v>
      </c>
      <c r="O5" s="168"/>
    </row>
    <row r="6" spans="2:15" s="130" customFormat="1" ht="30" customHeight="1">
      <c r="B6" s="254" t="s">
        <v>398</v>
      </c>
      <c r="C6" s="256" t="s">
        <v>611</v>
      </c>
      <c r="D6" s="254">
        <v>2.0099999999999998</v>
      </c>
      <c r="E6" s="254" t="s">
        <v>384</v>
      </c>
      <c r="F6" s="254" t="s">
        <v>395</v>
      </c>
      <c r="G6" s="254">
        <v>2.0099999999999998</v>
      </c>
      <c r="H6" s="254">
        <v>0</v>
      </c>
      <c r="I6" s="254">
        <v>0</v>
      </c>
      <c r="J6" s="252" t="s">
        <v>399</v>
      </c>
      <c r="K6" s="254" t="s">
        <v>393</v>
      </c>
      <c r="L6" s="254" t="s">
        <v>678</v>
      </c>
      <c r="M6" s="137" t="s">
        <v>682</v>
      </c>
      <c r="N6" s="157">
        <v>1.33</v>
      </c>
      <c r="O6" s="168"/>
    </row>
    <row r="7" spans="2:15" s="130" customFormat="1" ht="30" customHeight="1">
      <c r="B7" s="255"/>
      <c r="C7" s="255"/>
      <c r="D7" s="255"/>
      <c r="E7" s="255"/>
      <c r="F7" s="255"/>
      <c r="G7" s="255"/>
      <c r="H7" s="255"/>
      <c r="I7" s="255"/>
      <c r="J7" s="253"/>
      <c r="K7" s="255"/>
      <c r="L7" s="255"/>
      <c r="M7" s="137" t="s">
        <v>683</v>
      </c>
      <c r="N7" s="157">
        <v>0.68</v>
      </c>
      <c r="O7" s="168"/>
    </row>
    <row r="8" spans="2:15" s="130" customFormat="1" ht="30" customHeight="1">
      <c r="B8" s="137" t="s">
        <v>400</v>
      </c>
      <c r="C8" s="146" t="s">
        <v>612</v>
      </c>
      <c r="D8" s="137">
        <v>1.52</v>
      </c>
      <c r="E8" s="137" t="s">
        <v>384</v>
      </c>
      <c r="F8" s="137" t="s">
        <v>395</v>
      </c>
      <c r="G8" s="137">
        <v>1.52</v>
      </c>
      <c r="H8" s="137">
        <v>0</v>
      </c>
      <c r="I8" s="137">
        <v>0</v>
      </c>
      <c r="J8" s="135" t="s">
        <v>401</v>
      </c>
      <c r="K8" s="137" t="s">
        <v>393</v>
      </c>
      <c r="L8" s="137" t="s">
        <v>678</v>
      </c>
      <c r="M8" s="137" t="s">
        <v>684</v>
      </c>
      <c r="N8" s="157">
        <v>1.52</v>
      </c>
      <c r="O8" s="168"/>
    </row>
    <row r="9" spans="2:15" s="130" customFormat="1" ht="30" customHeight="1">
      <c r="B9" s="137" t="s">
        <v>402</v>
      </c>
      <c r="C9" s="146" t="s">
        <v>609</v>
      </c>
      <c r="D9" s="137">
        <v>0.377</v>
      </c>
      <c r="E9" s="137" t="s">
        <v>384</v>
      </c>
      <c r="F9" s="137" t="s">
        <v>395</v>
      </c>
      <c r="G9" s="137">
        <v>0.377</v>
      </c>
      <c r="H9" s="137">
        <v>0</v>
      </c>
      <c r="I9" s="137">
        <v>0</v>
      </c>
      <c r="J9" s="135" t="s">
        <v>404</v>
      </c>
      <c r="K9" s="137" t="s">
        <v>403</v>
      </c>
      <c r="L9" s="137" t="s">
        <v>678</v>
      </c>
      <c r="M9" s="137" t="s">
        <v>685</v>
      </c>
      <c r="N9" s="157">
        <v>0.377</v>
      </c>
      <c r="O9" s="168"/>
    </row>
    <row r="10" spans="2:15" s="130" customFormat="1" ht="30" customHeight="1">
      <c r="B10" s="137" t="s">
        <v>405</v>
      </c>
      <c r="C10" s="146" t="s">
        <v>609</v>
      </c>
      <c r="D10" s="137">
        <v>6.3E-2</v>
      </c>
      <c r="E10" s="137" t="s">
        <v>384</v>
      </c>
      <c r="F10" s="137" t="s">
        <v>395</v>
      </c>
      <c r="G10" s="137">
        <v>6.3E-2</v>
      </c>
      <c r="H10" s="137">
        <v>0</v>
      </c>
      <c r="I10" s="137">
        <v>0</v>
      </c>
      <c r="J10" s="135" t="s">
        <v>406</v>
      </c>
      <c r="K10" s="137" t="s">
        <v>403</v>
      </c>
      <c r="L10" s="137" t="s">
        <v>678</v>
      </c>
      <c r="M10" s="137" t="s">
        <v>685</v>
      </c>
      <c r="N10" s="157">
        <v>6.3E-2</v>
      </c>
      <c r="O10" s="168"/>
    </row>
    <row r="11" spans="2:15" s="130" customFormat="1" ht="30" customHeight="1">
      <c r="B11" s="137" t="s">
        <v>407</v>
      </c>
      <c r="C11" s="146" t="s">
        <v>609</v>
      </c>
      <c r="D11" s="137">
        <v>0.56000000000000005</v>
      </c>
      <c r="E11" s="137" t="s">
        <v>384</v>
      </c>
      <c r="F11" s="137" t="s">
        <v>395</v>
      </c>
      <c r="G11" s="137">
        <v>0.56000000000000005</v>
      </c>
      <c r="H11" s="137">
        <v>0</v>
      </c>
      <c r="I11" s="137">
        <v>0</v>
      </c>
      <c r="J11" s="135" t="s">
        <v>408</v>
      </c>
      <c r="K11" s="137" t="s">
        <v>393</v>
      </c>
      <c r="L11" s="137" t="s">
        <v>678</v>
      </c>
      <c r="M11" s="137" t="s">
        <v>686</v>
      </c>
      <c r="N11" s="157">
        <v>0.56000000000000005</v>
      </c>
      <c r="O11" s="168"/>
    </row>
    <row r="12" spans="2:15" s="130" customFormat="1" ht="30" customHeight="1">
      <c r="B12" s="137" t="s">
        <v>409</v>
      </c>
      <c r="C12" s="146" t="s">
        <v>612</v>
      </c>
      <c r="D12" s="146">
        <v>0.5</v>
      </c>
      <c r="E12" s="137" t="s">
        <v>384</v>
      </c>
      <c r="F12" s="137" t="s">
        <v>395</v>
      </c>
      <c r="G12" s="156">
        <v>0.64</v>
      </c>
      <c r="H12" s="156">
        <v>0.4</v>
      </c>
      <c r="I12" s="156">
        <v>0.26</v>
      </c>
      <c r="J12" s="135" t="s">
        <v>410</v>
      </c>
      <c r="K12" s="137" t="s">
        <v>393</v>
      </c>
      <c r="L12" s="137" t="s">
        <v>678</v>
      </c>
      <c r="M12" s="137" t="s">
        <v>685</v>
      </c>
      <c r="N12" s="157">
        <v>0.64</v>
      </c>
      <c r="O12" s="168"/>
    </row>
    <row r="13" spans="2:15" s="130" customFormat="1" ht="30" customHeight="1">
      <c r="B13" s="254" t="s">
        <v>411</v>
      </c>
      <c r="C13" s="256" t="s">
        <v>609</v>
      </c>
      <c r="D13" s="256">
        <v>8.6199999999999992</v>
      </c>
      <c r="E13" s="254" t="s">
        <v>384</v>
      </c>
      <c r="F13" s="254" t="s">
        <v>395</v>
      </c>
      <c r="G13" s="257">
        <v>8.6199999999999992</v>
      </c>
      <c r="H13" s="257">
        <v>0</v>
      </c>
      <c r="I13" s="257">
        <v>0</v>
      </c>
      <c r="J13" s="252" t="s">
        <v>412</v>
      </c>
      <c r="K13" s="254" t="s">
        <v>393</v>
      </c>
      <c r="L13" s="254" t="s">
        <v>679</v>
      </c>
      <c r="M13" s="137" t="s">
        <v>687</v>
      </c>
      <c r="N13" s="157">
        <v>5.7</v>
      </c>
      <c r="O13" s="168"/>
    </row>
    <row r="14" spans="2:15" s="130" customFormat="1" ht="30" customHeight="1">
      <c r="B14" s="255"/>
      <c r="C14" s="255"/>
      <c r="D14" s="255"/>
      <c r="E14" s="255"/>
      <c r="F14" s="255"/>
      <c r="G14" s="255"/>
      <c r="H14" s="255"/>
      <c r="I14" s="255"/>
      <c r="J14" s="253"/>
      <c r="K14" s="255"/>
      <c r="L14" s="255"/>
      <c r="M14" s="137" t="s">
        <v>684</v>
      </c>
      <c r="N14" s="157">
        <v>2.92</v>
      </c>
      <c r="O14" s="168"/>
    </row>
    <row r="15" spans="2:15" s="130" customFormat="1" ht="30" customHeight="1">
      <c r="B15" s="137" t="s">
        <v>413</v>
      </c>
      <c r="C15" s="146" t="s">
        <v>74</v>
      </c>
      <c r="D15" s="137">
        <v>0.1</v>
      </c>
      <c r="E15" s="137" t="s">
        <v>384</v>
      </c>
      <c r="F15" s="137" t="s">
        <v>395</v>
      </c>
      <c r="G15" s="146" t="s">
        <v>74</v>
      </c>
      <c r="H15" s="146">
        <v>0</v>
      </c>
      <c r="I15" s="146">
        <v>0.1</v>
      </c>
      <c r="J15" s="135" t="s">
        <v>414</v>
      </c>
      <c r="K15" s="137" t="s">
        <v>403</v>
      </c>
      <c r="L15" s="137" t="s">
        <v>74</v>
      </c>
      <c r="M15" s="137" t="s">
        <v>74</v>
      </c>
      <c r="N15" s="157" t="s">
        <v>74</v>
      </c>
      <c r="O15" s="168"/>
    </row>
    <row r="16" spans="2:15" ht="17.399999999999999" customHeight="1"/>
    <row r="18" spans="2:15" s="136" customFormat="1" ht="46.8" customHeight="1">
      <c r="B18" s="129" t="s">
        <v>415</v>
      </c>
      <c r="C18" s="129" t="s">
        <v>378</v>
      </c>
      <c r="D18" s="139" t="s">
        <v>424</v>
      </c>
      <c r="E18" s="248" t="s">
        <v>423</v>
      </c>
      <c r="F18" s="249"/>
      <c r="G18" s="139" t="s">
        <v>421</v>
      </c>
      <c r="H18" s="250" t="s">
        <v>422</v>
      </c>
      <c r="I18" s="251"/>
      <c r="J18" s="251"/>
      <c r="K18" s="251"/>
      <c r="L18" s="251"/>
      <c r="M18" s="251"/>
      <c r="N18" s="251"/>
      <c r="O18" s="249"/>
    </row>
    <row r="19" spans="2:15" s="138" customFormat="1" ht="30" customHeight="1">
      <c r="B19" s="137" t="s">
        <v>418</v>
      </c>
      <c r="C19" s="137" t="s">
        <v>416</v>
      </c>
      <c r="D19" s="137">
        <f>D9+D10+D15</f>
        <v>0.54</v>
      </c>
      <c r="E19" s="246">
        <f>(D19*100)/(D9+D10+D15)</f>
        <v>100</v>
      </c>
      <c r="F19" s="247"/>
      <c r="G19" s="137">
        <f>((D9+D10+D15)*1000)/('1. Materie prime e prodotti'!Q12+'1. Materie prime e prodotti'!Q13+'1. Materie prime e prodotti'!Q14)</f>
        <v>6.1908856405846948E-3</v>
      </c>
      <c r="H19" s="243"/>
      <c r="I19" s="244"/>
      <c r="J19" s="244"/>
      <c r="K19" s="244"/>
      <c r="L19" s="244"/>
      <c r="M19" s="244"/>
      <c r="N19" s="244"/>
      <c r="O19" s="245"/>
    </row>
    <row r="20" spans="2:15" s="138" customFormat="1" ht="30" customHeight="1">
      <c r="B20" s="137" t="s">
        <v>418</v>
      </c>
      <c r="C20" s="137" t="s">
        <v>417</v>
      </c>
      <c r="D20" s="137">
        <v>0</v>
      </c>
      <c r="E20" s="246">
        <f>(D20*100)/(D9+D10+D15)</f>
        <v>0</v>
      </c>
      <c r="F20" s="247"/>
      <c r="G20" s="137">
        <f>D20/('1. Materie prime e prodotti'!Q12+'1. Materie prime e prodotti'!Q13+'1. Materie prime e prodotti'!Q14)</f>
        <v>0</v>
      </c>
      <c r="H20" s="243"/>
      <c r="I20" s="244"/>
      <c r="J20" s="244"/>
      <c r="K20" s="244"/>
      <c r="L20" s="244"/>
      <c r="M20" s="244"/>
      <c r="N20" s="244"/>
      <c r="O20" s="245"/>
    </row>
    <row r="21" spans="2:15" s="138" customFormat="1" ht="30" customHeight="1">
      <c r="B21" s="137" t="s">
        <v>419</v>
      </c>
      <c r="C21" s="137" t="s">
        <v>416</v>
      </c>
      <c r="D21" s="137">
        <f>D4+D5+D6+D8+D11+D12+D13</f>
        <v>56.17</v>
      </c>
      <c r="E21" s="246">
        <f>(D21*100)/(D4+D5+D6+D8+D11+D12+D13)</f>
        <v>100</v>
      </c>
      <c r="F21" s="247"/>
      <c r="G21" s="137">
        <f>(D21*1000)/('1. Materie prime e prodotti'!Q12+'1. Materie prime e prodotti'!Q13+'1. Materie prime e prodotti'!Q14)</f>
        <v>0.64396675265118941</v>
      </c>
      <c r="H21" s="243"/>
      <c r="I21" s="244"/>
      <c r="J21" s="244"/>
      <c r="K21" s="244"/>
      <c r="L21" s="244"/>
      <c r="M21" s="244"/>
      <c r="N21" s="244"/>
      <c r="O21" s="245"/>
    </row>
    <row r="22" spans="2:15" s="138" customFormat="1" ht="30" customHeight="1">
      <c r="B22" s="137" t="s">
        <v>419</v>
      </c>
      <c r="C22" s="137" t="s">
        <v>417</v>
      </c>
      <c r="D22" s="137">
        <v>0</v>
      </c>
      <c r="E22" s="246">
        <f>(D22*100)/(D4+D5+D6+D8+D11+D12+D13)</f>
        <v>0</v>
      </c>
      <c r="F22" s="247"/>
      <c r="G22" s="137">
        <f>D22/('1. Materie prime e prodotti'!Q12+'1. Materie prime e prodotti'!Q13+'1. Materie prime e prodotti'!Q14)</f>
        <v>0</v>
      </c>
      <c r="H22" s="243"/>
      <c r="I22" s="244"/>
      <c r="J22" s="244"/>
      <c r="K22" s="244"/>
      <c r="L22" s="244"/>
      <c r="M22" s="244"/>
      <c r="N22" s="244"/>
      <c r="O22" s="245"/>
    </row>
    <row r="23" spans="2:15" s="138" customFormat="1" ht="30" customHeight="1">
      <c r="B23" s="137" t="s">
        <v>420</v>
      </c>
      <c r="C23" s="137" t="s">
        <v>416</v>
      </c>
      <c r="D23" s="137">
        <f>D4+D5+D6+D8+D9+D10+D11+D12+D13+D15</f>
        <v>56.710000000000008</v>
      </c>
      <c r="E23" s="246">
        <f>(D23*100)/(D4+D5+D6+D8+D9+D10+D11+D12+D13+D15)</f>
        <v>100</v>
      </c>
      <c r="F23" s="247"/>
      <c r="G23" s="137">
        <f>(D23*1000)/('1. Materie prime e prodotti'!Q12+'1. Materie prime e prodotti'!Q13+'1. Materie prime e prodotti'!Q14)</f>
        <v>0.6501576382917742</v>
      </c>
      <c r="H23" s="243"/>
      <c r="I23" s="244"/>
      <c r="J23" s="244"/>
      <c r="K23" s="244"/>
      <c r="L23" s="244"/>
      <c r="M23" s="244"/>
      <c r="N23" s="244"/>
      <c r="O23" s="245"/>
    </row>
    <row r="24" spans="2:15" s="138" customFormat="1" ht="30" customHeight="1">
      <c r="B24" s="137" t="s">
        <v>420</v>
      </c>
      <c r="C24" s="137" t="s">
        <v>417</v>
      </c>
      <c r="D24" s="137">
        <v>0</v>
      </c>
      <c r="E24" s="246">
        <f>(D24*100)/(D4+D5+D6+D8+D9+D10+D11+D12+D13+D15)</f>
        <v>0</v>
      </c>
      <c r="F24" s="247"/>
      <c r="G24" s="137">
        <f>D24/('1. Materie prime e prodotti'!Q12+'1. Materie prime e prodotti'!Q13+'1. Materie prime e prodotti'!Q14)</f>
        <v>0</v>
      </c>
      <c r="H24" s="243"/>
      <c r="I24" s="244"/>
      <c r="J24" s="244"/>
      <c r="K24" s="244"/>
      <c r="L24" s="244"/>
      <c r="M24" s="244"/>
      <c r="N24" s="244"/>
      <c r="O24" s="245"/>
    </row>
    <row r="25" spans="2:15" ht="30" customHeight="1"/>
    <row r="26" spans="2:15" ht="30" customHeight="1"/>
    <row r="27" spans="2:15" ht="30" customHeight="1"/>
  </sheetData>
  <mergeCells count="36">
    <mergeCell ref="L6:L7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G6:G7"/>
    <mergeCell ref="H6:H7"/>
    <mergeCell ref="I6:I7"/>
    <mergeCell ref="K6:K7"/>
    <mergeCell ref="J6:J7"/>
    <mergeCell ref="B6:B7"/>
    <mergeCell ref="C6:C7"/>
    <mergeCell ref="D6:D7"/>
    <mergeCell ref="E6:E7"/>
    <mergeCell ref="F6:F7"/>
    <mergeCell ref="H23:O23"/>
    <mergeCell ref="H24:O24"/>
    <mergeCell ref="E24:F24"/>
    <mergeCell ref="E18:F18"/>
    <mergeCell ref="E19:F19"/>
    <mergeCell ref="E20:F20"/>
    <mergeCell ref="E21:F21"/>
    <mergeCell ref="E22:F22"/>
    <mergeCell ref="E23:F23"/>
    <mergeCell ref="H18:O18"/>
    <mergeCell ref="H19:O19"/>
    <mergeCell ref="H20:O20"/>
    <mergeCell ref="H21:O21"/>
    <mergeCell ref="H22:O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2BEC-4B03-4446-9F2D-BC7376C1593F}">
  <dimension ref="A1:Q102"/>
  <sheetViews>
    <sheetView zoomScale="140" zoomScaleNormal="14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L90" sqref="L90"/>
    </sheetView>
  </sheetViews>
  <sheetFormatPr defaultRowHeight="13.2"/>
  <cols>
    <col min="1" max="1" width="6.44140625" style="65" customWidth="1"/>
    <col min="2" max="2" width="12.21875" style="65" customWidth="1"/>
    <col min="3" max="3" width="13.5546875" style="65" customWidth="1"/>
    <col min="4" max="4" width="12.109375" style="65" customWidth="1"/>
    <col min="5" max="5" width="9.77734375" style="65" customWidth="1"/>
    <col min="6" max="6" width="7.44140625" style="65" customWidth="1"/>
    <col min="7" max="7" width="6.5546875" style="65" customWidth="1"/>
    <col min="8" max="8" width="7.109375" style="65" customWidth="1"/>
    <col min="9" max="9" width="8.77734375" style="65" customWidth="1"/>
    <col min="10" max="10" width="8.44140625" style="65" customWidth="1"/>
    <col min="11" max="11" width="14" style="65" customWidth="1"/>
    <col min="12" max="12" width="8.33203125" style="65" customWidth="1"/>
    <col min="13" max="13" width="6.6640625" style="65" customWidth="1"/>
    <col min="14" max="14" width="5.77734375" style="65" customWidth="1"/>
    <col min="15" max="15" width="10.88671875" style="65" customWidth="1"/>
    <col min="16" max="16" width="8.5546875" style="65" customWidth="1"/>
    <col min="17" max="17" width="2.88671875" style="65" customWidth="1"/>
    <col min="18" max="16384" width="8.88671875" style="65"/>
  </cols>
  <sheetData>
    <row r="1" spans="1:16" s="163" customFormat="1" ht="35.700000000000003" customHeight="1">
      <c r="A1" s="162" t="s">
        <v>693</v>
      </c>
      <c r="B1" s="162" t="s">
        <v>692</v>
      </c>
      <c r="C1" s="162" t="s">
        <v>694</v>
      </c>
      <c r="D1" s="162" t="s">
        <v>695</v>
      </c>
      <c r="E1" s="162" t="s">
        <v>772</v>
      </c>
      <c r="F1" s="161" t="s">
        <v>755</v>
      </c>
      <c r="G1" s="161" t="s">
        <v>66</v>
      </c>
      <c r="H1" s="161" t="s">
        <v>778</v>
      </c>
      <c r="I1" s="162" t="s">
        <v>773</v>
      </c>
      <c r="J1" s="180" t="s">
        <v>774</v>
      </c>
      <c r="K1" s="180" t="s">
        <v>730</v>
      </c>
      <c r="L1" s="190" t="s">
        <v>425</v>
      </c>
      <c r="M1" s="191" t="s">
        <v>426</v>
      </c>
      <c r="N1" s="191" t="s">
        <v>427</v>
      </c>
      <c r="O1" s="190" t="s">
        <v>428</v>
      </c>
      <c r="P1" s="190" t="s">
        <v>429</v>
      </c>
    </row>
    <row r="2" spans="1:16" s="145" customFormat="1" ht="8.25" customHeight="1">
      <c r="A2" s="159" t="s">
        <v>431</v>
      </c>
      <c r="B2" s="159" t="s">
        <v>696</v>
      </c>
      <c r="C2" s="159" t="s">
        <v>703</v>
      </c>
      <c r="D2" s="159" t="s">
        <v>706</v>
      </c>
      <c r="E2" s="158" t="s">
        <v>766</v>
      </c>
      <c r="F2" s="158" t="s">
        <v>756</v>
      </c>
      <c r="G2" s="158" t="s">
        <v>67</v>
      </c>
      <c r="H2" s="205">
        <v>4800</v>
      </c>
      <c r="I2" s="194">
        <v>5</v>
      </c>
      <c r="J2" s="182">
        <v>0.36220000000000002</v>
      </c>
      <c r="K2" s="158" t="s">
        <v>430</v>
      </c>
      <c r="L2" s="160">
        <v>11.45</v>
      </c>
      <c r="M2" s="160">
        <v>15.23</v>
      </c>
      <c r="N2" s="159">
        <v>2</v>
      </c>
      <c r="O2" s="192">
        <v>4843.3</v>
      </c>
      <c r="P2" s="160">
        <v>1.754</v>
      </c>
    </row>
    <row r="3" spans="1:16" s="145" customFormat="1" ht="8.25" customHeight="1">
      <c r="A3" s="140" t="s">
        <v>433</v>
      </c>
      <c r="B3" s="140" t="s">
        <v>696</v>
      </c>
      <c r="C3" s="140" t="s">
        <v>703</v>
      </c>
      <c r="D3" s="140" t="s">
        <v>707</v>
      </c>
      <c r="E3" s="140" t="s">
        <v>766</v>
      </c>
      <c r="F3" s="158" t="s">
        <v>756</v>
      </c>
      <c r="G3" s="158" t="s">
        <v>67</v>
      </c>
      <c r="H3" s="205">
        <v>4800</v>
      </c>
      <c r="I3" s="194">
        <v>5</v>
      </c>
      <c r="J3" s="183">
        <v>0.36099999999999999</v>
      </c>
      <c r="K3" s="143" t="s">
        <v>432</v>
      </c>
      <c r="L3" s="142">
        <v>11.49</v>
      </c>
      <c r="M3" s="142">
        <v>15.77</v>
      </c>
      <c r="N3" s="140">
        <v>2</v>
      </c>
      <c r="O3" s="193">
        <v>4846.7</v>
      </c>
      <c r="P3" s="142">
        <v>1.75</v>
      </c>
    </row>
    <row r="4" spans="1:16" s="145" customFormat="1" ht="8.25" customHeight="1">
      <c r="A4" s="140" t="s">
        <v>435</v>
      </c>
      <c r="B4" s="140" t="s">
        <v>696</v>
      </c>
      <c r="C4" s="140" t="s">
        <v>703</v>
      </c>
      <c r="D4" s="140" t="s">
        <v>708</v>
      </c>
      <c r="E4" s="140" t="s">
        <v>766</v>
      </c>
      <c r="F4" s="158" t="s">
        <v>756</v>
      </c>
      <c r="G4" s="158" t="s">
        <v>67</v>
      </c>
      <c r="H4" s="205">
        <v>4200</v>
      </c>
      <c r="I4" s="194">
        <v>5</v>
      </c>
      <c r="J4" s="184">
        <v>0.26879999999999998</v>
      </c>
      <c r="K4" s="143" t="s">
        <v>434</v>
      </c>
      <c r="L4" s="142">
        <v>15.33</v>
      </c>
      <c r="M4" s="142">
        <v>16.23</v>
      </c>
      <c r="N4" s="140">
        <v>2</v>
      </c>
      <c r="O4" s="193">
        <v>4133.3</v>
      </c>
      <c r="P4" s="142">
        <v>1.111</v>
      </c>
    </row>
    <row r="5" spans="1:16" s="145" customFormat="1" ht="8.25" customHeight="1">
      <c r="A5" s="140" t="s">
        <v>437</v>
      </c>
      <c r="B5" s="140" t="s">
        <v>697</v>
      </c>
      <c r="C5" s="140" t="s">
        <v>704</v>
      </c>
      <c r="D5" s="140" t="s">
        <v>709</v>
      </c>
      <c r="E5" s="140" t="s">
        <v>766</v>
      </c>
      <c r="F5" s="158" t="s">
        <v>756</v>
      </c>
      <c r="G5" s="158" t="s">
        <v>67</v>
      </c>
      <c r="H5" s="205">
        <v>13200</v>
      </c>
      <c r="I5" s="194">
        <v>5</v>
      </c>
      <c r="J5" s="183">
        <v>0.35420000000000001</v>
      </c>
      <c r="K5" s="143" t="s">
        <v>436</v>
      </c>
      <c r="L5" s="142">
        <v>16.783000000000001</v>
      </c>
      <c r="M5" s="142">
        <v>16.170000000000002</v>
      </c>
      <c r="N5" s="140">
        <v>2</v>
      </c>
      <c r="O5" s="193">
        <v>12883.3</v>
      </c>
      <c r="P5" s="140">
        <v>4.5629999999999997</v>
      </c>
    </row>
    <row r="6" spans="1:16" s="145" customFormat="1" ht="8.25" customHeight="1">
      <c r="A6" s="140" t="s">
        <v>439</v>
      </c>
      <c r="B6" s="140" t="s">
        <v>697</v>
      </c>
      <c r="C6" s="140" t="s">
        <v>704</v>
      </c>
      <c r="D6" s="140" t="s">
        <v>710</v>
      </c>
      <c r="E6" s="140" t="s">
        <v>766</v>
      </c>
      <c r="F6" s="158" t="s">
        <v>756</v>
      </c>
      <c r="G6" s="158" t="s">
        <v>67</v>
      </c>
      <c r="H6" s="205">
        <v>10800</v>
      </c>
      <c r="I6" s="194">
        <v>5</v>
      </c>
      <c r="J6" s="183">
        <v>0.375</v>
      </c>
      <c r="K6" s="140" t="s">
        <v>438</v>
      </c>
      <c r="L6" s="142">
        <v>11.042999999999999</v>
      </c>
      <c r="M6" s="142">
        <v>16.57</v>
      </c>
      <c r="N6" s="140">
        <v>2</v>
      </c>
      <c r="O6" s="193">
        <v>10453.299999999999</v>
      </c>
      <c r="P6" s="140">
        <v>3.92</v>
      </c>
    </row>
    <row r="7" spans="1:16" s="145" customFormat="1" ht="8.25" customHeight="1">
      <c r="A7" s="140" t="s">
        <v>441</v>
      </c>
      <c r="B7" s="140" t="s">
        <v>697</v>
      </c>
      <c r="C7" s="140" t="s">
        <v>704</v>
      </c>
      <c r="D7" s="140" t="s">
        <v>710</v>
      </c>
      <c r="E7" s="140" t="s">
        <v>766</v>
      </c>
      <c r="F7" s="158" t="s">
        <v>756</v>
      </c>
      <c r="G7" s="158" t="s">
        <v>67</v>
      </c>
      <c r="H7" s="205">
        <v>10800</v>
      </c>
      <c r="I7" s="194">
        <v>5</v>
      </c>
      <c r="J7" s="183">
        <v>0.30649999999999999</v>
      </c>
      <c r="K7" s="140" t="s">
        <v>440</v>
      </c>
      <c r="L7" s="142">
        <v>13.57</v>
      </c>
      <c r="M7" s="142">
        <v>16.37</v>
      </c>
      <c r="N7" s="140">
        <v>2</v>
      </c>
      <c r="O7" s="193">
        <v>10406.700000000001</v>
      </c>
      <c r="P7" s="140">
        <v>3.19</v>
      </c>
    </row>
    <row r="8" spans="1:16" s="145" customFormat="1" ht="8.25" customHeight="1">
      <c r="A8" s="140" t="s">
        <v>443</v>
      </c>
      <c r="B8" s="140" t="s">
        <v>698</v>
      </c>
      <c r="C8" s="140" t="s">
        <v>703</v>
      </c>
      <c r="D8" s="140" t="s">
        <v>708</v>
      </c>
      <c r="E8" s="140" t="s">
        <v>766</v>
      </c>
      <c r="F8" s="158" t="s">
        <v>756</v>
      </c>
      <c r="G8" s="158" t="s">
        <v>67</v>
      </c>
      <c r="H8" s="205">
        <v>4200</v>
      </c>
      <c r="I8" s="194">
        <v>5</v>
      </c>
      <c r="J8" s="183">
        <v>0.27450000000000002</v>
      </c>
      <c r="K8" s="143" t="s">
        <v>442</v>
      </c>
      <c r="L8" s="142">
        <v>14.56</v>
      </c>
      <c r="M8" s="142">
        <v>7.33</v>
      </c>
      <c r="N8" s="140">
        <v>2</v>
      </c>
      <c r="O8" s="193">
        <v>4023.3</v>
      </c>
      <c r="P8" s="142">
        <v>1.1040000000000001</v>
      </c>
    </row>
    <row r="9" spans="1:16" s="145" customFormat="1" ht="8.25" customHeight="1">
      <c r="A9" s="140" t="s">
        <v>445</v>
      </c>
      <c r="B9" s="140" t="s">
        <v>698</v>
      </c>
      <c r="C9" s="140" t="s">
        <v>703</v>
      </c>
      <c r="D9" s="140" t="s">
        <v>708</v>
      </c>
      <c r="E9" s="140" t="s">
        <v>766</v>
      </c>
      <c r="F9" s="158" t="s">
        <v>756</v>
      </c>
      <c r="G9" s="158" t="s">
        <v>67</v>
      </c>
      <c r="H9" s="205">
        <v>4200</v>
      </c>
      <c r="I9" s="194">
        <v>5</v>
      </c>
      <c r="J9" s="183">
        <v>0.27729999999999999</v>
      </c>
      <c r="K9" s="143" t="s">
        <v>444</v>
      </c>
      <c r="L9" s="142">
        <v>14.45</v>
      </c>
      <c r="M9" s="142">
        <v>7.3</v>
      </c>
      <c r="N9" s="140">
        <v>2</v>
      </c>
      <c r="O9" s="193">
        <v>3990</v>
      </c>
      <c r="P9" s="142">
        <v>1.1060000000000001</v>
      </c>
    </row>
    <row r="10" spans="1:16" s="145" customFormat="1" ht="8.25" customHeight="1">
      <c r="A10" s="140" t="s">
        <v>447</v>
      </c>
      <c r="B10" s="140" t="s">
        <v>699</v>
      </c>
      <c r="C10" s="140" t="s">
        <v>704</v>
      </c>
      <c r="D10" s="140" t="s">
        <v>711</v>
      </c>
      <c r="E10" s="140" t="s">
        <v>766</v>
      </c>
      <c r="F10" s="158" t="s">
        <v>756</v>
      </c>
      <c r="G10" s="158" t="s">
        <v>67</v>
      </c>
      <c r="H10" s="205">
        <v>3600</v>
      </c>
      <c r="I10" s="194">
        <v>5</v>
      </c>
      <c r="J10" s="183">
        <v>0.35670000000000002</v>
      </c>
      <c r="K10" s="143" t="s">
        <v>446</v>
      </c>
      <c r="L10" s="142">
        <v>11.14</v>
      </c>
      <c r="M10" s="142">
        <v>7.2</v>
      </c>
      <c r="N10" s="140">
        <v>2</v>
      </c>
      <c r="O10" s="193">
        <v>3526.7</v>
      </c>
      <c r="P10" s="140">
        <v>1.258</v>
      </c>
    </row>
    <row r="11" spans="1:16" s="145" customFormat="1" ht="8.25" customHeight="1">
      <c r="A11" s="140" t="s">
        <v>449</v>
      </c>
      <c r="B11" s="140" t="s">
        <v>699</v>
      </c>
      <c r="C11" s="140" t="s">
        <v>704</v>
      </c>
      <c r="D11" s="140" t="s">
        <v>710</v>
      </c>
      <c r="E11" s="140" t="s">
        <v>766</v>
      </c>
      <c r="F11" s="158" t="s">
        <v>756</v>
      </c>
      <c r="G11" s="158" t="s">
        <v>67</v>
      </c>
      <c r="H11" s="205">
        <v>10800</v>
      </c>
      <c r="I11" s="194">
        <v>5</v>
      </c>
      <c r="J11" s="183">
        <v>0.372</v>
      </c>
      <c r="K11" s="143" t="s">
        <v>448</v>
      </c>
      <c r="L11" s="142">
        <v>10.632999999999999</v>
      </c>
      <c r="M11" s="142">
        <v>7.13</v>
      </c>
      <c r="N11" s="140">
        <v>2</v>
      </c>
      <c r="O11" s="193">
        <v>10483.299999999999</v>
      </c>
      <c r="P11" s="140">
        <v>3.9</v>
      </c>
    </row>
    <row r="12" spans="1:16" s="145" customFormat="1" ht="8.25" customHeight="1">
      <c r="A12" s="140" t="s">
        <v>451</v>
      </c>
      <c r="B12" s="140" t="s">
        <v>700</v>
      </c>
      <c r="C12" s="140" t="s">
        <v>704</v>
      </c>
      <c r="D12" s="140" t="s">
        <v>711</v>
      </c>
      <c r="E12" s="140" t="s">
        <v>766</v>
      </c>
      <c r="F12" s="158" t="s">
        <v>756</v>
      </c>
      <c r="G12" s="158" t="s">
        <v>67</v>
      </c>
      <c r="H12" s="205">
        <v>3600</v>
      </c>
      <c r="I12" s="194">
        <v>5</v>
      </c>
      <c r="J12" s="184">
        <v>0.35620000000000002</v>
      </c>
      <c r="K12" s="143" t="s">
        <v>450</v>
      </c>
      <c r="L12" s="142">
        <v>11.17</v>
      </c>
      <c r="M12" s="142">
        <v>6.9</v>
      </c>
      <c r="N12" s="140">
        <v>2</v>
      </c>
      <c r="O12" s="193">
        <v>3533.3</v>
      </c>
      <c r="P12" s="142">
        <v>1.2589999999999999</v>
      </c>
    </row>
    <row r="13" spans="1:16" s="145" customFormat="1" ht="8.25" customHeight="1">
      <c r="A13" s="140" t="s">
        <v>453</v>
      </c>
      <c r="B13" s="140" t="s">
        <v>700</v>
      </c>
      <c r="C13" s="140" t="s">
        <v>704</v>
      </c>
      <c r="D13" s="140" t="s">
        <v>710</v>
      </c>
      <c r="E13" s="140" t="s">
        <v>766</v>
      </c>
      <c r="F13" s="158" t="s">
        <v>756</v>
      </c>
      <c r="G13" s="158" t="s">
        <v>67</v>
      </c>
      <c r="H13" s="205">
        <v>10800</v>
      </c>
      <c r="I13" s="194">
        <v>5</v>
      </c>
      <c r="J13" s="183">
        <v>0.36880000000000002</v>
      </c>
      <c r="K13" s="140" t="s">
        <v>452</v>
      </c>
      <c r="L13" s="142">
        <v>10.67</v>
      </c>
      <c r="M13" s="142">
        <v>6.73</v>
      </c>
      <c r="N13" s="140">
        <v>2</v>
      </c>
      <c r="O13" s="193">
        <v>10536.7</v>
      </c>
      <c r="P13" s="140">
        <v>3.8860000000000001</v>
      </c>
    </row>
    <row r="14" spans="1:16" s="145" customFormat="1" ht="8.25" customHeight="1">
      <c r="A14" s="140" t="s">
        <v>455</v>
      </c>
      <c r="B14" s="140" t="s">
        <v>700</v>
      </c>
      <c r="C14" s="140" t="s">
        <v>704</v>
      </c>
      <c r="D14" s="140" t="s">
        <v>709</v>
      </c>
      <c r="E14" s="140" t="s">
        <v>766</v>
      </c>
      <c r="F14" s="158" t="s">
        <v>756</v>
      </c>
      <c r="G14" s="158" t="s">
        <v>67</v>
      </c>
      <c r="H14" s="205">
        <v>20400</v>
      </c>
      <c r="I14" s="194">
        <v>5</v>
      </c>
      <c r="J14" s="184">
        <v>0.30980000000000002</v>
      </c>
      <c r="K14" s="143" t="s">
        <v>454</v>
      </c>
      <c r="L14" s="142">
        <v>12.82</v>
      </c>
      <c r="M14" s="142">
        <v>6.8</v>
      </c>
      <c r="N14" s="140">
        <v>2</v>
      </c>
      <c r="O14" s="193">
        <v>19800</v>
      </c>
      <c r="P14" s="142">
        <v>6.1340000000000003</v>
      </c>
    </row>
    <row r="15" spans="1:16" s="145" customFormat="1" ht="8.25" customHeight="1">
      <c r="A15" s="140" t="s">
        <v>457</v>
      </c>
      <c r="B15" s="140" t="s">
        <v>701</v>
      </c>
      <c r="C15" s="140" t="s">
        <v>705</v>
      </c>
      <c r="D15" s="140" t="s">
        <v>712</v>
      </c>
      <c r="E15" s="140" t="s">
        <v>766</v>
      </c>
      <c r="F15" s="158" t="s">
        <v>756</v>
      </c>
      <c r="G15" s="158" t="s">
        <v>67</v>
      </c>
      <c r="H15" s="205">
        <v>15000</v>
      </c>
      <c r="I15" s="194">
        <v>5</v>
      </c>
      <c r="J15" s="183">
        <v>0.30132999999999999</v>
      </c>
      <c r="K15" s="143" t="s">
        <v>456</v>
      </c>
      <c r="L15" s="142">
        <v>7.6829999999999998</v>
      </c>
      <c r="M15" s="142">
        <v>15.27</v>
      </c>
      <c r="N15" s="140">
        <v>2</v>
      </c>
      <c r="O15" s="193">
        <v>14686.7</v>
      </c>
      <c r="P15" s="142">
        <v>4.4260000000000002</v>
      </c>
    </row>
    <row r="16" spans="1:16" s="145" customFormat="1" ht="8.25" customHeight="1">
      <c r="A16" s="140" t="s">
        <v>459</v>
      </c>
      <c r="B16" s="140" t="s">
        <v>701</v>
      </c>
      <c r="C16" s="140" t="s">
        <v>705</v>
      </c>
      <c r="D16" s="140" t="s">
        <v>712</v>
      </c>
      <c r="E16" s="140" t="s">
        <v>766</v>
      </c>
      <c r="F16" s="158" t="s">
        <v>756</v>
      </c>
      <c r="G16" s="158" t="s">
        <v>67</v>
      </c>
      <c r="H16" s="205">
        <v>15000</v>
      </c>
      <c r="I16" s="194">
        <v>5</v>
      </c>
      <c r="J16" s="185">
        <v>0.30070000000000002</v>
      </c>
      <c r="K16" s="143" t="s">
        <v>458</v>
      </c>
      <c r="L16" s="142">
        <v>7.7130000000000001</v>
      </c>
      <c r="M16" s="142">
        <v>15.3</v>
      </c>
      <c r="N16" s="140">
        <v>2</v>
      </c>
      <c r="O16" s="193">
        <v>14740</v>
      </c>
      <c r="P16" s="142">
        <v>4.4320000000000004</v>
      </c>
    </row>
    <row r="17" spans="1:16" s="145" customFormat="1" ht="8.25" customHeight="1">
      <c r="A17" s="140" t="s">
        <v>461</v>
      </c>
      <c r="B17" s="140" t="s">
        <v>701</v>
      </c>
      <c r="C17" s="140" t="s">
        <v>705</v>
      </c>
      <c r="D17" s="140" t="s">
        <v>712</v>
      </c>
      <c r="E17" s="140" t="s">
        <v>766</v>
      </c>
      <c r="F17" s="158" t="s">
        <v>756</v>
      </c>
      <c r="G17" s="158" t="s">
        <v>67</v>
      </c>
      <c r="H17" s="205">
        <v>15000</v>
      </c>
      <c r="I17" s="194">
        <v>5</v>
      </c>
      <c r="J17" s="183">
        <v>0.29430000000000001</v>
      </c>
      <c r="K17" s="143" t="s">
        <v>460</v>
      </c>
      <c r="L17" s="142">
        <v>7.81</v>
      </c>
      <c r="M17" s="142">
        <v>15.47</v>
      </c>
      <c r="N17" s="140">
        <v>2</v>
      </c>
      <c r="O17" s="193">
        <v>14923.3</v>
      </c>
      <c r="P17" s="142">
        <v>4.3920000000000003</v>
      </c>
    </row>
    <row r="18" spans="1:16" s="145" customFormat="1" ht="8.25" customHeight="1">
      <c r="A18" s="140" t="s">
        <v>463</v>
      </c>
      <c r="B18" s="140" t="s">
        <v>701</v>
      </c>
      <c r="C18" s="140" t="s">
        <v>705</v>
      </c>
      <c r="D18" s="140" t="s">
        <v>712</v>
      </c>
      <c r="E18" s="140" t="s">
        <v>766</v>
      </c>
      <c r="F18" s="158" t="s">
        <v>756</v>
      </c>
      <c r="G18" s="158" t="s">
        <v>67</v>
      </c>
      <c r="H18" s="205">
        <v>15000</v>
      </c>
      <c r="I18" s="194">
        <v>5</v>
      </c>
      <c r="J18" s="183">
        <v>0.29670000000000002</v>
      </c>
      <c r="K18" s="143" t="s">
        <v>462</v>
      </c>
      <c r="L18" s="142">
        <v>7.7969999999999997</v>
      </c>
      <c r="M18" s="142">
        <v>15.57</v>
      </c>
      <c r="N18" s="140">
        <v>2</v>
      </c>
      <c r="O18" s="193">
        <v>14886.7</v>
      </c>
      <c r="P18" s="142">
        <v>4.4169999999999998</v>
      </c>
    </row>
    <row r="19" spans="1:16" s="145" customFormat="1" ht="8.25" customHeight="1">
      <c r="A19" s="140" t="s">
        <v>465</v>
      </c>
      <c r="B19" s="140" t="s">
        <v>701</v>
      </c>
      <c r="C19" s="140" t="s">
        <v>705</v>
      </c>
      <c r="D19" s="140" t="s">
        <v>712</v>
      </c>
      <c r="E19" s="140" t="s">
        <v>766</v>
      </c>
      <c r="F19" s="158" t="s">
        <v>756</v>
      </c>
      <c r="G19" s="158" t="s">
        <v>67</v>
      </c>
      <c r="H19" s="205">
        <v>15000</v>
      </c>
      <c r="I19" s="194">
        <v>5</v>
      </c>
      <c r="J19" s="183">
        <v>0.29930000000000001</v>
      </c>
      <c r="K19" s="143" t="s">
        <v>464</v>
      </c>
      <c r="L19" s="142">
        <v>7.7729999999999997</v>
      </c>
      <c r="M19" s="142">
        <v>15.6</v>
      </c>
      <c r="N19" s="140">
        <v>2</v>
      </c>
      <c r="O19" s="193">
        <v>14843.3</v>
      </c>
      <c r="P19" s="142">
        <v>4.4429999999999996</v>
      </c>
    </row>
    <row r="20" spans="1:16" s="145" customFormat="1" ht="8.25" customHeight="1">
      <c r="A20" s="140" t="s">
        <v>467</v>
      </c>
      <c r="B20" s="140" t="s">
        <v>701</v>
      </c>
      <c r="C20" s="140" t="s">
        <v>705</v>
      </c>
      <c r="D20" s="140" t="s">
        <v>712</v>
      </c>
      <c r="E20" s="140" t="s">
        <v>766</v>
      </c>
      <c r="F20" s="158" t="s">
        <v>756</v>
      </c>
      <c r="G20" s="158" t="s">
        <v>67</v>
      </c>
      <c r="H20" s="205">
        <v>15000</v>
      </c>
      <c r="I20" s="194">
        <v>5</v>
      </c>
      <c r="J20" s="183">
        <v>0.29799999999999999</v>
      </c>
      <c r="K20" s="143" t="s">
        <v>466</v>
      </c>
      <c r="L20" s="142">
        <v>7.76</v>
      </c>
      <c r="M20" s="142">
        <v>15.63</v>
      </c>
      <c r="N20" s="140">
        <v>2</v>
      </c>
      <c r="O20" s="193">
        <v>14813.3</v>
      </c>
      <c r="P20" s="142">
        <v>4.4139999999999997</v>
      </c>
    </row>
    <row r="21" spans="1:16" s="145" customFormat="1" ht="8.25" customHeight="1">
      <c r="A21" s="140" t="s">
        <v>469</v>
      </c>
      <c r="B21" s="140" t="s">
        <v>701</v>
      </c>
      <c r="C21" s="140" t="s">
        <v>705</v>
      </c>
      <c r="D21" s="140" t="s">
        <v>712</v>
      </c>
      <c r="E21" s="140" t="s">
        <v>766</v>
      </c>
      <c r="F21" s="158" t="s">
        <v>756</v>
      </c>
      <c r="G21" s="158" t="s">
        <v>67</v>
      </c>
      <c r="H21" s="205">
        <v>15000</v>
      </c>
      <c r="I21" s="194">
        <v>5</v>
      </c>
      <c r="J21" s="183">
        <v>4.5999999999999996</v>
      </c>
      <c r="K21" s="143" t="s">
        <v>468</v>
      </c>
      <c r="L21" s="142">
        <v>7.78</v>
      </c>
      <c r="M21" s="142">
        <v>15.63</v>
      </c>
      <c r="N21" s="140">
        <v>2</v>
      </c>
      <c r="O21" s="193">
        <v>14853.3</v>
      </c>
      <c r="P21" s="142">
        <v>68.33</v>
      </c>
    </row>
    <row r="22" spans="1:16" s="145" customFormat="1" ht="8.25" customHeight="1">
      <c r="A22" s="140" t="s">
        <v>471</v>
      </c>
      <c r="B22" s="140" t="s">
        <v>701</v>
      </c>
      <c r="C22" s="140" t="s">
        <v>705</v>
      </c>
      <c r="D22" s="140" t="s">
        <v>712</v>
      </c>
      <c r="E22" s="140" t="s">
        <v>766</v>
      </c>
      <c r="F22" s="158" t="s">
        <v>756</v>
      </c>
      <c r="G22" s="158" t="s">
        <v>67</v>
      </c>
      <c r="H22" s="205">
        <v>15000</v>
      </c>
      <c r="I22" s="194">
        <v>5</v>
      </c>
      <c r="J22" s="183">
        <v>1.6</v>
      </c>
      <c r="K22" s="143" t="s">
        <v>470</v>
      </c>
      <c r="L22" s="142">
        <v>7.8470000000000004</v>
      </c>
      <c r="M22" s="142">
        <v>15.6</v>
      </c>
      <c r="N22" s="140">
        <v>2</v>
      </c>
      <c r="O22" s="193">
        <v>14983.3</v>
      </c>
      <c r="P22" s="142">
        <v>23.97</v>
      </c>
    </row>
    <row r="23" spans="1:16" s="145" customFormat="1" ht="8.25" customHeight="1">
      <c r="A23" s="140" t="s">
        <v>473</v>
      </c>
      <c r="B23" s="140" t="s">
        <v>702</v>
      </c>
      <c r="C23" s="140" t="s">
        <v>705</v>
      </c>
      <c r="D23" s="140" t="s">
        <v>712</v>
      </c>
      <c r="E23" s="140" t="s">
        <v>766</v>
      </c>
      <c r="F23" s="158" t="s">
        <v>756</v>
      </c>
      <c r="G23" s="158" t="s">
        <v>67</v>
      </c>
      <c r="H23" s="205">
        <v>15000</v>
      </c>
      <c r="I23" s="194">
        <v>5</v>
      </c>
      <c r="J23" s="183">
        <v>0.30020000000000002</v>
      </c>
      <c r="K23" s="143" t="s">
        <v>472</v>
      </c>
      <c r="L23" s="142">
        <v>7.4</v>
      </c>
      <c r="M23" s="142">
        <v>5.7</v>
      </c>
      <c r="N23" s="140">
        <v>2</v>
      </c>
      <c r="O23" s="193">
        <v>14696.7</v>
      </c>
      <c r="P23" s="140">
        <v>4.4119999999999999</v>
      </c>
    </row>
    <row r="24" spans="1:16" s="145" customFormat="1" ht="7.8" customHeight="1">
      <c r="A24" s="140" t="s">
        <v>475</v>
      </c>
      <c r="B24" s="140" t="s">
        <v>702</v>
      </c>
      <c r="C24" s="140" t="s">
        <v>705</v>
      </c>
      <c r="D24" s="140" t="s">
        <v>712</v>
      </c>
      <c r="E24" s="140" t="s">
        <v>766</v>
      </c>
      <c r="F24" s="158" t="s">
        <v>756</v>
      </c>
      <c r="G24" s="158" t="s">
        <v>67</v>
      </c>
      <c r="H24" s="205">
        <v>15000</v>
      </c>
      <c r="I24" s="194">
        <v>5</v>
      </c>
      <c r="J24" s="183">
        <v>1.8</v>
      </c>
      <c r="K24" s="143" t="s">
        <v>474</v>
      </c>
      <c r="L24" s="142">
        <v>7.33</v>
      </c>
      <c r="M24" s="142">
        <v>5.8</v>
      </c>
      <c r="N24" s="140">
        <v>2</v>
      </c>
      <c r="O24" s="193">
        <v>14633.3</v>
      </c>
      <c r="P24" s="140">
        <v>26.34</v>
      </c>
    </row>
    <row r="25" spans="1:16" s="145" customFormat="1" ht="8.25" customHeight="1">
      <c r="A25" s="140" t="s">
        <v>477</v>
      </c>
      <c r="B25" s="140" t="s">
        <v>702</v>
      </c>
      <c r="C25" s="140" t="s">
        <v>705</v>
      </c>
      <c r="D25" s="140" t="s">
        <v>712</v>
      </c>
      <c r="E25" s="140" t="s">
        <v>766</v>
      </c>
      <c r="F25" s="158" t="s">
        <v>756</v>
      </c>
      <c r="G25" s="158" t="s">
        <v>67</v>
      </c>
      <c r="H25" s="205">
        <v>15000</v>
      </c>
      <c r="I25" s="195">
        <v>5</v>
      </c>
      <c r="J25" s="183">
        <v>0.29749999999999999</v>
      </c>
      <c r="K25" s="143" t="s">
        <v>476</v>
      </c>
      <c r="L25" s="142">
        <v>7.43</v>
      </c>
      <c r="M25" s="142">
        <v>6.1</v>
      </c>
      <c r="N25" s="140">
        <v>2</v>
      </c>
      <c r="O25" s="193">
        <v>14756.7</v>
      </c>
      <c r="P25" s="140">
        <v>4.3899999999999997</v>
      </c>
    </row>
    <row r="26" spans="1:16" s="145" customFormat="1" ht="8.25" customHeight="1">
      <c r="A26" s="140" t="s">
        <v>479</v>
      </c>
      <c r="B26" s="140" t="s">
        <v>702</v>
      </c>
      <c r="C26" s="140" t="s">
        <v>705</v>
      </c>
      <c r="D26" s="140" t="s">
        <v>712</v>
      </c>
      <c r="E26" s="140" t="s">
        <v>766</v>
      </c>
      <c r="F26" s="158" t="s">
        <v>756</v>
      </c>
      <c r="G26" s="158" t="s">
        <v>67</v>
      </c>
      <c r="H26" s="205">
        <v>15000</v>
      </c>
      <c r="I26" s="195">
        <v>5</v>
      </c>
      <c r="J26" s="183">
        <v>0.30549999999999999</v>
      </c>
      <c r="K26" s="143" t="s">
        <v>478</v>
      </c>
      <c r="L26" s="142">
        <v>7.3</v>
      </c>
      <c r="M26" s="142">
        <v>6.23</v>
      </c>
      <c r="N26" s="140">
        <v>2</v>
      </c>
      <c r="O26" s="193">
        <v>14520</v>
      </c>
      <c r="P26" s="140">
        <v>4.4359999999999999</v>
      </c>
    </row>
    <row r="27" spans="1:16" s="145" customFormat="1" ht="8.25" customHeight="1">
      <c r="A27" s="140" t="s">
        <v>481</v>
      </c>
      <c r="B27" s="140" t="s">
        <v>702</v>
      </c>
      <c r="C27" s="140" t="s">
        <v>705</v>
      </c>
      <c r="D27" s="140" t="s">
        <v>712</v>
      </c>
      <c r="E27" s="140" t="s">
        <v>766</v>
      </c>
      <c r="F27" s="158" t="s">
        <v>756</v>
      </c>
      <c r="G27" s="158" t="s">
        <v>67</v>
      </c>
      <c r="H27" s="205">
        <v>15000</v>
      </c>
      <c r="I27" s="195">
        <v>5</v>
      </c>
      <c r="J27" s="183">
        <v>0.30719999999999997</v>
      </c>
      <c r="K27" s="143" t="s">
        <v>480</v>
      </c>
      <c r="L27" s="142">
        <v>7.2</v>
      </c>
      <c r="M27" s="142">
        <v>6.77</v>
      </c>
      <c r="N27" s="140">
        <v>2</v>
      </c>
      <c r="O27" s="193">
        <v>14306.7</v>
      </c>
      <c r="P27" s="140">
        <v>4.3949999999999996</v>
      </c>
    </row>
    <row r="28" spans="1:16" s="145" customFormat="1" ht="8.25" customHeight="1">
      <c r="A28" s="140" t="s">
        <v>483</v>
      </c>
      <c r="B28" s="140" t="s">
        <v>702</v>
      </c>
      <c r="C28" s="140" t="s">
        <v>705</v>
      </c>
      <c r="D28" s="140" t="s">
        <v>712</v>
      </c>
      <c r="E28" s="140" t="s">
        <v>766</v>
      </c>
      <c r="F28" s="158" t="s">
        <v>756</v>
      </c>
      <c r="G28" s="158" t="s">
        <v>67</v>
      </c>
      <c r="H28" s="205">
        <v>15000</v>
      </c>
      <c r="I28" s="195">
        <v>5</v>
      </c>
      <c r="J28" s="183">
        <v>0.30080000000000001</v>
      </c>
      <c r="K28" s="143" t="s">
        <v>482</v>
      </c>
      <c r="L28" s="142">
        <v>7.4</v>
      </c>
      <c r="M28" s="142">
        <v>6.73</v>
      </c>
      <c r="N28" s="140">
        <v>2</v>
      </c>
      <c r="O28" s="193">
        <v>14656.7</v>
      </c>
      <c r="P28" s="140">
        <v>4.4089999999999998</v>
      </c>
    </row>
    <row r="29" spans="1:16" s="145" customFormat="1" ht="8.25" customHeight="1">
      <c r="A29" s="140" t="s">
        <v>485</v>
      </c>
      <c r="B29" s="140" t="s">
        <v>731</v>
      </c>
      <c r="C29" s="140" t="s">
        <v>704</v>
      </c>
      <c r="D29" s="140" t="s">
        <v>713</v>
      </c>
      <c r="E29" s="140" t="s">
        <v>766</v>
      </c>
      <c r="F29" s="158" t="s">
        <v>756</v>
      </c>
      <c r="G29" s="158" t="s">
        <v>67</v>
      </c>
      <c r="H29" s="205">
        <v>1920</v>
      </c>
      <c r="I29" s="195">
        <v>5</v>
      </c>
      <c r="J29" s="183">
        <v>0.33150000000000002</v>
      </c>
      <c r="K29" s="143" t="s">
        <v>484</v>
      </c>
      <c r="L29" s="142">
        <v>6.7</v>
      </c>
      <c r="M29" s="142">
        <v>7.1</v>
      </c>
      <c r="N29" s="140">
        <v>2</v>
      </c>
      <c r="O29" s="193">
        <v>1883.3</v>
      </c>
      <c r="P29" s="142">
        <v>0.62429999999999997</v>
      </c>
    </row>
    <row r="30" spans="1:16" s="145" customFormat="1" ht="8.25" customHeight="1">
      <c r="A30" s="140" t="s">
        <v>487</v>
      </c>
      <c r="B30" s="140" t="s">
        <v>731</v>
      </c>
      <c r="C30" s="140" t="s">
        <v>704</v>
      </c>
      <c r="D30" s="140" t="s">
        <v>714</v>
      </c>
      <c r="E30" s="140" t="s">
        <v>766</v>
      </c>
      <c r="F30" s="158" t="s">
        <v>756</v>
      </c>
      <c r="G30" s="158" t="s">
        <v>67</v>
      </c>
      <c r="H30" s="205">
        <v>1200</v>
      </c>
      <c r="I30" s="195">
        <v>5</v>
      </c>
      <c r="J30" s="184">
        <v>0.38279999999999997</v>
      </c>
      <c r="K30" s="143" t="s">
        <v>486</v>
      </c>
      <c r="L30" s="142">
        <v>3.78</v>
      </c>
      <c r="M30" s="142">
        <v>6.9</v>
      </c>
      <c r="N30" s="140">
        <v>2</v>
      </c>
      <c r="O30" s="193">
        <v>1180.0999999999999</v>
      </c>
      <c r="P30" s="144">
        <v>0.45169999999999999</v>
      </c>
    </row>
    <row r="31" spans="1:16" s="145" customFormat="1" ht="8.25" customHeight="1">
      <c r="A31" s="140" t="s">
        <v>489</v>
      </c>
      <c r="B31" s="140" t="s">
        <v>732</v>
      </c>
      <c r="C31" s="140" t="s">
        <v>728</v>
      </c>
      <c r="D31" s="140" t="s">
        <v>715</v>
      </c>
      <c r="E31" s="140" t="s">
        <v>766</v>
      </c>
      <c r="F31" s="158" t="s">
        <v>756</v>
      </c>
      <c r="G31" s="158" t="s">
        <v>67</v>
      </c>
      <c r="H31" s="205">
        <v>19200</v>
      </c>
      <c r="I31" s="195">
        <v>5</v>
      </c>
      <c r="J31" s="183">
        <v>1.3</v>
      </c>
      <c r="K31" s="143" t="s">
        <v>488</v>
      </c>
      <c r="L31" s="142">
        <v>6.02</v>
      </c>
      <c r="M31" s="142">
        <v>14.3</v>
      </c>
      <c r="N31" s="140">
        <v>2</v>
      </c>
      <c r="O31" s="193">
        <v>19233.3</v>
      </c>
      <c r="P31" s="140">
        <v>25</v>
      </c>
    </row>
    <row r="32" spans="1:16" s="145" customFormat="1" ht="8.25" customHeight="1">
      <c r="A32" s="140" t="s">
        <v>491</v>
      </c>
      <c r="B32" s="140" t="s">
        <v>732</v>
      </c>
      <c r="C32" s="140" t="s">
        <v>728</v>
      </c>
      <c r="D32" s="140" t="s">
        <v>716</v>
      </c>
      <c r="E32" s="140" t="s">
        <v>766</v>
      </c>
      <c r="F32" s="158" t="s">
        <v>756</v>
      </c>
      <c r="G32" s="158" t="s">
        <v>67</v>
      </c>
      <c r="H32" s="205">
        <v>10800</v>
      </c>
      <c r="I32" s="195">
        <v>5</v>
      </c>
      <c r="J32" s="184">
        <v>1.6</v>
      </c>
      <c r="K32" s="143" t="s">
        <v>490</v>
      </c>
      <c r="L32" s="142">
        <v>4.2169999999999996</v>
      </c>
      <c r="M32" s="142">
        <v>14.6</v>
      </c>
      <c r="N32" s="140">
        <v>2</v>
      </c>
      <c r="O32" s="193">
        <v>10673.3</v>
      </c>
      <c r="P32" s="141">
        <v>19.21</v>
      </c>
    </row>
    <row r="33" spans="1:16" s="145" customFormat="1" ht="8.25" customHeight="1">
      <c r="A33" s="140" t="s">
        <v>493</v>
      </c>
      <c r="B33" s="140" t="s">
        <v>733</v>
      </c>
      <c r="C33" s="140" t="s">
        <v>728</v>
      </c>
      <c r="D33" s="140" t="s">
        <v>717</v>
      </c>
      <c r="E33" s="140" t="s">
        <v>766</v>
      </c>
      <c r="F33" s="158" t="s">
        <v>756</v>
      </c>
      <c r="G33" s="158" t="s">
        <v>67</v>
      </c>
      <c r="H33" s="205">
        <v>19200</v>
      </c>
      <c r="I33" s="195">
        <v>5</v>
      </c>
      <c r="J33" s="183">
        <v>2.1</v>
      </c>
      <c r="K33" s="143" t="s">
        <v>492</v>
      </c>
      <c r="L33" s="142">
        <v>5.98</v>
      </c>
      <c r="M33" s="142">
        <v>14.5</v>
      </c>
      <c r="N33" s="140">
        <v>2</v>
      </c>
      <c r="O33" s="193">
        <v>19100</v>
      </c>
      <c r="P33" s="142">
        <v>40.11</v>
      </c>
    </row>
    <row r="34" spans="1:16" s="145" customFormat="1" ht="8.25" customHeight="1">
      <c r="A34" s="140" t="s">
        <v>495</v>
      </c>
      <c r="B34" s="140" t="s">
        <v>733</v>
      </c>
      <c r="C34" s="140" t="s">
        <v>728</v>
      </c>
      <c r="D34" s="140" t="s">
        <v>717</v>
      </c>
      <c r="E34" s="140" t="s">
        <v>766</v>
      </c>
      <c r="F34" s="158" t="s">
        <v>756</v>
      </c>
      <c r="G34" s="158" t="s">
        <v>67</v>
      </c>
      <c r="H34" s="205">
        <v>9480</v>
      </c>
      <c r="I34" s="195">
        <v>5</v>
      </c>
      <c r="J34" s="186">
        <v>0.7</v>
      </c>
      <c r="K34" s="143" t="s">
        <v>494</v>
      </c>
      <c r="L34" s="142">
        <v>4.8899999999999997</v>
      </c>
      <c r="M34" s="142">
        <v>14.8</v>
      </c>
      <c r="N34" s="140">
        <v>2</v>
      </c>
      <c r="O34" s="193">
        <v>9310</v>
      </c>
      <c r="P34" s="142">
        <v>6.5170000000000003</v>
      </c>
    </row>
    <row r="35" spans="1:16" s="145" customFormat="1" ht="8.25" customHeight="1">
      <c r="A35" s="140" t="s">
        <v>497</v>
      </c>
      <c r="B35" s="140" t="s">
        <v>733</v>
      </c>
      <c r="C35" s="140" t="s">
        <v>728</v>
      </c>
      <c r="D35" s="140" t="s">
        <v>717</v>
      </c>
      <c r="E35" s="140" t="s">
        <v>766</v>
      </c>
      <c r="F35" s="158" t="s">
        <v>756</v>
      </c>
      <c r="G35" s="158" t="s">
        <v>67</v>
      </c>
      <c r="H35" s="205">
        <v>9480</v>
      </c>
      <c r="I35" s="195">
        <v>5</v>
      </c>
      <c r="J35" s="183">
        <v>0.6</v>
      </c>
      <c r="K35" s="143" t="s">
        <v>496</v>
      </c>
      <c r="L35" s="142">
        <v>4.883</v>
      </c>
      <c r="M35" s="142">
        <v>14.6</v>
      </c>
      <c r="N35" s="140">
        <v>2</v>
      </c>
      <c r="O35" s="193">
        <v>9293.2999999999993</v>
      </c>
      <c r="P35" s="142">
        <v>5.5759999999999996</v>
      </c>
    </row>
    <row r="36" spans="1:16" s="145" customFormat="1" ht="8.25" customHeight="1">
      <c r="A36" s="140" t="s">
        <v>499</v>
      </c>
      <c r="B36" s="140" t="s">
        <v>733</v>
      </c>
      <c r="C36" s="140" t="s">
        <v>728</v>
      </c>
      <c r="D36" s="140" t="s">
        <v>717</v>
      </c>
      <c r="E36" s="140" t="s">
        <v>766</v>
      </c>
      <c r="F36" s="158" t="s">
        <v>756</v>
      </c>
      <c r="G36" s="158" t="s">
        <v>67</v>
      </c>
      <c r="H36" s="205">
        <v>10800</v>
      </c>
      <c r="I36" s="195">
        <v>5</v>
      </c>
      <c r="J36" s="183">
        <v>3</v>
      </c>
      <c r="K36" s="143" t="s">
        <v>498</v>
      </c>
      <c r="L36" s="142">
        <v>4.2030000000000003</v>
      </c>
      <c r="M36" s="142">
        <v>14.6</v>
      </c>
      <c r="N36" s="140">
        <v>2</v>
      </c>
      <c r="O36" s="193">
        <v>10640</v>
      </c>
      <c r="P36" s="142">
        <v>31.92</v>
      </c>
    </row>
    <row r="37" spans="1:16" s="145" customFormat="1" ht="8.25" customHeight="1">
      <c r="A37" s="140" t="s">
        <v>501</v>
      </c>
      <c r="B37" s="140" t="s">
        <v>733</v>
      </c>
      <c r="C37" s="140" t="s">
        <v>728</v>
      </c>
      <c r="D37" s="140" t="s">
        <v>718</v>
      </c>
      <c r="E37" s="140" t="s">
        <v>766</v>
      </c>
      <c r="F37" s="158" t="s">
        <v>756</v>
      </c>
      <c r="G37" s="158" t="s">
        <v>67</v>
      </c>
      <c r="H37" s="205">
        <v>8400</v>
      </c>
      <c r="I37" s="195">
        <v>5</v>
      </c>
      <c r="J37" s="183">
        <v>2.2999999999999998</v>
      </c>
      <c r="K37" s="143" t="s">
        <v>500</v>
      </c>
      <c r="L37" s="142">
        <v>3.343</v>
      </c>
      <c r="M37" s="142">
        <v>14.8</v>
      </c>
      <c r="N37" s="140">
        <v>2</v>
      </c>
      <c r="O37" s="193">
        <v>8450</v>
      </c>
      <c r="P37" s="142">
        <v>19.440000000000001</v>
      </c>
    </row>
    <row r="38" spans="1:16" s="145" customFormat="1" ht="8.25" customHeight="1">
      <c r="A38" s="140" t="s">
        <v>503</v>
      </c>
      <c r="B38" s="140" t="s">
        <v>731</v>
      </c>
      <c r="C38" s="140" t="s">
        <v>728</v>
      </c>
      <c r="D38" s="140" t="s">
        <v>719</v>
      </c>
      <c r="E38" s="140" t="s">
        <v>766</v>
      </c>
      <c r="F38" s="158" t="s">
        <v>756</v>
      </c>
      <c r="G38" s="158" t="s">
        <v>67</v>
      </c>
      <c r="H38" s="205">
        <v>10200</v>
      </c>
      <c r="I38" s="195">
        <v>5</v>
      </c>
      <c r="J38" s="183">
        <v>1.9</v>
      </c>
      <c r="K38" s="143" t="s">
        <v>502</v>
      </c>
      <c r="L38" s="142">
        <v>5.2969999999999997</v>
      </c>
      <c r="M38" s="142">
        <v>14.9</v>
      </c>
      <c r="N38" s="140">
        <v>2</v>
      </c>
      <c r="O38" s="193">
        <v>10080</v>
      </c>
      <c r="P38" s="140">
        <v>19.149999999999999</v>
      </c>
    </row>
    <row r="39" spans="1:16" s="145" customFormat="1" ht="8.25" customHeight="1">
      <c r="A39" s="140" t="s">
        <v>505</v>
      </c>
      <c r="B39" s="140" t="s">
        <v>731</v>
      </c>
      <c r="C39" s="140" t="s">
        <v>728</v>
      </c>
      <c r="D39" s="140" t="s">
        <v>719</v>
      </c>
      <c r="E39" s="140" t="s">
        <v>766</v>
      </c>
      <c r="F39" s="158" t="s">
        <v>756</v>
      </c>
      <c r="G39" s="158" t="s">
        <v>67</v>
      </c>
      <c r="H39" s="205">
        <v>3600</v>
      </c>
      <c r="I39" s="195">
        <v>5</v>
      </c>
      <c r="J39" s="183">
        <v>0.34770000000000001</v>
      </c>
      <c r="K39" s="143" t="s">
        <v>504</v>
      </c>
      <c r="L39" s="142">
        <v>17.202999999999999</v>
      </c>
      <c r="M39" s="142">
        <v>16.899999999999999</v>
      </c>
      <c r="N39" s="140">
        <v>2</v>
      </c>
      <c r="O39" s="193">
        <v>3550</v>
      </c>
      <c r="P39" s="140">
        <v>1.234</v>
      </c>
    </row>
    <row r="40" spans="1:16" s="145" customFormat="1" ht="8.25" customHeight="1">
      <c r="A40" s="140" t="s">
        <v>507</v>
      </c>
      <c r="B40" s="140" t="s">
        <v>734</v>
      </c>
      <c r="C40" s="140" t="s">
        <v>729</v>
      </c>
      <c r="D40" s="140" t="s">
        <v>720</v>
      </c>
      <c r="E40" s="140" t="s">
        <v>767</v>
      </c>
      <c r="F40" s="158" t="s">
        <v>756</v>
      </c>
      <c r="G40" s="158" t="s">
        <v>67</v>
      </c>
      <c r="H40" s="205">
        <v>18000</v>
      </c>
      <c r="I40" s="195">
        <v>5</v>
      </c>
      <c r="J40" s="183">
        <v>1.8</v>
      </c>
      <c r="K40" s="143" t="s">
        <v>506</v>
      </c>
      <c r="L40" s="142">
        <v>5.41</v>
      </c>
      <c r="M40" s="142">
        <v>10.17</v>
      </c>
      <c r="N40" s="140">
        <v>2</v>
      </c>
      <c r="O40" s="193">
        <v>17466.7</v>
      </c>
      <c r="P40" s="140">
        <v>31.44</v>
      </c>
    </row>
    <row r="41" spans="1:16" s="145" customFormat="1" ht="8.25" customHeight="1">
      <c r="A41" s="140" t="s">
        <v>509</v>
      </c>
      <c r="B41" s="140" t="s">
        <v>734</v>
      </c>
      <c r="C41" s="140" t="s">
        <v>729</v>
      </c>
      <c r="D41" s="140" t="s">
        <v>720</v>
      </c>
      <c r="E41" s="140" t="s">
        <v>767</v>
      </c>
      <c r="F41" s="158" t="s">
        <v>756</v>
      </c>
      <c r="G41" s="158" t="s">
        <v>67</v>
      </c>
      <c r="H41" s="205">
        <v>14400</v>
      </c>
      <c r="I41" s="195">
        <v>5</v>
      </c>
      <c r="J41" s="184">
        <v>2</v>
      </c>
      <c r="K41" s="140" t="s">
        <v>508</v>
      </c>
      <c r="L41" s="142">
        <v>7.14</v>
      </c>
      <c r="M41" s="142">
        <v>10.37</v>
      </c>
      <c r="N41" s="140">
        <v>2</v>
      </c>
      <c r="O41" s="193">
        <v>13736.7</v>
      </c>
      <c r="P41" s="144">
        <v>27.47</v>
      </c>
    </row>
    <row r="42" spans="1:16" s="145" customFormat="1" ht="8.25" customHeight="1">
      <c r="A42" s="140" t="s">
        <v>511</v>
      </c>
      <c r="B42" s="140" t="s">
        <v>734</v>
      </c>
      <c r="C42" s="140" t="s">
        <v>729</v>
      </c>
      <c r="D42" s="140" t="s">
        <v>720</v>
      </c>
      <c r="E42" s="140" t="s">
        <v>767</v>
      </c>
      <c r="F42" s="158" t="s">
        <v>756</v>
      </c>
      <c r="G42" s="158" t="s">
        <v>67</v>
      </c>
      <c r="H42" s="205">
        <v>33600</v>
      </c>
      <c r="I42" s="195">
        <v>5</v>
      </c>
      <c r="J42" s="184">
        <v>1.2</v>
      </c>
      <c r="K42" s="140" t="s">
        <v>510</v>
      </c>
      <c r="L42" s="142">
        <v>9.7070000000000007</v>
      </c>
      <c r="M42" s="142">
        <v>10.8</v>
      </c>
      <c r="N42" s="140">
        <v>2</v>
      </c>
      <c r="O42" s="193">
        <v>31300</v>
      </c>
      <c r="P42" s="141">
        <v>37.56</v>
      </c>
    </row>
    <row r="43" spans="1:16" s="145" customFormat="1" ht="8.25" customHeight="1">
      <c r="A43" s="140" t="s">
        <v>513</v>
      </c>
      <c r="B43" s="140" t="s">
        <v>734</v>
      </c>
      <c r="C43" s="140" t="s">
        <v>729</v>
      </c>
      <c r="D43" s="140" t="s">
        <v>720</v>
      </c>
      <c r="E43" s="140" t="s">
        <v>767</v>
      </c>
      <c r="F43" s="158" t="s">
        <v>756</v>
      </c>
      <c r="G43" s="158" t="s">
        <v>67</v>
      </c>
      <c r="H43" s="205">
        <v>18000</v>
      </c>
      <c r="I43" s="195">
        <v>5</v>
      </c>
      <c r="J43" s="185">
        <v>0.33500000000000002</v>
      </c>
      <c r="K43" s="143" t="s">
        <v>512</v>
      </c>
      <c r="L43" s="142">
        <v>5.42</v>
      </c>
      <c r="M43" s="142">
        <v>10.63</v>
      </c>
      <c r="N43" s="140">
        <v>2</v>
      </c>
      <c r="O43" s="193">
        <v>17433.3</v>
      </c>
      <c r="P43" s="141">
        <v>5.84</v>
      </c>
    </row>
    <row r="44" spans="1:16" s="145" customFormat="1" ht="8.25" customHeight="1">
      <c r="A44" s="140" t="s">
        <v>515</v>
      </c>
      <c r="B44" s="140" t="s">
        <v>734</v>
      </c>
      <c r="C44" s="140" t="s">
        <v>729</v>
      </c>
      <c r="D44" s="140" t="s">
        <v>720</v>
      </c>
      <c r="E44" s="140" t="s">
        <v>767</v>
      </c>
      <c r="F44" s="158" t="s">
        <v>756</v>
      </c>
      <c r="G44" s="158" t="s">
        <v>67</v>
      </c>
      <c r="H44" s="205">
        <v>33600</v>
      </c>
      <c r="I44" s="195">
        <v>5</v>
      </c>
      <c r="J44" s="187">
        <v>1.2</v>
      </c>
      <c r="K44" s="143" t="s">
        <v>514</v>
      </c>
      <c r="L44" s="142">
        <v>9.6999999999999993</v>
      </c>
      <c r="M44" s="142">
        <v>10.63</v>
      </c>
      <c r="N44" s="140">
        <v>2</v>
      </c>
      <c r="O44" s="193">
        <v>31266.7</v>
      </c>
      <c r="P44" s="141">
        <v>37.520000000000003</v>
      </c>
    </row>
    <row r="45" spans="1:16" s="145" customFormat="1" ht="8.25" customHeight="1">
      <c r="A45" s="140" t="s">
        <v>517</v>
      </c>
      <c r="B45" s="140" t="s">
        <v>734</v>
      </c>
      <c r="C45" s="140" t="s">
        <v>729</v>
      </c>
      <c r="D45" s="140" t="s">
        <v>720</v>
      </c>
      <c r="E45" s="140" t="s">
        <v>767</v>
      </c>
      <c r="F45" s="158" t="s">
        <v>756</v>
      </c>
      <c r="G45" s="158" t="s">
        <v>67</v>
      </c>
      <c r="H45" s="205">
        <v>37200</v>
      </c>
      <c r="I45" s="195">
        <v>5</v>
      </c>
      <c r="J45" s="184">
        <v>4.3</v>
      </c>
      <c r="K45" s="143" t="s">
        <v>516</v>
      </c>
      <c r="L45" s="142">
        <v>9.15</v>
      </c>
      <c r="M45" s="142">
        <v>14.9</v>
      </c>
      <c r="N45" s="140">
        <v>2</v>
      </c>
      <c r="O45" s="193">
        <v>34700</v>
      </c>
      <c r="P45" s="141">
        <v>149.19999999999999</v>
      </c>
    </row>
    <row r="46" spans="1:16" s="145" customFormat="1" ht="8.25" customHeight="1">
      <c r="A46" s="140" t="s">
        <v>519</v>
      </c>
      <c r="B46" s="140" t="s">
        <v>734</v>
      </c>
      <c r="C46" s="140" t="s">
        <v>729</v>
      </c>
      <c r="D46" s="140" t="s">
        <v>720</v>
      </c>
      <c r="E46" s="140" t="s">
        <v>767</v>
      </c>
      <c r="F46" s="158" t="s">
        <v>756</v>
      </c>
      <c r="G46" s="158" t="s">
        <v>67</v>
      </c>
      <c r="H46" s="205">
        <v>10800</v>
      </c>
      <c r="I46" s="195">
        <v>5</v>
      </c>
      <c r="J46" s="185">
        <v>2.2999999999999998</v>
      </c>
      <c r="K46" s="143" t="s">
        <v>518</v>
      </c>
      <c r="L46" s="142">
        <v>5.29</v>
      </c>
      <c r="M46" s="142">
        <v>14.3</v>
      </c>
      <c r="N46" s="140">
        <v>2</v>
      </c>
      <c r="O46" s="193">
        <v>10090</v>
      </c>
      <c r="P46" s="141">
        <v>23.21</v>
      </c>
    </row>
    <row r="47" spans="1:16" s="145" customFormat="1" ht="8.25" customHeight="1">
      <c r="A47" s="140" t="s">
        <v>521</v>
      </c>
      <c r="B47" s="140" t="s">
        <v>735</v>
      </c>
      <c r="C47" s="140" t="s">
        <v>729</v>
      </c>
      <c r="D47" s="140" t="s">
        <v>721</v>
      </c>
      <c r="E47" s="140" t="s">
        <v>765</v>
      </c>
      <c r="F47" s="158" t="s">
        <v>756</v>
      </c>
      <c r="G47" s="158" t="s">
        <v>67</v>
      </c>
      <c r="H47" s="205">
        <v>18600</v>
      </c>
      <c r="I47" s="195">
        <v>5</v>
      </c>
      <c r="J47" s="183">
        <v>0.31219999999999998</v>
      </c>
      <c r="K47" s="143" t="s">
        <v>520</v>
      </c>
      <c r="L47" s="142">
        <v>9.6</v>
      </c>
      <c r="M47" s="142">
        <v>10.47</v>
      </c>
      <c r="N47" s="140">
        <v>2</v>
      </c>
      <c r="O47" s="193">
        <v>18466.7</v>
      </c>
      <c r="P47" s="142">
        <v>5.7649999999999997</v>
      </c>
    </row>
    <row r="48" spans="1:16" s="145" customFormat="1" ht="8.25" customHeight="1">
      <c r="A48" s="140" t="s">
        <v>523</v>
      </c>
      <c r="B48" s="140" t="s">
        <v>735</v>
      </c>
      <c r="C48" s="140" t="s">
        <v>729</v>
      </c>
      <c r="D48" s="140" t="s">
        <v>721</v>
      </c>
      <c r="E48" s="140" t="s">
        <v>765</v>
      </c>
      <c r="F48" s="158" t="s">
        <v>756</v>
      </c>
      <c r="G48" s="158" t="s">
        <v>67</v>
      </c>
      <c r="H48" s="205">
        <v>18600</v>
      </c>
      <c r="I48" s="195">
        <v>5</v>
      </c>
      <c r="J48" s="184">
        <v>0.33019999999999999</v>
      </c>
      <c r="K48" s="140" t="s">
        <v>522</v>
      </c>
      <c r="L48" s="142">
        <v>9.08</v>
      </c>
      <c r="M48" s="142">
        <v>10.43</v>
      </c>
      <c r="N48" s="140">
        <v>2</v>
      </c>
      <c r="O48" s="193">
        <v>17476.7</v>
      </c>
      <c r="P48" s="144">
        <v>5.7709999999999999</v>
      </c>
    </row>
    <row r="49" spans="1:16" s="145" customFormat="1" ht="8.25" customHeight="1">
      <c r="A49" s="140" t="s">
        <v>525</v>
      </c>
      <c r="B49" s="140" t="s">
        <v>735</v>
      </c>
      <c r="C49" s="140" t="s">
        <v>729</v>
      </c>
      <c r="D49" s="140" t="s">
        <v>721</v>
      </c>
      <c r="E49" s="140" t="s">
        <v>765</v>
      </c>
      <c r="F49" s="158" t="s">
        <v>756</v>
      </c>
      <c r="G49" s="158" t="s">
        <v>67</v>
      </c>
      <c r="H49" s="205">
        <v>16800</v>
      </c>
      <c r="I49" s="195">
        <v>5</v>
      </c>
      <c r="J49" s="183">
        <v>0.32900000000000001</v>
      </c>
      <c r="K49" s="143" t="s">
        <v>524</v>
      </c>
      <c r="L49" s="142">
        <v>9.14</v>
      </c>
      <c r="M49" s="142">
        <v>11.43</v>
      </c>
      <c r="N49" s="140">
        <v>2</v>
      </c>
      <c r="O49" s="193">
        <v>15536.7</v>
      </c>
      <c r="P49" s="142">
        <v>5.1120000000000001</v>
      </c>
    </row>
    <row r="50" spans="1:16" s="145" customFormat="1" ht="8.25" customHeight="1">
      <c r="A50" s="140" t="s">
        <v>527</v>
      </c>
      <c r="B50" s="140" t="s">
        <v>735</v>
      </c>
      <c r="C50" s="140" t="s">
        <v>729</v>
      </c>
      <c r="D50" s="140" t="s">
        <v>721</v>
      </c>
      <c r="E50" s="140" t="s">
        <v>765</v>
      </c>
      <c r="F50" s="158" t="s">
        <v>756</v>
      </c>
      <c r="G50" s="158" t="s">
        <v>67</v>
      </c>
      <c r="H50" s="205">
        <v>16800</v>
      </c>
      <c r="I50" s="195">
        <v>5</v>
      </c>
      <c r="J50" s="183">
        <v>0.32719999999999999</v>
      </c>
      <c r="K50" s="140" t="s">
        <v>526</v>
      </c>
      <c r="L50" s="142">
        <v>9.14</v>
      </c>
      <c r="M50" s="142">
        <v>10.27</v>
      </c>
      <c r="N50" s="140">
        <v>2</v>
      </c>
      <c r="O50" s="193">
        <v>15583.3</v>
      </c>
      <c r="P50" s="142">
        <v>5.0990000000000002</v>
      </c>
    </row>
    <row r="51" spans="1:16" s="145" customFormat="1" ht="8.25" customHeight="1">
      <c r="A51" s="140" t="s">
        <v>529</v>
      </c>
      <c r="B51" s="140" t="s">
        <v>731</v>
      </c>
      <c r="C51" s="140" t="s">
        <v>729</v>
      </c>
      <c r="D51" s="140" t="s">
        <v>722</v>
      </c>
      <c r="E51" s="140" t="s">
        <v>768</v>
      </c>
      <c r="F51" s="158" t="s">
        <v>756</v>
      </c>
      <c r="G51" s="158" t="s">
        <v>67</v>
      </c>
      <c r="H51" s="205">
        <v>25200</v>
      </c>
      <c r="I51" s="195">
        <v>5</v>
      </c>
      <c r="J51" s="184">
        <v>0.25850000000000001</v>
      </c>
      <c r="K51" s="143" t="s">
        <v>528</v>
      </c>
      <c r="L51" s="142">
        <v>15.36</v>
      </c>
      <c r="M51" s="142">
        <v>9.5299999999999994</v>
      </c>
      <c r="N51" s="140">
        <v>2</v>
      </c>
      <c r="O51" s="193">
        <v>24300</v>
      </c>
      <c r="P51" s="144">
        <v>6.282</v>
      </c>
    </row>
    <row r="52" spans="1:16" s="145" customFormat="1" ht="8.25" customHeight="1">
      <c r="A52" s="140" t="s">
        <v>531</v>
      </c>
      <c r="B52" s="140" t="s">
        <v>731</v>
      </c>
      <c r="C52" s="140" t="s">
        <v>729</v>
      </c>
      <c r="D52" s="140" t="s">
        <v>722</v>
      </c>
      <c r="E52" s="140" t="s">
        <v>768</v>
      </c>
      <c r="F52" s="158" t="s">
        <v>756</v>
      </c>
      <c r="G52" s="158" t="s">
        <v>67</v>
      </c>
      <c r="H52" s="205">
        <v>25200</v>
      </c>
      <c r="I52" s="195">
        <v>5</v>
      </c>
      <c r="J52" s="185">
        <v>0.25800000000000001</v>
      </c>
      <c r="K52" s="143" t="s">
        <v>530</v>
      </c>
      <c r="L52" s="142">
        <v>15.4</v>
      </c>
      <c r="M52" s="142">
        <v>9.4</v>
      </c>
      <c r="N52" s="140">
        <v>2</v>
      </c>
      <c r="O52" s="193">
        <v>24366.7</v>
      </c>
      <c r="P52" s="141">
        <v>6.2869999999999999</v>
      </c>
    </row>
    <row r="53" spans="1:16" s="145" customFormat="1" ht="8.25" customHeight="1">
      <c r="A53" s="140" t="s">
        <v>533</v>
      </c>
      <c r="B53" s="140" t="s">
        <v>736</v>
      </c>
      <c r="C53" s="140" t="s">
        <v>703</v>
      </c>
      <c r="D53" s="140" t="s">
        <v>723</v>
      </c>
      <c r="E53" s="140" t="s">
        <v>769</v>
      </c>
      <c r="F53" s="158" t="s">
        <v>756</v>
      </c>
      <c r="G53" s="158" t="s">
        <v>67</v>
      </c>
      <c r="H53" s="205">
        <v>7200</v>
      </c>
      <c r="I53" s="195">
        <v>5</v>
      </c>
      <c r="J53" s="183">
        <v>0.40150000000000002</v>
      </c>
      <c r="K53" s="143" t="s">
        <v>532</v>
      </c>
      <c r="L53" s="142">
        <v>10.119999999999999</v>
      </c>
      <c r="M53" s="142">
        <v>8.17</v>
      </c>
      <c r="N53" s="140">
        <v>2</v>
      </c>
      <c r="O53" s="193">
        <v>6803.3</v>
      </c>
      <c r="P53" s="142">
        <v>2.7320000000000002</v>
      </c>
    </row>
    <row r="54" spans="1:16" s="145" customFormat="1" ht="8.25" customHeight="1">
      <c r="A54" s="140" t="s">
        <v>535</v>
      </c>
      <c r="B54" s="140" t="s">
        <v>734</v>
      </c>
      <c r="C54" s="140" t="s">
        <v>705</v>
      </c>
      <c r="D54" s="140" t="s">
        <v>724</v>
      </c>
      <c r="E54" s="140" t="s">
        <v>767</v>
      </c>
      <c r="F54" s="158" t="s">
        <v>756</v>
      </c>
      <c r="G54" s="158" t="s">
        <v>67</v>
      </c>
      <c r="H54" s="205">
        <v>2162</v>
      </c>
      <c r="I54" s="195">
        <v>5</v>
      </c>
      <c r="J54" s="184">
        <v>0.35620000000000002</v>
      </c>
      <c r="K54" s="143" t="s">
        <v>534</v>
      </c>
      <c r="L54" s="142">
        <v>8.73</v>
      </c>
      <c r="M54" s="142">
        <v>20.23</v>
      </c>
      <c r="N54" s="140">
        <v>2</v>
      </c>
      <c r="O54" s="193">
        <v>2163.3000000000002</v>
      </c>
      <c r="P54" s="142">
        <v>0.77059999999999995</v>
      </c>
    </row>
    <row r="55" spans="1:16" s="145" customFormat="1" ht="8.25" customHeight="1">
      <c r="A55" s="140" t="s">
        <v>537</v>
      </c>
      <c r="B55" s="140" t="s">
        <v>734</v>
      </c>
      <c r="C55" s="140" t="s">
        <v>705</v>
      </c>
      <c r="D55" s="140" t="s">
        <v>725</v>
      </c>
      <c r="E55" s="140" t="s">
        <v>767</v>
      </c>
      <c r="F55" s="158" t="s">
        <v>756</v>
      </c>
      <c r="G55" s="158" t="s">
        <v>67</v>
      </c>
      <c r="H55" s="205">
        <v>2162</v>
      </c>
      <c r="I55" s="195">
        <v>5</v>
      </c>
      <c r="J55" s="183">
        <v>0.35</v>
      </c>
      <c r="K55" s="143" t="s">
        <v>536</v>
      </c>
      <c r="L55" s="142">
        <v>8.77</v>
      </c>
      <c r="M55" s="142">
        <v>20.23</v>
      </c>
      <c r="N55" s="140">
        <v>2</v>
      </c>
      <c r="O55" s="193">
        <v>2173.3000000000002</v>
      </c>
      <c r="P55" s="142">
        <v>0.76070000000000004</v>
      </c>
    </row>
    <row r="56" spans="1:16" s="145" customFormat="1" ht="8.25" customHeight="1">
      <c r="A56" s="140" t="s">
        <v>539</v>
      </c>
      <c r="B56" s="140" t="s">
        <v>734</v>
      </c>
      <c r="C56" s="140" t="s">
        <v>705</v>
      </c>
      <c r="D56" s="140" t="s">
        <v>725</v>
      </c>
      <c r="E56" s="140" t="s">
        <v>767</v>
      </c>
      <c r="F56" s="158" t="s">
        <v>756</v>
      </c>
      <c r="G56" s="158" t="s">
        <v>67</v>
      </c>
      <c r="H56" s="205">
        <v>2162</v>
      </c>
      <c r="I56" s="195">
        <v>5</v>
      </c>
      <c r="J56" s="183">
        <v>0.35099999999999998</v>
      </c>
      <c r="K56" s="140" t="s">
        <v>538</v>
      </c>
      <c r="L56" s="142">
        <v>8.73</v>
      </c>
      <c r="M56" s="142">
        <v>20.2</v>
      </c>
      <c r="N56" s="140">
        <v>2</v>
      </c>
      <c r="O56" s="193">
        <v>2166.6999999999998</v>
      </c>
      <c r="P56" s="142">
        <v>0.76049999999999995</v>
      </c>
    </row>
    <row r="57" spans="1:16" s="145" customFormat="1" ht="8.25" customHeight="1">
      <c r="A57" s="140" t="s">
        <v>541</v>
      </c>
      <c r="B57" s="140" t="s">
        <v>734</v>
      </c>
      <c r="C57" s="140" t="s">
        <v>705</v>
      </c>
      <c r="D57" s="140" t="s">
        <v>726</v>
      </c>
      <c r="E57" s="140" t="s">
        <v>767</v>
      </c>
      <c r="F57" s="158" t="s">
        <v>756</v>
      </c>
      <c r="G57" s="158" t="s">
        <v>67</v>
      </c>
      <c r="H57" s="205">
        <v>2595</v>
      </c>
      <c r="I57" s="195">
        <v>5</v>
      </c>
      <c r="J57" s="184">
        <v>0.31730000000000003</v>
      </c>
      <c r="K57" s="143" t="s">
        <v>540</v>
      </c>
      <c r="L57" s="142">
        <v>9.7029999999999994</v>
      </c>
      <c r="M57" s="142">
        <v>20.3</v>
      </c>
      <c r="N57" s="140">
        <v>2</v>
      </c>
      <c r="O57" s="193">
        <v>3613.3</v>
      </c>
      <c r="P57" s="144">
        <v>1.147</v>
      </c>
    </row>
    <row r="58" spans="1:16" s="145" customFormat="1" ht="8.25" customHeight="1">
      <c r="A58" s="140" t="s">
        <v>543</v>
      </c>
      <c r="B58" s="140" t="s">
        <v>737</v>
      </c>
      <c r="C58" s="140" t="s">
        <v>705</v>
      </c>
      <c r="D58" s="140" t="s">
        <v>727</v>
      </c>
      <c r="E58" s="140" t="s">
        <v>767</v>
      </c>
      <c r="F58" s="158" t="s">
        <v>756</v>
      </c>
      <c r="G58" s="158" t="s">
        <v>67</v>
      </c>
      <c r="H58" s="205">
        <v>3784</v>
      </c>
      <c r="I58" s="195">
        <v>5</v>
      </c>
      <c r="J58" s="184">
        <v>0.2868</v>
      </c>
      <c r="K58" s="143" t="s">
        <v>542</v>
      </c>
      <c r="L58" s="142">
        <v>8.2270000000000003</v>
      </c>
      <c r="M58" s="142">
        <v>20.13</v>
      </c>
      <c r="N58" s="140">
        <v>2</v>
      </c>
      <c r="O58" s="193">
        <v>3756.7</v>
      </c>
      <c r="P58" s="144">
        <v>1.077</v>
      </c>
    </row>
    <row r="59" spans="1:16" s="145" customFormat="1" ht="8.25" customHeight="1">
      <c r="A59" s="140" t="s">
        <v>545</v>
      </c>
      <c r="B59" s="140" t="s">
        <v>737</v>
      </c>
      <c r="C59" s="140" t="s">
        <v>705</v>
      </c>
      <c r="D59" s="140" t="s">
        <v>738</v>
      </c>
      <c r="E59" s="140" t="s">
        <v>770</v>
      </c>
      <c r="F59" s="158" t="s">
        <v>756</v>
      </c>
      <c r="G59" s="158" t="s">
        <v>67</v>
      </c>
      <c r="H59" s="205">
        <v>3244</v>
      </c>
      <c r="I59" s="195">
        <v>5</v>
      </c>
      <c r="J59" s="184">
        <v>0.34250000000000003</v>
      </c>
      <c r="K59" s="143" t="s">
        <v>544</v>
      </c>
      <c r="L59" s="142">
        <v>6.9870000000000001</v>
      </c>
      <c r="M59" s="142">
        <v>22.47</v>
      </c>
      <c r="N59" s="140">
        <v>2</v>
      </c>
      <c r="O59" s="193">
        <v>3166.7</v>
      </c>
      <c r="P59" s="142">
        <v>1.085</v>
      </c>
    </row>
    <row r="60" spans="1:16" s="145" customFormat="1" ht="8.25" customHeight="1">
      <c r="A60" s="140" t="s">
        <v>547</v>
      </c>
      <c r="B60" s="140" t="s">
        <v>737</v>
      </c>
      <c r="C60" s="140" t="s">
        <v>705</v>
      </c>
      <c r="D60" s="140" t="s">
        <v>738</v>
      </c>
      <c r="E60" s="140" t="s">
        <v>770</v>
      </c>
      <c r="F60" s="158" t="s">
        <v>756</v>
      </c>
      <c r="G60" s="158" t="s">
        <v>67</v>
      </c>
      <c r="H60" s="205">
        <v>3244</v>
      </c>
      <c r="I60" s="195">
        <v>5</v>
      </c>
      <c r="J60" s="184">
        <v>0.34029999999999999</v>
      </c>
      <c r="K60" s="143" t="s">
        <v>546</v>
      </c>
      <c r="L60" s="142">
        <v>6.97</v>
      </c>
      <c r="M60" s="142">
        <v>21.53</v>
      </c>
      <c r="N60" s="140">
        <v>2</v>
      </c>
      <c r="O60" s="193">
        <v>3166.7</v>
      </c>
      <c r="P60" s="142">
        <v>1.0780000000000001</v>
      </c>
    </row>
    <row r="61" spans="1:16" s="145" customFormat="1" ht="8.25" customHeight="1">
      <c r="A61" s="140" t="s">
        <v>549</v>
      </c>
      <c r="B61" s="140" t="s">
        <v>737</v>
      </c>
      <c r="C61" s="140" t="s">
        <v>705</v>
      </c>
      <c r="D61" s="140" t="s">
        <v>738</v>
      </c>
      <c r="E61" s="140" t="s">
        <v>765</v>
      </c>
      <c r="F61" s="158" t="s">
        <v>756</v>
      </c>
      <c r="G61" s="158" t="s">
        <v>67</v>
      </c>
      <c r="H61" s="205">
        <v>3784</v>
      </c>
      <c r="I61" s="195">
        <v>5</v>
      </c>
      <c r="J61" s="183">
        <v>0.2843</v>
      </c>
      <c r="K61" s="143" t="s">
        <v>548</v>
      </c>
      <c r="L61" s="142">
        <v>8.35</v>
      </c>
      <c r="M61" s="142">
        <v>20.57</v>
      </c>
      <c r="N61" s="140">
        <v>2</v>
      </c>
      <c r="O61" s="193">
        <v>3803.3</v>
      </c>
      <c r="P61" s="144">
        <v>1.081</v>
      </c>
    </row>
    <row r="62" spans="1:16" s="145" customFormat="1" ht="8.25" customHeight="1">
      <c r="A62" s="140" t="s">
        <v>551</v>
      </c>
      <c r="B62" s="140" t="s">
        <v>737</v>
      </c>
      <c r="C62" s="140" t="s">
        <v>705</v>
      </c>
      <c r="D62" s="140" t="s">
        <v>738</v>
      </c>
      <c r="E62" s="140" t="s">
        <v>765</v>
      </c>
      <c r="F62" s="158" t="s">
        <v>756</v>
      </c>
      <c r="G62" s="158" t="s">
        <v>67</v>
      </c>
      <c r="H62" s="205">
        <v>3784</v>
      </c>
      <c r="I62" s="195">
        <v>5</v>
      </c>
      <c r="J62" s="183">
        <v>0.2833</v>
      </c>
      <c r="K62" s="143" t="s">
        <v>550</v>
      </c>
      <c r="L62" s="142">
        <v>8.3629999999999995</v>
      </c>
      <c r="M62" s="142">
        <v>20.57</v>
      </c>
      <c r="N62" s="140">
        <v>2</v>
      </c>
      <c r="O62" s="193">
        <v>3810</v>
      </c>
      <c r="P62" s="144">
        <v>1.079</v>
      </c>
    </row>
    <row r="63" spans="1:16" s="145" customFormat="1" ht="8.25" customHeight="1">
      <c r="A63" s="140" t="s">
        <v>553</v>
      </c>
      <c r="B63" s="140" t="s">
        <v>737</v>
      </c>
      <c r="C63" s="140" t="s">
        <v>705</v>
      </c>
      <c r="D63" s="140" t="s">
        <v>738</v>
      </c>
      <c r="E63" s="140" t="s">
        <v>771</v>
      </c>
      <c r="F63" s="158" t="s">
        <v>756</v>
      </c>
      <c r="G63" s="158" t="s">
        <v>67</v>
      </c>
      <c r="H63" s="205">
        <v>3244</v>
      </c>
      <c r="I63" s="195">
        <v>5</v>
      </c>
      <c r="J63" s="183">
        <v>0.3422</v>
      </c>
      <c r="K63" s="143" t="s">
        <v>552</v>
      </c>
      <c r="L63" s="142">
        <v>6.8929999999999998</v>
      </c>
      <c r="M63" s="142">
        <v>20.059999999999999</v>
      </c>
      <c r="N63" s="140">
        <v>2</v>
      </c>
      <c r="O63" s="193">
        <v>3136.7</v>
      </c>
      <c r="P63" s="140">
        <v>1.073</v>
      </c>
    </row>
    <row r="64" spans="1:16" s="145" customFormat="1" ht="8.25" customHeight="1">
      <c r="A64" s="140" t="s">
        <v>555</v>
      </c>
      <c r="B64" s="140" t="s">
        <v>737</v>
      </c>
      <c r="C64" s="140" t="s">
        <v>705</v>
      </c>
      <c r="D64" s="140" t="s">
        <v>738</v>
      </c>
      <c r="E64" s="140" t="s">
        <v>771</v>
      </c>
      <c r="F64" s="158" t="s">
        <v>756</v>
      </c>
      <c r="G64" s="158" t="s">
        <v>67</v>
      </c>
      <c r="H64" s="205">
        <v>3244</v>
      </c>
      <c r="I64" s="195">
        <v>5</v>
      </c>
      <c r="J64" s="183">
        <v>0.34470000000000001</v>
      </c>
      <c r="K64" s="143" t="s">
        <v>554</v>
      </c>
      <c r="L64" s="142">
        <v>6.843</v>
      </c>
      <c r="M64" s="142">
        <v>20.6</v>
      </c>
      <c r="N64" s="140">
        <v>2</v>
      </c>
      <c r="O64" s="193">
        <v>3120</v>
      </c>
      <c r="P64" s="140">
        <v>1.075</v>
      </c>
    </row>
    <row r="65" spans="1:16" s="145" customFormat="1" ht="8.25" customHeight="1">
      <c r="A65" s="140" t="s">
        <v>557</v>
      </c>
      <c r="B65" s="140" t="s">
        <v>735</v>
      </c>
      <c r="C65" s="140" t="s">
        <v>705</v>
      </c>
      <c r="D65" s="140" t="s">
        <v>739</v>
      </c>
      <c r="E65" s="140" t="s">
        <v>765</v>
      </c>
      <c r="F65" s="158" t="s">
        <v>756</v>
      </c>
      <c r="G65" s="158" t="s">
        <v>67</v>
      </c>
      <c r="H65" s="205">
        <v>9731</v>
      </c>
      <c r="I65" s="195">
        <v>5</v>
      </c>
      <c r="J65" s="183">
        <v>0.29949999999999999</v>
      </c>
      <c r="K65" s="143" t="s">
        <v>556</v>
      </c>
      <c r="L65" s="142">
        <v>10.237</v>
      </c>
      <c r="M65" s="142">
        <v>20.5</v>
      </c>
      <c r="N65" s="140">
        <v>2</v>
      </c>
      <c r="O65" s="193">
        <v>9520</v>
      </c>
      <c r="P65" s="140">
        <v>2.851</v>
      </c>
    </row>
    <row r="66" spans="1:16" s="145" customFormat="1" ht="8.25" customHeight="1">
      <c r="A66" s="140" t="s">
        <v>559</v>
      </c>
      <c r="B66" s="140" t="s">
        <v>735</v>
      </c>
      <c r="C66" s="140" t="s">
        <v>705</v>
      </c>
      <c r="D66" s="140" t="s">
        <v>739</v>
      </c>
      <c r="E66" s="140" t="s">
        <v>765</v>
      </c>
      <c r="F66" s="158" t="s">
        <v>756</v>
      </c>
      <c r="G66" s="158" t="s">
        <v>67</v>
      </c>
      <c r="H66" s="205">
        <v>9731</v>
      </c>
      <c r="I66" s="195">
        <v>5</v>
      </c>
      <c r="J66" s="183">
        <v>0.30230000000000001</v>
      </c>
      <c r="K66" s="143" t="s">
        <v>558</v>
      </c>
      <c r="L66" s="142">
        <v>10.24</v>
      </c>
      <c r="M66" s="142">
        <v>20.5</v>
      </c>
      <c r="N66" s="140">
        <v>2</v>
      </c>
      <c r="O66" s="193">
        <v>9526.7000000000007</v>
      </c>
      <c r="P66" s="140">
        <v>2.88</v>
      </c>
    </row>
    <row r="67" spans="1:16" s="145" customFormat="1" ht="8.25" customHeight="1">
      <c r="A67" s="140" t="s">
        <v>561</v>
      </c>
      <c r="B67" s="140" t="s">
        <v>735</v>
      </c>
      <c r="C67" s="140" t="s">
        <v>705</v>
      </c>
      <c r="D67" s="140" t="s">
        <v>739</v>
      </c>
      <c r="E67" s="140" t="s">
        <v>765</v>
      </c>
      <c r="F67" s="158" t="s">
        <v>756</v>
      </c>
      <c r="G67" s="158" t="s">
        <v>67</v>
      </c>
      <c r="H67" s="205">
        <v>9731</v>
      </c>
      <c r="I67" s="195">
        <v>5</v>
      </c>
      <c r="J67" s="183">
        <v>0.30130000000000001</v>
      </c>
      <c r="K67" s="140" t="s">
        <v>560</v>
      </c>
      <c r="L67" s="142">
        <v>10.266999999999999</v>
      </c>
      <c r="M67" s="142">
        <v>19.899999999999999</v>
      </c>
      <c r="N67" s="140">
        <v>2</v>
      </c>
      <c r="O67" s="193">
        <v>9566.7000000000007</v>
      </c>
      <c r="P67" s="142">
        <v>2.8820000000000001</v>
      </c>
    </row>
    <row r="68" spans="1:16" s="145" customFormat="1" ht="8.25" customHeight="1">
      <c r="A68" s="140" t="s">
        <v>563</v>
      </c>
      <c r="B68" s="140" t="s">
        <v>735</v>
      </c>
      <c r="C68" s="140" t="s">
        <v>705</v>
      </c>
      <c r="D68" s="140" t="s">
        <v>739</v>
      </c>
      <c r="E68" s="140" t="s">
        <v>765</v>
      </c>
      <c r="F68" s="158" t="s">
        <v>756</v>
      </c>
      <c r="G68" s="158" t="s">
        <v>67</v>
      </c>
      <c r="H68" s="205">
        <v>9731</v>
      </c>
      <c r="I68" s="195">
        <v>5</v>
      </c>
      <c r="J68" s="184">
        <v>0.29820000000000002</v>
      </c>
      <c r="K68" s="143" t="s">
        <v>562</v>
      </c>
      <c r="L68" s="142">
        <v>10.35</v>
      </c>
      <c r="M68" s="142">
        <v>20</v>
      </c>
      <c r="N68" s="140">
        <v>2</v>
      </c>
      <c r="O68" s="193">
        <v>9640</v>
      </c>
      <c r="P68" s="142">
        <v>2.875</v>
      </c>
    </row>
    <row r="69" spans="1:16" s="145" customFormat="1" ht="8.25" customHeight="1">
      <c r="A69" s="140" t="s">
        <v>565</v>
      </c>
      <c r="B69" s="140" t="s">
        <v>735</v>
      </c>
      <c r="C69" s="140" t="s">
        <v>705</v>
      </c>
      <c r="D69" s="140" t="s">
        <v>739</v>
      </c>
      <c r="E69" s="140" t="s">
        <v>765</v>
      </c>
      <c r="F69" s="158" t="s">
        <v>756</v>
      </c>
      <c r="G69" s="158" t="s">
        <v>67</v>
      </c>
      <c r="H69" s="205">
        <v>9731</v>
      </c>
      <c r="I69" s="195">
        <v>5</v>
      </c>
      <c r="J69" s="183">
        <v>0.29370000000000002</v>
      </c>
      <c r="K69" s="140" t="s">
        <v>564</v>
      </c>
      <c r="L69" s="142">
        <v>10.413</v>
      </c>
      <c r="M69" s="142">
        <v>20.5</v>
      </c>
      <c r="N69" s="140">
        <v>2</v>
      </c>
      <c r="O69" s="193">
        <v>9683.2999999999993</v>
      </c>
      <c r="P69" s="142">
        <v>2.8439999999999999</v>
      </c>
    </row>
    <row r="70" spans="1:16" s="145" customFormat="1" ht="8.25" customHeight="1">
      <c r="A70" s="140" t="s">
        <v>567</v>
      </c>
      <c r="B70" s="140" t="s">
        <v>735</v>
      </c>
      <c r="C70" s="140" t="s">
        <v>705</v>
      </c>
      <c r="D70" s="140" t="s">
        <v>739</v>
      </c>
      <c r="E70" s="140" t="s">
        <v>765</v>
      </c>
      <c r="F70" s="158" t="s">
        <v>756</v>
      </c>
      <c r="G70" s="158" t="s">
        <v>67</v>
      </c>
      <c r="H70" s="205">
        <v>9731</v>
      </c>
      <c r="I70" s="195">
        <v>5</v>
      </c>
      <c r="J70" s="184">
        <v>0.29820000000000002</v>
      </c>
      <c r="K70" s="140" t="s">
        <v>566</v>
      </c>
      <c r="L70" s="142">
        <v>10.51</v>
      </c>
      <c r="M70" s="142">
        <v>21.3</v>
      </c>
      <c r="N70" s="140">
        <v>2</v>
      </c>
      <c r="O70" s="193">
        <v>9750</v>
      </c>
      <c r="P70" s="144">
        <v>2.907</v>
      </c>
    </row>
    <row r="71" spans="1:16" s="145" customFormat="1" ht="8.25" customHeight="1">
      <c r="A71" s="140" t="s">
        <v>569</v>
      </c>
      <c r="B71" s="140" t="s">
        <v>735</v>
      </c>
      <c r="C71" s="140" t="s">
        <v>705</v>
      </c>
      <c r="D71" s="140" t="s">
        <v>739</v>
      </c>
      <c r="E71" s="140" t="s">
        <v>765</v>
      </c>
      <c r="F71" s="158" t="s">
        <v>756</v>
      </c>
      <c r="G71" s="158" t="s">
        <v>67</v>
      </c>
      <c r="H71" s="205">
        <v>9731</v>
      </c>
      <c r="I71" s="195">
        <v>5</v>
      </c>
      <c r="J71" s="184">
        <v>0.29930000000000001</v>
      </c>
      <c r="K71" s="140" t="s">
        <v>568</v>
      </c>
      <c r="L71" s="142">
        <v>10.26</v>
      </c>
      <c r="M71" s="142">
        <v>20.2</v>
      </c>
      <c r="N71" s="140">
        <v>2</v>
      </c>
      <c r="O71" s="193">
        <v>9553.2999999999993</v>
      </c>
      <c r="P71" s="144">
        <v>2.859</v>
      </c>
    </row>
    <row r="72" spans="1:16" s="145" customFormat="1" ht="8.25" customHeight="1">
      <c r="A72" s="140" t="s">
        <v>571</v>
      </c>
      <c r="B72" s="140" t="s">
        <v>735</v>
      </c>
      <c r="C72" s="140" t="s">
        <v>705</v>
      </c>
      <c r="D72" s="140" t="s">
        <v>739</v>
      </c>
      <c r="E72" s="140" t="s">
        <v>765</v>
      </c>
      <c r="F72" s="158" t="s">
        <v>756</v>
      </c>
      <c r="G72" s="158" t="s">
        <v>67</v>
      </c>
      <c r="H72" s="205">
        <v>9731</v>
      </c>
      <c r="I72" s="195">
        <v>5</v>
      </c>
      <c r="J72" s="183">
        <v>0.30330000000000001</v>
      </c>
      <c r="K72" s="140" t="s">
        <v>570</v>
      </c>
      <c r="L72" s="142">
        <v>10.113</v>
      </c>
      <c r="M72" s="142">
        <v>20.100000000000001</v>
      </c>
      <c r="N72" s="140">
        <v>2</v>
      </c>
      <c r="O72" s="193">
        <v>9420</v>
      </c>
      <c r="P72" s="140">
        <v>2.8570000000000002</v>
      </c>
    </row>
    <row r="73" spans="1:16" s="145" customFormat="1" ht="8.25" customHeight="1">
      <c r="A73" s="140" t="s">
        <v>573</v>
      </c>
      <c r="B73" s="140" t="s">
        <v>745</v>
      </c>
      <c r="C73" s="140" t="s">
        <v>705</v>
      </c>
      <c r="D73" s="140" t="s">
        <v>740</v>
      </c>
      <c r="E73" s="140" t="s">
        <v>765</v>
      </c>
      <c r="F73" s="158" t="s">
        <v>756</v>
      </c>
      <c r="G73" s="158" t="s">
        <v>67</v>
      </c>
      <c r="H73" s="205">
        <v>3784</v>
      </c>
      <c r="I73" s="195">
        <v>5</v>
      </c>
      <c r="J73" s="183">
        <v>0.2843</v>
      </c>
      <c r="K73" s="140" t="s">
        <v>572</v>
      </c>
      <c r="L73" s="142">
        <v>7.93</v>
      </c>
      <c r="M73" s="142">
        <v>12.5</v>
      </c>
      <c r="N73" s="140">
        <v>2</v>
      </c>
      <c r="O73" s="193">
        <v>3790</v>
      </c>
      <c r="P73" s="140">
        <v>1.077</v>
      </c>
    </row>
    <row r="74" spans="1:16" s="145" customFormat="1" ht="8.25" customHeight="1">
      <c r="A74" s="140" t="s">
        <v>575</v>
      </c>
      <c r="B74" s="140" t="s">
        <v>745</v>
      </c>
      <c r="C74" s="140" t="s">
        <v>705</v>
      </c>
      <c r="D74" s="140" t="s">
        <v>740</v>
      </c>
      <c r="E74" s="140" t="s">
        <v>765</v>
      </c>
      <c r="F74" s="158" t="s">
        <v>756</v>
      </c>
      <c r="G74" s="158" t="s">
        <v>67</v>
      </c>
      <c r="H74" s="205">
        <v>3784</v>
      </c>
      <c r="I74" s="195">
        <v>5</v>
      </c>
      <c r="J74" s="184">
        <v>0.28770000000000001</v>
      </c>
      <c r="K74" s="140" t="s">
        <v>574</v>
      </c>
      <c r="L74" s="142">
        <v>7.86</v>
      </c>
      <c r="M74" s="142">
        <v>12.6</v>
      </c>
      <c r="N74" s="140">
        <v>2</v>
      </c>
      <c r="O74" s="193">
        <v>3750</v>
      </c>
      <c r="P74" s="142">
        <v>1.079</v>
      </c>
    </row>
    <row r="75" spans="1:16" s="145" customFormat="1" ht="8.25" customHeight="1">
      <c r="A75" s="140" t="s">
        <v>577</v>
      </c>
      <c r="B75" s="140" t="s">
        <v>745</v>
      </c>
      <c r="C75" s="140" t="s">
        <v>705</v>
      </c>
      <c r="D75" s="140" t="s">
        <v>740</v>
      </c>
      <c r="E75" s="140" t="s">
        <v>765</v>
      </c>
      <c r="F75" s="158" t="s">
        <v>756</v>
      </c>
      <c r="G75" s="158" t="s">
        <v>67</v>
      </c>
      <c r="H75" s="205">
        <v>3244</v>
      </c>
      <c r="I75" s="195">
        <v>5</v>
      </c>
      <c r="J75" s="183">
        <v>0.33079999999999998</v>
      </c>
      <c r="K75" s="140" t="s">
        <v>576</v>
      </c>
      <c r="L75" s="142">
        <v>6.83</v>
      </c>
      <c r="M75" s="142">
        <v>12.4</v>
      </c>
      <c r="N75" s="140">
        <v>2</v>
      </c>
      <c r="O75" s="193">
        <v>3263.3</v>
      </c>
      <c r="P75" s="140">
        <v>1.079</v>
      </c>
    </row>
    <row r="76" spans="1:16" s="145" customFormat="1" ht="8.25" customHeight="1">
      <c r="A76" s="140" t="s">
        <v>579</v>
      </c>
      <c r="B76" s="140" t="s">
        <v>745</v>
      </c>
      <c r="C76" s="140" t="s">
        <v>705</v>
      </c>
      <c r="D76" s="140" t="s">
        <v>740</v>
      </c>
      <c r="E76" s="140" t="s">
        <v>765</v>
      </c>
      <c r="F76" s="158" t="s">
        <v>756</v>
      </c>
      <c r="G76" s="158" t="s">
        <v>67</v>
      </c>
      <c r="H76" s="205">
        <v>3244</v>
      </c>
      <c r="I76" s="195">
        <v>5</v>
      </c>
      <c r="J76" s="185">
        <v>0.3377</v>
      </c>
      <c r="K76" s="143" t="s">
        <v>578</v>
      </c>
      <c r="L76" s="142">
        <v>6.6970000000000001</v>
      </c>
      <c r="M76" s="142">
        <v>12.47</v>
      </c>
      <c r="N76" s="140">
        <v>2</v>
      </c>
      <c r="O76" s="193">
        <v>3196.7</v>
      </c>
      <c r="P76" s="144">
        <v>1.08</v>
      </c>
    </row>
    <row r="77" spans="1:16" s="145" customFormat="1" ht="8.25" customHeight="1">
      <c r="A77" s="140" t="s">
        <v>581</v>
      </c>
      <c r="B77" s="140" t="s">
        <v>745</v>
      </c>
      <c r="C77" s="140" t="s">
        <v>705</v>
      </c>
      <c r="D77" s="140" t="s">
        <v>740</v>
      </c>
      <c r="E77" s="140" t="s">
        <v>765</v>
      </c>
      <c r="F77" s="158" t="s">
        <v>756</v>
      </c>
      <c r="G77" s="158" t="s">
        <v>67</v>
      </c>
      <c r="H77" s="205">
        <v>3244</v>
      </c>
      <c r="I77" s="195">
        <v>5</v>
      </c>
      <c r="J77" s="183">
        <v>0.33479999999999999</v>
      </c>
      <c r="K77" s="143" t="s">
        <v>580</v>
      </c>
      <c r="L77" s="142">
        <v>6.75</v>
      </c>
      <c r="M77" s="142">
        <v>12.67</v>
      </c>
      <c r="N77" s="140">
        <v>2</v>
      </c>
      <c r="O77" s="193">
        <v>3213.3</v>
      </c>
      <c r="P77" s="142">
        <v>1.0760000000000001</v>
      </c>
    </row>
    <row r="78" spans="1:16" s="145" customFormat="1" ht="8.25" customHeight="1">
      <c r="A78" s="140" t="s">
        <v>583</v>
      </c>
      <c r="B78" s="140" t="s">
        <v>745</v>
      </c>
      <c r="C78" s="140" t="s">
        <v>705</v>
      </c>
      <c r="D78" s="140" t="s">
        <v>740</v>
      </c>
      <c r="E78" s="140" t="s">
        <v>765</v>
      </c>
      <c r="F78" s="158" t="s">
        <v>756</v>
      </c>
      <c r="G78" s="158" t="s">
        <v>67</v>
      </c>
      <c r="H78" s="205">
        <v>3244</v>
      </c>
      <c r="I78" s="195">
        <v>5</v>
      </c>
      <c r="J78" s="183">
        <v>0.3397</v>
      </c>
      <c r="K78" s="140" t="s">
        <v>582</v>
      </c>
      <c r="L78" s="142">
        <v>6.7</v>
      </c>
      <c r="M78" s="142">
        <v>12.7</v>
      </c>
      <c r="N78" s="140">
        <v>2</v>
      </c>
      <c r="O78" s="193">
        <v>3186.7</v>
      </c>
      <c r="P78" s="140">
        <v>1.083</v>
      </c>
    </row>
    <row r="79" spans="1:16" s="145" customFormat="1" ht="8.25" customHeight="1">
      <c r="A79" s="140" t="s">
        <v>585</v>
      </c>
      <c r="B79" s="140" t="s">
        <v>745</v>
      </c>
      <c r="C79" s="140" t="s">
        <v>705</v>
      </c>
      <c r="D79" s="140" t="s">
        <v>740</v>
      </c>
      <c r="E79" s="140" t="s">
        <v>765</v>
      </c>
      <c r="F79" s="158" t="s">
        <v>756</v>
      </c>
      <c r="G79" s="158" t="s">
        <v>67</v>
      </c>
      <c r="H79" s="205">
        <v>3244</v>
      </c>
      <c r="I79" s="195">
        <v>5</v>
      </c>
      <c r="J79" s="185">
        <v>0.3392</v>
      </c>
      <c r="K79" s="140" t="s">
        <v>584</v>
      </c>
      <c r="L79" s="142">
        <v>6.7270000000000003</v>
      </c>
      <c r="M79" s="142">
        <v>12.8</v>
      </c>
      <c r="N79" s="140">
        <v>2</v>
      </c>
      <c r="O79" s="193">
        <v>3203.3</v>
      </c>
      <c r="P79" s="144">
        <v>1.087</v>
      </c>
    </row>
    <row r="80" spans="1:16" s="145" customFormat="1" ht="8.6999999999999993" customHeight="1">
      <c r="A80" s="140" t="s">
        <v>587</v>
      </c>
      <c r="B80" s="140" t="s">
        <v>745</v>
      </c>
      <c r="C80" s="140" t="s">
        <v>705</v>
      </c>
      <c r="D80" s="140" t="s">
        <v>740</v>
      </c>
      <c r="E80" s="140" t="s">
        <v>765</v>
      </c>
      <c r="F80" s="158" t="s">
        <v>756</v>
      </c>
      <c r="G80" s="158" t="s">
        <v>67</v>
      </c>
      <c r="H80" s="205">
        <v>3244</v>
      </c>
      <c r="I80" s="195">
        <v>5</v>
      </c>
      <c r="J80" s="183">
        <v>0.33979999999999999</v>
      </c>
      <c r="K80" s="140" t="s">
        <v>586</v>
      </c>
      <c r="L80" s="142">
        <v>6.73</v>
      </c>
      <c r="M80" s="142">
        <v>12.83</v>
      </c>
      <c r="N80" s="140">
        <v>2</v>
      </c>
      <c r="O80" s="193">
        <v>3200</v>
      </c>
      <c r="P80" s="142">
        <v>1.087</v>
      </c>
    </row>
    <row r="81" spans="1:16" s="145" customFormat="1" ht="8.25" customHeight="1">
      <c r="A81" s="140" t="s">
        <v>589</v>
      </c>
      <c r="B81" s="140" t="s">
        <v>745</v>
      </c>
      <c r="C81" s="140" t="s">
        <v>705</v>
      </c>
      <c r="D81" s="140" t="s">
        <v>741</v>
      </c>
      <c r="E81" s="140" t="s">
        <v>765</v>
      </c>
      <c r="F81" s="158" t="s">
        <v>756</v>
      </c>
      <c r="G81" s="158" t="s">
        <v>67</v>
      </c>
      <c r="H81" s="205">
        <v>2162</v>
      </c>
      <c r="I81" s="195">
        <v>5</v>
      </c>
      <c r="J81" s="185">
        <v>0.33700000000000002</v>
      </c>
      <c r="K81" s="140" t="s">
        <v>588</v>
      </c>
      <c r="L81" s="142">
        <v>3.7429999999999999</v>
      </c>
      <c r="M81" s="142">
        <v>19.899999999999999</v>
      </c>
      <c r="N81" s="140">
        <v>2</v>
      </c>
      <c r="O81" s="193">
        <v>2046.7</v>
      </c>
      <c r="P81" s="141">
        <v>0.68969999999999998</v>
      </c>
    </row>
    <row r="82" spans="1:16" s="145" customFormat="1" ht="8.25" customHeight="1">
      <c r="A82" s="140" t="s">
        <v>591</v>
      </c>
      <c r="B82" s="140" t="s">
        <v>745</v>
      </c>
      <c r="C82" s="140" t="s">
        <v>705</v>
      </c>
      <c r="D82" s="140" t="s">
        <v>741</v>
      </c>
      <c r="E82" s="140" t="s">
        <v>765</v>
      </c>
      <c r="F82" s="158" t="s">
        <v>756</v>
      </c>
      <c r="G82" s="158" t="s">
        <v>67</v>
      </c>
      <c r="H82" s="205">
        <v>1081</v>
      </c>
      <c r="I82" s="195">
        <v>5</v>
      </c>
      <c r="J82" s="184">
        <v>0.32750000000000001</v>
      </c>
      <c r="K82" s="140" t="s">
        <v>590</v>
      </c>
      <c r="L82" s="142">
        <v>3.2069999999999999</v>
      </c>
      <c r="M82" s="142">
        <v>19.899999999999999</v>
      </c>
      <c r="N82" s="140">
        <v>2</v>
      </c>
      <c r="O82" s="193">
        <v>959.8</v>
      </c>
      <c r="P82" s="144">
        <v>0.31430000000000002</v>
      </c>
    </row>
    <row r="83" spans="1:16" s="145" customFormat="1" ht="8.25" customHeight="1">
      <c r="A83" s="140" t="s">
        <v>593</v>
      </c>
      <c r="B83" s="140" t="s">
        <v>746</v>
      </c>
      <c r="C83" s="140" t="s">
        <v>705</v>
      </c>
      <c r="D83" s="140" t="s">
        <v>742</v>
      </c>
      <c r="E83" s="140" t="s">
        <v>765</v>
      </c>
      <c r="F83" s="158" t="s">
        <v>756</v>
      </c>
      <c r="G83" s="158" t="s">
        <v>67</v>
      </c>
      <c r="H83" s="205">
        <v>3784</v>
      </c>
      <c r="I83" s="195">
        <v>5</v>
      </c>
      <c r="J83" s="183">
        <v>0.28970000000000001</v>
      </c>
      <c r="K83" s="143" t="s">
        <v>592</v>
      </c>
      <c r="L83" s="142">
        <v>7.79</v>
      </c>
      <c r="M83" s="142">
        <v>12.77</v>
      </c>
      <c r="N83" s="140">
        <v>2</v>
      </c>
      <c r="O83" s="193">
        <v>3710</v>
      </c>
      <c r="P83" s="140">
        <v>1.075</v>
      </c>
    </row>
    <row r="84" spans="1:16" s="145" customFormat="1" ht="8.25" customHeight="1">
      <c r="A84" s="140" t="s">
        <v>595</v>
      </c>
      <c r="B84" s="140" t="s">
        <v>746</v>
      </c>
      <c r="C84" s="140" t="s">
        <v>705</v>
      </c>
      <c r="D84" s="140" t="s">
        <v>742</v>
      </c>
      <c r="E84" s="140" t="s">
        <v>765</v>
      </c>
      <c r="F84" s="158" t="s">
        <v>756</v>
      </c>
      <c r="G84" s="158" t="s">
        <v>67</v>
      </c>
      <c r="H84" s="205">
        <v>3784</v>
      </c>
      <c r="I84" s="195">
        <v>5</v>
      </c>
      <c r="J84" s="183">
        <v>0.29149999999999998</v>
      </c>
      <c r="K84" s="143" t="s">
        <v>594</v>
      </c>
      <c r="L84" s="142">
        <v>7.7930000000000001</v>
      </c>
      <c r="M84" s="142">
        <v>12.87</v>
      </c>
      <c r="N84" s="140">
        <v>2</v>
      </c>
      <c r="O84" s="193">
        <v>3703.3</v>
      </c>
      <c r="P84" s="142">
        <v>1.08</v>
      </c>
    </row>
    <row r="85" spans="1:16" s="145" customFormat="1" ht="8.25" customHeight="1">
      <c r="A85" s="140" t="s">
        <v>597</v>
      </c>
      <c r="B85" s="140" t="s">
        <v>746</v>
      </c>
      <c r="C85" s="140" t="s">
        <v>705</v>
      </c>
      <c r="D85" s="140" t="s">
        <v>743</v>
      </c>
      <c r="E85" s="140" t="s">
        <v>765</v>
      </c>
      <c r="F85" s="158" t="s">
        <v>756</v>
      </c>
      <c r="G85" s="158" t="s">
        <v>67</v>
      </c>
      <c r="H85" s="205">
        <v>4866</v>
      </c>
      <c r="I85" s="195">
        <v>5</v>
      </c>
      <c r="J85" s="184">
        <v>0.29299999999999998</v>
      </c>
      <c r="K85" s="143" t="s">
        <v>596</v>
      </c>
      <c r="L85" s="142">
        <v>8.0830000000000002</v>
      </c>
      <c r="M85" s="142">
        <v>20.27</v>
      </c>
      <c r="N85" s="140">
        <v>2</v>
      </c>
      <c r="O85" s="193">
        <v>4806.7</v>
      </c>
      <c r="P85" s="141">
        <v>1.4079999999999999</v>
      </c>
    </row>
    <row r="86" spans="1:16" s="145" customFormat="1" ht="8.25" customHeight="1">
      <c r="A86" s="140" t="s">
        <v>599</v>
      </c>
      <c r="B86" s="140" t="s">
        <v>745</v>
      </c>
      <c r="C86" s="140" t="s">
        <v>705</v>
      </c>
      <c r="D86" s="140" t="s">
        <v>744</v>
      </c>
      <c r="E86" s="140" t="s">
        <v>765</v>
      </c>
      <c r="F86" s="158" t="s">
        <v>756</v>
      </c>
      <c r="G86" s="158" t="s">
        <v>67</v>
      </c>
      <c r="H86" s="205">
        <v>1081</v>
      </c>
      <c r="I86" s="195">
        <v>5</v>
      </c>
      <c r="J86" s="183">
        <v>0.32700000000000001</v>
      </c>
      <c r="K86" s="143" t="s">
        <v>598</v>
      </c>
      <c r="L86" s="142">
        <v>2.3769999999999998</v>
      </c>
      <c r="M86" s="142">
        <v>20.13</v>
      </c>
      <c r="N86" s="140">
        <v>2</v>
      </c>
      <c r="O86" s="193">
        <v>1083.3</v>
      </c>
      <c r="P86" s="140">
        <v>0.35420000000000001</v>
      </c>
    </row>
    <row r="87" spans="1:16" s="145" customFormat="1" ht="8.25" customHeight="1">
      <c r="A87" s="140" t="s">
        <v>601</v>
      </c>
      <c r="B87" s="140" t="s">
        <v>745</v>
      </c>
      <c r="C87" s="140" t="s">
        <v>705</v>
      </c>
      <c r="D87" s="140" t="s">
        <v>744</v>
      </c>
      <c r="E87" s="140" t="s">
        <v>765</v>
      </c>
      <c r="F87" s="158" t="s">
        <v>756</v>
      </c>
      <c r="G87" s="158" t="s">
        <v>67</v>
      </c>
      <c r="H87" s="205">
        <v>1081</v>
      </c>
      <c r="I87" s="195">
        <v>5</v>
      </c>
      <c r="J87" s="184">
        <v>2.6</v>
      </c>
      <c r="K87" s="143" t="s">
        <v>600</v>
      </c>
      <c r="L87" s="142">
        <v>2.383</v>
      </c>
      <c r="M87" s="142">
        <v>20.2</v>
      </c>
      <c r="N87" s="140">
        <v>2</v>
      </c>
      <c r="O87" s="193">
        <v>1083.3</v>
      </c>
      <c r="P87" s="144">
        <v>2.8170000000000002</v>
      </c>
    </row>
    <row r="88" spans="1:16" s="145" customFormat="1" ht="8.25" customHeight="1">
      <c r="A88" s="140" t="s">
        <v>603</v>
      </c>
      <c r="B88" s="140" t="s">
        <v>735</v>
      </c>
      <c r="C88" s="140" t="s">
        <v>705</v>
      </c>
      <c r="D88" s="140" t="s">
        <v>739</v>
      </c>
      <c r="E88" s="140" t="s">
        <v>765</v>
      </c>
      <c r="F88" s="158" t="s">
        <v>756</v>
      </c>
      <c r="G88" s="158" t="s">
        <v>67</v>
      </c>
      <c r="H88" s="205">
        <v>9731</v>
      </c>
      <c r="I88" s="195">
        <v>5</v>
      </c>
      <c r="J88" s="185">
        <v>0.30130000000000001</v>
      </c>
      <c r="K88" s="143" t="s">
        <v>602</v>
      </c>
      <c r="L88" s="142">
        <v>10.237</v>
      </c>
      <c r="M88" s="142">
        <v>20.100000000000001</v>
      </c>
      <c r="N88" s="140">
        <v>2</v>
      </c>
      <c r="O88" s="193">
        <v>9526.7000000000007</v>
      </c>
      <c r="P88" s="144">
        <v>2.87</v>
      </c>
    </row>
    <row r="89" spans="1:16" s="145" customFormat="1" ht="8.25" customHeight="1">
      <c r="A89" s="140" t="s">
        <v>605</v>
      </c>
      <c r="B89" s="140" t="s">
        <v>735</v>
      </c>
      <c r="C89" s="140" t="s">
        <v>705</v>
      </c>
      <c r="D89" s="140" t="s">
        <v>739</v>
      </c>
      <c r="E89" s="140" t="s">
        <v>765</v>
      </c>
      <c r="F89" s="158" t="s">
        <v>756</v>
      </c>
      <c r="G89" s="158" t="s">
        <v>67</v>
      </c>
      <c r="H89" s="205">
        <v>9731</v>
      </c>
      <c r="I89" s="195">
        <v>5</v>
      </c>
      <c r="J89" s="183">
        <v>2.2000000000000002</v>
      </c>
      <c r="K89" s="143" t="s">
        <v>604</v>
      </c>
      <c r="L89" s="142">
        <v>10.25</v>
      </c>
      <c r="M89" s="142">
        <v>14.73</v>
      </c>
      <c r="N89" s="140">
        <v>2</v>
      </c>
      <c r="O89" s="193">
        <v>9736.7000000000007</v>
      </c>
      <c r="P89" s="142">
        <v>21.42</v>
      </c>
    </row>
    <row r="90" spans="1:16" s="145" customFormat="1" ht="8.25" customHeight="1">
      <c r="A90" s="140" t="s">
        <v>607</v>
      </c>
      <c r="B90" s="171" t="s">
        <v>735</v>
      </c>
      <c r="C90" s="171" t="s">
        <v>705</v>
      </c>
      <c r="D90" s="171" t="s">
        <v>739</v>
      </c>
      <c r="E90" s="140" t="s">
        <v>765</v>
      </c>
      <c r="F90" s="158" t="s">
        <v>756</v>
      </c>
      <c r="G90" s="176" t="s">
        <v>67</v>
      </c>
      <c r="H90" s="206">
        <v>9731</v>
      </c>
      <c r="I90" s="196">
        <v>5</v>
      </c>
      <c r="J90" s="188">
        <v>2.7</v>
      </c>
      <c r="K90" s="143" t="s">
        <v>606</v>
      </c>
      <c r="L90" s="181">
        <v>10.007</v>
      </c>
      <c r="M90" s="181">
        <v>14.87</v>
      </c>
      <c r="N90" s="171">
        <v>2</v>
      </c>
      <c r="O90" s="199">
        <v>9500</v>
      </c>
      <c r="P90" s="172">
        <v>25.65</v>
      </c>
    </row>
    <row r="91" spans="1:16" s="145" customFormat="1" ht="8.25" customHeight="1">
      <c r="A91" s="259" t="s">
        <v>608</v>
      </c>
      <c r="B91" s="262" t="s">
        <v>752</v>
      </c>
      <c r="C91" s="262" t="s">
        <v>750</v>
      </c>
      <c r="D91" s="263" t="s">
        <v>751</v>
      </c>
      <c r="E91" s="177" t="s">
        <v>758</v>
      </c>
      <c r="F91" s="265" t="s">
        <v>756</v>
      </c>
      <c r="G91" s="263" t="s">
        <v>757</v>
      </c>
      <c r="H91" s="273">
        <v>6400</v>
      </c>
      <c r="I91" s="197">
        <v>5</v>
      </c>
      <c r="J91" s="189">
        <v>0.35899999999999999</v>
      </c>
      <c r="K91" s="265" t="s">
        <v>775</v>
      </c>
      <c r="L91" s="268">
        <v>26.1</v>
      </c>
      <c r="M91" s="271">
        <v>17.899999999999999</v>
      </c>
      <c r="N91" s="263">
        <v>2</v>
      </c>
      <c r="O91" s="272">
        <v>6116.7</v>
      </c>
      <c r="P91" s="201">
        <v>2.1960000000000002</v>
      </c>
    </row>
    <row r="92" spans="1:16" s="145" customFormat="1" ht="8.25" customHeight="1">
      <c r="A92" s="260"/>
      <c r="B92" s="230"/>
      <c r="C92" s="230"/>
      <c r="D92" s="264"/>
      <c r="E92" s="174" t="s">
        <v>759</v>
      </c>
      <c r="F92" s="266"/>
      <c r="G92" s="264"/>
      <c r="H92" s="274"/>
      <c r="I92" s="198">
        <v>0.1</v>
      </c>
      <c r="J92" s="189">
        <v>4.0000000000000001E-3</v>
      </c>
      <c r="K92" s="266"/>
      <c r="L92" s="269"/>
      <c r="M92" s="269"/>
      <c r="N92" s="264"/>
      <c r="O92" s="269"/>
      <c r="P92" s="201">
        <v>2.4469999999999999E-2</v>
      </c>
    </row>
    <row r="93" spans="1:16" s="145" customFormat="1" ht="8.25" customHeight="1">
      <c r="A93" s="260"/>
      <c r="B93" s="230"/>
      <c r="C93" s="230"/>
      <c r="D93" s="264"/>
      <c r="E93" s="174" t="s">
        <v>760</v>
      </c>
      <c r="F93" s="266"/>
      <c r="G93" s="264"/>
      <c r="H93" s="274"/>
      <c r="I93" s="198">
        <v>0.1</v>
      </c>
      <c r="J93" s="189">
        <v>8.9700000000000001E-4</v>
      </c>
      <c r="K93" s="266"/>
      <c r="L93" s="269"/>
      <c r="M93" s="269"/>
      <c r="N93" s="264"/>
      <c r="O93" s="269"/>
      <c r="P93" s="201">
        <v>5.4869999999999997E-3</v>
      </c>
    </row>
    <row r="94" spans="1:16" s="145" customFormat="1" ht="8.25" customHeight="1">
      <c r="A94" s="260"/>
      <c r="B94" s="230"/>
      <c r="C94" s="230"/>
      <c r="D94" s="264"/>
      <c r="E94" s="174" t="s">
        <v>761</v>
      </c>
      <c r="F94" s="266"/>
      <c r="G94" s="264"/>
      <c r="H94" s="274"/>
      <c r="I94" s="198">
        <v>0.1</v>
      </c>
      <c r="J94" s="189">
        <v>4.4999999999999999E-4</v>
      </c>
      <c r="K94" s="266"/>
      <c r="L94" s="269"/>
      <c r="M94" s="269"/>
      <c r="N94" s="264"/>
      <c r="O94" s="269"/>
      <c r="P94" s="201">
        <v>2.7529999999999998E-3</v>
      </c>
    </row>
    <row r="95" spans="1:16" s="145" customFormat="1" ht="8.25" customHeight="1">
      <c r="A95" s="260"/>
      <c r="B95" s="230"/>
      <c r="C95" s="230"/>
      <c r="D95" s="264"/>
      <c r="E95" s="174" t="s">
        <v>762</v>
      </c>
      <c r="F95" s="266"/>
      <c r="G95" s="264"/>
      <c r="H95" s="274"/>
      <c r="I95" s="198">
        <v>0.1</v>
      </c>
      <c r="J95" s="189">
        <v>8.9700000000000001E-4</v>
      </c>
      <c r="K95" s="266"/>
      <c r="L95" s="269"/>
      <c r="M95" s="269"/>
      <c r="N95" s="264"/>
      <c r="O95" s="269"/>
      <c r="P95" s="201">
        <v>5.4869999999999997E-3</v>
      </c>
    </row>
    <row r="96" spans="1:16" s="145" customFormat="1" ht="8.25" customHeight="1">
      <c r="A96" s="260"/>
      <c r="B96" s="230"/>
      <c r="C96" s="230"/>
      <c r="D96" s="264"/>
      <c r="E96" s="174" t="s">
        <v>763</v>
      </c>
      <c r="F96" s="266"/>
      <c r="G96" s="264"/>
      <c r="H96" s="274"/>
      <c r="I96" s="198">
        <v>0.1</v>
      </c>
      <c r="J96" s="189">
        <v>8.9700000000000001E-4</v>
      </c>
      <c r="K96" s="266"/>
      <c r="L96" s="269"/>
      <c r="M96" s="269"/>
      <c r="N96" s="264"/>
      <c r="O96" s="269"/>
      <c r="P96" s="201">
        <v>5.4869999999999997E-3</v>
      </c>
    </row>
    <row r="97" spans="1:17" s="145" customFormat="1" ht="8.25" customHeight="1">
      <c r="A97" s="261"/>
      <c r="B97" s="230"/>
      <c r="C97" s="230"/>
      <c r="D97" s="253"/>
      <c r="E97" s="174" t="s">
        <v>764</v>
      </c>
      <c r="F97" s="267"/>
      <c r="G97" s="253"/>
      <c r="H97" s="275"/>
      <c r="I97" s="198">
        <v>2</v>
      </c>
      <c r="J97" s="189">
        <v>8.9700000000000002E-2</v>
      </c>
      <c r="K97" s="267"/>
      <c r="L97" s="270"/>
      <c r="M97" s="270"/>
      <c r="N97" s="253"/>
      <c r="O97" s="270"/>
      <c r="P97" s="201">
        <v>0.54869999999999997</v>
      </c>
    </row>
    <row r="98" spans="1:17" ht="7.8" customHeight="1">
      <c r="A98" s="173" t="s">
        <v>748</v>
      </c>
      <c r="B98" s="140" t="s">
        <v>745</v>
      </c>
      <c r="C98" s="171" t="s">
        <v>705</v>
      </c>
      <c r="D98" s="178" t="s">
        <v>753</v>
      </c>
      <c r="E98" s="179" t="s">
        <v>765</v>
      </c>
      <c r="F98" s="176" t="s">
        <v>756</v>
      </c>
      <c r="G98" s="176" t="s">
        <v>67</v>
      </c>
      <c r="H98" s="176" t="s">
        <v>74</v>
      </c>
      <c r="I98" s="196">
        <v>5</v>
      </c>
      <c r="J98" s="185">
        <v>0.5</v>
      </c>
      <c r="K98" s="143" t="s">
        <v>776</v>
      </c>
      <c r="L98" s="181">
        <v>23.3</v>
      </c>
      <c r="M98" s="181">
        <v>27.1</v>
      </c>
      <c r="N98" s="171">
        <v>2</v>
      </c>
      <c r="O98" s="199">
        <v>590.20000000000005</v>
      </c>
      <c r="P98" s="204">
        <v>2.9510000000000002E-4</v>
      </c>
    </row>
    <row r="99" spans="1:17" ht="7.8" customHeight="1">
      <c r="A99" s="177" t="s">
        <v>749</v>
      </c>
      <c r="B99" s="140" t="s">
        <v>745</v>
      </c>
      <c r="C99" s="174" t="s">
        <v>705</v>
      </c>
      <c r="D99" s="175" t="s">
        <v>754</v>
      </c>
      <c r="E99" s="177" t="s">
        <v>765</v>
      </c>
      <c r="F99" s="177" t="s">
        <v>756</v>
      </c>
      <c r="G99" s="177" t="s">
        <v>67</v>
      </c>
      <c r="H99" s="177" t="s">
        <v>74</v>
      </c>
      <c r="I99" s="197">
        <v>5</v>
      </c>
      <c r="J99" s="185">
        <v>0.5</v>
      </c>
      <c r="K99" s="203" t="s">
        <v>777</v>
      </c>
      <c r="L99" s="202">
        <v>7.7</v>
      </c>
      <c r="M99" s="202">
        <v>31.23</v>
      </c>
      <c r="N99" s="174">
        <v>2</v>
      </c>
      <c r="O99" s="200">
        <v>3303</v>
      </c>
      <c r="P99" s="201">
        <v>1.652E-3</v>
      </c>
    </row>
    <row r="100" spans="1:17" ht="7.8" customHeight="1"/>
    <row r="102" spans="1:17">
      <c r="A102" s="258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</row>
  </sheetData>
  <mergeCells count="13">
    <mergeCell ref="A102:Q102"/>
    <mergeCell ref="A91:A97"/>
    <mergeCell ref="B91:B97"/>
    <mergeCell ref="C91:C97"/>
    <mergeCell ref="D91:D97"/>
    <mergeCell ref="F91:F97"/>
    <mergeCell ref="G91:G97"/>
    <mergeCell ref="K91:K97"/>
    <mergeCell ref="L91:L97"/>
    <mergeCell ref="M91:M97"/>
    <mergeCell ref="N91:N97"/>
    <mergeCell ref="O91:O97"/>
    <mergeCell ref="H91:H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F006-30C2-4444-A044-23FA02ACA922}">
  <dimension ref="B3:K22"/>
  <sheetViews>
    <sheetView workbookViewId="0">
      <selection activeCell="M16" sqref="M16"/>
    </sheetView>
  </sheetViews>
  <sheetFormatPr defaultRowHeight="14.4"/>
  <cols>
    <col min="2" max="2" width="17.6640625" customWidth="1"/>
    <col min="3" max="3" width="10.33203125" bestFit="1" customWidth="1"/>
    <col min="4" max="4" width="12.77734375" customWidth="1"/>
    <col min="6" max="6" width="11.6640625" customWidth="1"/>
    <col min="7" max="7" width="12" customWidth="1"/>
    <col min="8" max="8" width="7.77734375" customWidth="1"/>
    <col min="9" max="9" width="8" customWidth="1"/>
    <col min="10" max="11" width="14" customWidth="1"/>
  </cols>
  <sheetData>
    <row r="3" spans="2:11" ht="23.4" customHeight="1">
      <c r="B3" s="282" t="s">
        <v>622</v>
      </c>
      <c r="C3" s="282"/>
      <c r="D3" s="282"/>
      <c r="E3" s="282"/>
      <c r="F3" s="282"/>
      <c r="G3" s="282"/>
      <c r="H3" s="282"/>
      <c r="I3" s="282"/>
      <c r="J3" s="282"/>
      <c r="K3" s="282"/>
    </row>
    <row r="4" spans="2:11" s="138" customFormat="1" ht="52.8" customHeight="1">
      <c r="B4" s="278" t="s">
        <v>613</v>
      </c>
      <c r="C4" s="278" t="s">
        <v>614</v>
      </c>
      <c r="D4" s="278" t="s">
        <v>615</v>
      </c>
      <c r="E4" s="280" t="s">
        <v>616</v>
      </c>
      <c r="F4" s="280" t="s">
        <v>617</v>
      </c>
      <c r="G4" s="280" t="s">
        <v>621</v>
      </c>
      <c r="H4" s="278" t="s">
        <v>618</v>
      </c>
      <c r="I4" s="283"/>
      <c r="J4" s="280" t="s">
        <v>619</v>
      </c>
      <c r="K4" s="280" t="s">
        <v>620</v>
      </c>
    </row>
    <row r="5" spans="2:11" s="138" customFormat="1" ht="36" customHeight="1">
      <c r="B5" s="279"/>
      <c r="C5" s="279"/>
      <c r="D5" s="279"/>
      <c r="E5" s="281"/>
      <c r="F5" s="281"/>
      <c r="G5" s="284"/>
      <c r="H5" s="149" t="s">
        <v>623</v>
      </c>
      <c r="I5" s="149" t="s">
        <v>624</v>
      </c>
      <c r="J5" s="281"/>
      <c r="K5" s="281"/>
    </row>
    <row r="6" spans="2:11" ht="16.95" customHeight="1">
      <c r="B6" s="148" t="s">
        <v>625</v>
      </c>
      <c r="C6" s="150">
        <v>45602</v>
      </c>
      <c r="D6" s="151" t="s">
        <v>645</v>
      </c>
      <c r="E6" s="152">
        <v>59.1</v>
      </c>
      <c r="F6" s="152">
        <v>59</v>
      </c>
      <c r="G6" s="153" t="s">
        <v>641</v>
      </c>
      <c r="H6" s="153" t="s">
        <v>641</v>
      </c>
      <c r="I6" s="153" t="s">
        <v>641</v>
      </c>
      <c r="J6" s="151">
        <v>59</v>
      </c>
      <c r="K6" s="285">
        <v>65</v>
      </c>
    </row>
    <row r="7" spans="2:11" ht="16.95" customHeight="1">
      <c r="B7" s="148" t="s">
        <v>626</v>
      </c>
      <c r="C7" s="150">
        <v>45631</v>
      </c>
      <c r="D7" s="151" t="s">
        <v>646</v>
      </c>
      <c r="E7" s="152">
        <v>60.2</v>
      </c>
      <c r="F7" s="152">
        <v>60</v>
      </c>
      <c r="G7" s="153" t="s">
        <v>641</v>
      </c>
      <c r="H7" s="153" t="s">
        <v>641</v>
      </c>
      <c r="I7" s="153" t="s">
        <v>641</v>
      </c>
      <c r="J7" s="152">
        <v>60</v>
      </c>
      <c r="K7" s="286"/>
    </row>
    <row r="8" spans="2:11" ht="16.95" customHeight="1">
      <c r="B8" s="148" t="s">
        <v>627</v>
      </c>
      <c r="C8" s="150">
        <v>45602</v>
      </c>
      <c r="D8" s="151" t="s">
        <v>647</v>
      </c>
      <c r="E8" s="152">
        <v>61.3</v>
      </c>
      <c r="F8" s="152">
        <v>61.5</v>
      </c>
      <c r="G8" s="153" t="s">
        <v>641</v>
      </c>
      <c r="H8" s="153" t="s">
        <v>641</v>
      </c>
      <c r="I8" s="153" t="s">
        <v>641</v>
      </c>
      <c r="J8" s="152">
        <v>61.5</v>
      </c>
      <c r="K8" s="286"/>
    </row>
    <row r="9" spans="2:11" ht="16.95" customHeight="1">
      <c r="B9" s="148" t="s">
        <v>628</v>
      </c>
      <c r="C9" s="150">
        <v>45631</v>
      </c>
      <c r="D9" s="151" t="s">
        <v>648</v>
      </c>
      <c r="E9" s="152">
        <v>53.5</v>
      </c>
      <c r="F9" s="152">
        <v>53.5</v>
      </c>
      <c r="G9" s="153" t="s">
        <v>641</v>
      </c>
      <c r="H9" s="153" t="s">
        <v>641</v>
      </c>
      <c r="I9" s="153" t="s">
        <v>641</v>
      </c>
      <c r="J9" s="152">
        <v>53.5</v>
      </c>
      <c r="K9" s="286"/>
    </row>
    <row r="10" spans="2:11" ht="16.95" customHeight="1">
      <c r="B10" s="148" t="s">
        <v>629</v>
      </c>
      <c r="C10" s="150">
        <v>45631</v>
      </c>
      <c r="D10" s="151" t="s">
        <v>649</v>
      </c>
      <c r="E10" s="152">
        <v>62</v>
      </c>
      <c r="F10" s="152">
        <v>62</v>
      </c>
      <c r="G10" s="153" t="s">
        <v>641</v>
      </c>
      <c r="H10" s="153" t="s">
        <v>641</v>
      </c>
      <c r="I10" s="153" t="s">
        <v>641</v>
      </c>
      <c r="J10" s="152">
        <v>62</v>
      </c>
      <c r="K10" s="286"/>
    </row>
    <row r="11" spans="2:11" ht="16.95" customHeight="1">
      <c r="B11" s="148" t="s">
        <v>630</v>
      </c>
      <c r="C11" s="150">
        <v>45631</v>
      </c>
      <c r="D11" s="151" t="s">
        <v>650</v>
      </c>
      <c r="E11" s="152">
        <v>50.4</v>
      </c>
      <c r="F11" s="152">
        <v>50.5</v>
      </c>
      <c r="G11" s="153" t="s">
        <v>641</v>
      </c>
      <c r="H11" s="153" t="s">
        <v>641</v>
      </c>
      <c r="I11" s="153" t="s">
        <v>641</v>
      </c>
      <c r="J11" s="152">
        <v>50.5</v>
      </c>
      <c r="K11" s="286"/>
    </row>
    <row r="12" spans="2:11" ht="16.95" customHeight="1">
      <c r="B12" s="148" t="s">
        <v>631</v>
      </c>
      <c r="C12" s="150">
        <v>45631</v>
      </c>
      <c r="D12" s="151" t="s">
        <v>651</v>
      </c>
      <c r="E12" s="152">
        <v>60.8</v>
      </c>
      <c r="F12" s="152">
        <v>61</v>
      </c>
      <c r="G12" s="153" t="s">
        <v>641</v>
      </c>
      <c r="H12" s="153" t="s">
        <v>641</v>
      </c>
      <c r="I12" s="153" t="s">
        <v>641</v>
      </c>
      <c r="J12" s="151">
        <v>61</v>
      </c>
      <c r="K12" s="286"/>
    </row>
    <row r="13" spans="2:11" ht="16.95" customHeight="1">
      <c r="B13" s="148" t="s">
        <v>632</v>
      </c>
      <c r="C13" s="150">
        <v>45631</v>
      </c>
      <c r="D13" s="151" t="s">
        <v>652</v>
      </c>
      <c r="E13" s="152">
        <v>54.3</v>
      </c>
      <c r="F13" s="152">
        <v>54.5</v>
      </c>
      <c r="G13" s="153" t="s">
        <v>641</v>
      </c>
      <c r="H13" s="153" t="s">
        <v>641</v>
      </c>
      <c r="I13" s="153" t="s">
        <v>641</v>
      </c>
      <c r="J13" s="152">
        <v>54.5</v>
      </c>
      <c r="K13" s="286"/>
    </row>
    <row r="14" spans="2:11" ht="16.95" customHeight="1">
      <c r="B14" s="148" t="s">
        <v>633</v>
      </c>
      <c r="C14" s="150">
        <v>45602</v>
      </c>
      <c r="D14" s="151" t="s">
        <v>653</v>
      </c>
      <c r="E14" s="152">
        <v>57.4</v>
      </c>
      <c r="F14" s="152">
        <v>57.5</v>
      </c>
      <c r="G14" s="153" t="s">
        <v>641</v>
      </c>
      <c r="H14" s="153" t="s">
        <v>641</v>
      </c>
      <c r="I14" s="153" t="s">
        <v>641</v>
      </c>
      <c r="J14" s="152">
        <v>57.5</v>
      </c>
      <c r="K14" s="286"/>
    </row>
    <row r="15" spans="2:11" ht="16.95" customHeight="1">
      <c r="B15" s="148" t="s">
        <v>634</v>
      </c>
      <c r="C15" s="150">
        <v>45631</v>
      </c>
      <c r="D15" s="151" t="s">
        <v>654</v>
      </c>
      <c r="E15" s="152">
        <v>60.1</v>
      </c>
      <c r="F15" s="152">
        <v>60</v>
      </c>
      <c r="G15" s="153" t="s">
        <v>641</v>
      </c>
      <c r="H15" s="153" t="s">
        <v>641</v>
      </c>
      <c r="I15" s="153" t="s">
        <v>641</v>
      </c>
      <c r="J15" s="152">
        <v>60</v>
      </c>
      <c r="K15" s="286"/>
    </row>
    <row r="16" spans="2:11" ht="16.95" customHeight="1">
      <c r="B16" s="148" t="s">
        <v>635</v>
      </c>
      <c r="C16" s="150">
        <v>45631</v>
      </c>
      <c r="D16" s="151" t="s">
        <v>655</v>
      </c>
      <c r="E16" s="152">
        <v>60.6</v>
      </c>
      <c r="F16" s="152">
        <v>60.5</v>
      </c>
      <c r="G16" s="153" t="s">
        <v>641</v>
      </c>
      <c r="H16" s="153" t="s">
        <v>641</v>
      </c>
      <c r="I16" s="153" t="s">
        <v>641</v>
      </c>
      <c r="J16" s="152">
        <v>60.5</v>
      </c>
      <c r="K16" s="286"/>
    </row>
    <row r="17" spans="2:11" ht="16.95" customHeight="1">
      <c r="B17" s="148" t="s">
        <v>636</v>
      </c>
      <c r="C17" s="150">
        <v>45631</v>
      </c>
      <c r="D17" s="151" t="s">
        <v>656</v>
      </c>
      <c r="E17" s="152">
        <v>59.5</v>
      </c>
      <c r="F17" s="152">
        <v>59.5</v>
      </c>
      <c r="G17" s="153" t="s">
        <v>641</v>
      </c>
      <c r="H17" s="153" t="s">
        <v>641</v>
      </c>
      <c r="I17" s="153" t="s">
        <v>641</v>
      </c>
      <c r="J17" s="152">
        <v>59.5</v>
      </c>
      <c r="K17" s="286"/>
    </row>
    <row r="18" spans="2:11" ht="16.95" customHeight="1">
      <c r="B18" s="148" t="s">
        <v>637</v>
      </c>
      <c r="C18" s="150">
        <v>45631</v>
      </c>
      <c r="D18" s="151" t="s">
        <v>657</v>
      </c>
      <c r="E18" s="152">
        <v>61.1</v>
      </c>
      <c r="F18" s="152">
        <v>61</v>
      </c>
      <c r="G18" s="153" t="s">
        <v>641</v>
      </c>
      <c r="H18" s="153" t="s">
        <v>641</v>
      </c>
      <c r="I18" s="153" t="s">
        <v>641</v>
      </c>
      <c r="J18" s="152">
        <v>61</v>
      </c>
      <c r="K18" s="286"/>
    </row>
    <row r="19" spans="2:11" ht="16.95" customHeight="1">
      <c r="B19" s="148" t="s">
        <v>638</v>
      </c>
      <c r="C19" s="150">
        <v>45631</v>
      </c>
      <c r="D19" s="151" t="s">
        <v>658</v>
      </c>
      <c r="E19" s="152">
        <v>52.3</v>
      </c>
      <c r="F19" s="152">
        <v>52.5</v>
      </c>
      <c r="G19" s="153" t="s">
        <v>641</v>
      </c>
      <c r="H19" s="153" t="s">
        <v>641</v>
      </c>
      <c r="I19" s="153" t="s">
        <v>641</v>
      </c>
      <c r="J19" s="151">
        <v>52.5</v>
      </c>
      <c r="K19" s="286"/>
    </row>
    <row r="20" spans="2:11" ht="16.95" customHeight="1">
      <c r="B20" s="148" t="s">
        <v>639</v>
      </c>
      <c r="C20" s="150">
        <v>45602</v>
      </c>
      <c r="D20" s="151" t="s">
        <v>659</v>
      </c>
      <c r="E20" s="152" t="s">
        <v>642</v>
      </c>
      <c r="F20" s="152">
        <v>60</v>
      </c>
      <c r="G20" s="153" t="s">
        <v>641</v>
      </c>
      <c r="H20" s="153" t="s">
        <v>641</v>
      </c>
      <c r="I20" s="153" t="s">
        <v>641</v>
      </c>
      <c r="J20" s="152">
        <v>60</v>
      </c>
      <c r="K20" s="286"/>
    </row>
    <row r="21" spans="2:11" ht="16.95" customHeight="1">
      <c r="B21" s="148" t="s">
        <v>640</v>
      </c>
      <c r="C21" s="150">
        <v>45631</v>
      </c>
      <c r="D21" s="151" t="s">
        <v>660</v>
      </c>
      <c r="E21" s="152" t="s">
        <v>643</v>
      </c>
      <c r="F21" s="152">
        <v>62.5</v>
      </c>
      <c r="G21" s="153" t="s">
        <v>641</v>
      </c>
      <c r="H21" s="153" t="s">
        <v>641</v>
      </c>
      <c r="I21" s="153" t="s">
        <v>641</v>
      </c>
      <c r="J21" s="151">
        <v>62.5</v>
      </c>
      <c r="K21" s="287"/>
    </row>
    <row r="22" spans="2:11" ht="20.399999999999999" customHeight="1">
      <c r="C22" s="276" t="s">
        <v>644</v>
      </c>
      <c r="D22" s="277"/>
      <c r="E22" s="277"/>
      <c r="F22" s="277"/>
      <c r="G22" s="277"/>
      <c r="H22" s="277"/>
    </row>
  </sheetData>
  <mergeCells count="12">
    <mergeCell ref="K4:K5"/>
    <mergeCell ref="B3:K3"/>
    <mergeCell ref="H4:I4"/>
    <mergeCell ref="G4:G5"/>
    <mergeCell ref="K6:K21"/>
    <mergeCell ref="J4:J5"/>
    <mergeCell ref="C22:H22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9B0F-6BE3-41B4-B0D4-C503A320D935}">
  <dimension ref="C5:I8"/>
  <sheetViews>
    <sheetView zoomScale="110" zoomScaleNormal="110" workbookViewId="0">
      <selection activeCell="K18" sqref="K18"/>
    </sheetView>
  </sheetViews>
  <sheetFormatPr defaultRowHeight="14.4"/>
  <cols>
    <col min="2" max="2" width="3.33203125" customWidth="1"/>
    <col min="7" max="7" width="28.21875" customWidth="1"/>
    <col min="8" max="8" width="13.21875" customWidth="1"/>
    <col min="9" max="9" width="16" customWidth="1"/>
    <col min="10" max="10" width="2.77734375" customWidth="1"/>
  </cols>
  <sheetData>
    <row r="5" spans="3:9">
      <c r="C5" s="295" t="s">
        <v>800</v>
      </c>
      <c r="D5" s="295"/>
      <c r="E5" s="295"/>
      <c r="F5" s="295"/>
      <c r="G5" s="295"/>
      <c r="H5" s="294" t="s">
        <v>804</v>
      </c>
      <c r="I5" s="294" t="s">
        <v>808</v>
      </c>
    </row>
    <row r="6" spans="3:9" ht="6.6" customHeight="1">
      <c r="C6" s="296"/>
      <c r="D6" s="296"/>
      <c r="E6" s="296"/>
      <c r="F6" s="296"/>
      <c r="G6" s="296"/>
      <c r="H6" s="294"/>
      <c r="I6" s="294"/>
    </row>
    <row r="7" spans="3:9" s="6" customFormat="1" ht="26.4" customHeight="1">
      <c r="C7" s="230" t="s">
        <v>802</v>
      </c>
      <c r="D7" s="230"/>
      <c r="E7" s="230"/>
      <c r="F7" s="230"/>
      <c r="G7" s="135" t="s">
        <v>803</v>
      </c>
      <c r="H7" s="135" t="s">
        <v>805</v>
      </c>
      <c r="I7" s="135">
        <f>'2. Sistema idrico'!S5/('1. Materie prime e prodotti'!Q12+'1. Materie prime e prodotti'!Q13+'1. Materie prime e prodotti'!Q14)</f>
        <v>8.9057036400114642E-2</v>
      </c>
    </row>
    <row r="8" spans="3:9" s="6" customFormat="1" ht="26.4" customHeight="1">
      <c r="C8" s="230" t="s">
        <v>801</v>
      </c>
      <c r="D8" s="230"/>
      <c r="E8" s="230"/>
      <c r="F8" s="230"/>
      <c r="G8" s="135" t="s">
        <v>807</v>
      </c>
      <c r="H8" s="135" t="s">
        <v>806</v>
      </c>
      <c r="I8" s="135">
        <f>('4. Sistema energetico'!I17+'4. Sistema energetico'!J17)/('1. Materie prime e prodotti'!Q12+'1. Materie prime e prodotti'!Q13+'1. Materie prime e prodotti'!Q14)</f>
        <v>111.74627687016337</v>
      </c>
    </row>
  </sheetData>
  <mergeCells count="5">
    <mergeCell ref="C7:F7"/>
    <mergeCell ref="C8:F8"/>
    <mergeCell ref="C5:G6"/>
    <mergeCell ref="H5:H6"/>
    <mergeCell ref="I5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2BD1-7D1B-451D-8DB3-03D26DD75F90}">
  <dimension ref="B2:K685"/>
  <sheetViews>
    <sheetView zoomScale="130" zoomScaleNormal="130" workbookViewId="0">
      <selection activeCell="M34" sqref="M34"/>
    </sheetView>
  </sheetViews>
  <sheetFormatPr defaultRowHeight="13.2"/>
  <cols>
    <col min="1" max="1" width="4.109375" style="65" customWidth="1"/>
    <col min="2" max="2" width="5.88671875" style="65" customWidth="1"/>
    <col min="3" max="3" width="21.21875" style="65" bestFit="1" customWidth="1"/>
    <col min="4" max="4" width="6.6640625" style="65" customWidth="1"/>
    <col min="5" max="5" width="17.6640625" style="65" customWidth="1"/>
    <col min="6" max="6" width="4.6640625" style="65" customWidth="1"/>
    <col min="7" max="7" width="12.21875" style="66" customWidth="1"/>
    <col min="8" max="10" width="12.21875" style="65" customWidth="1"/>
    <col min="11" max="11" width="3.77734375" style="65" customWidth="1"/>
    <col min="12" max="16384" width="8.88671875" style="65"/>
  </cols>
  <sheetData>
    <row r="2" spans="2:11" ht="6.75" customHeight="1">
      <c r="C2" s="291"/>
      <c r="D2" s="107"/>
      <c r="E2" s="292" t="s">
        <v>233</v>
      </c>
      <c r="F2" s="292"/>
      <c r="G2" s="97" t="s">
        <v>235</v>
      </c>
      <c r="H2" s="97" t="s">
        <v>664</v>
      </c>
      <c r="I2" s="97" t="s">
        <v>668</v>
      </c>
      <c r="J2" s="97" t="s">
        <v>672</v>
      </c>
      <c r="K2" s="87"/>
    </row>
    <row r="3" spans="2:11" ht="6.75" customHeight="1">
      <c r="C3" s="291"/>
      <c r="D3" s="107"/>
      <c r="E3" s="292" t="s">
        <v>230</v>
      </c>
      <c r="F3" s="292"/>
      <c r="G3" s="98" t="s">
        <v>231</v>
      </c>
      <c r="H3" s="98" t="s">
        <v>231</v>
      </c>
      <c r="I3" s="98" t="s">
        <v>231</v>
      </c>
      <c r="J3" s="98" t="s">
        <v>231</v>
      </c>
      <c r="K3" s="87"/>
    </row>
    <row r="4" spans="2:11" ht="6.75" customHeight="1">
      <c r="C4" s="291"/>
      <c r="D4" s="107"/>
      <c r="E4" s="292" t="s">
        <v>238</v>
      </c>
      <c r="F4" s="292"/>
      <c r="G4" s="99" t="s">
        <v>229</v>
      </c>
      <c r="H4" s="99" t="s">
        <v>229</v>
      </c>
      <c r="I4" s="99" t="s">
        <v>229</v>
      </c>
      <c r="J4" s="99" t="s">
        <v>229</v>
      </c>
      <c r="K4" s="291"/>
    </row>
    <row r="5" spans="2:11" ht="6.75" customHeight="1">
      <c r="C5" s="291"/>
      <c r="D5" s="107"/>
      <c r="E5" s="292" t="s">
        <v>236</v>
      </c>
      <c r="F5" s="292"/>
      <c r="G5" s="100">
        <v>45316</v>
      </c>
      <c r="H5" s="100">
        <v>45453</v>
      </c>
      <c r="I5" s="100">
        <v>45547</v>
      </c>
      <c r="J5" s="100">
        <v>45643</v>
      </c>
      <c r="K5" s="291"/>
    </row>
    <row r="6" spans="2:11" ht="13.5" customHeight="1">
      <c r="C6" s="291"/>
      <c r="D6" s="107"/>
      <c r="E6" s="292" t="s">
        <v>237</v>
      </c>
      <c r="F6" s="292"/>
      <c r="G6" s="101" t="s">
        <v>234</v>
      </c>
      <c r="H6" s="101" t="s">
        <v>234</v>
      </c>
      <c r="I6" s="101" t="s">
        <v>234</v>
      </c>
      <c r="J6" s="101" t="s">
        <v>234</v>
      </c>
      <c r="K6" s="291"/>
    </row>
    <row r="7" spans="2:11" ht="6.75" customHeight="1">
      <c r="B7" s="89" t="s">
        <v>230</v>
      </c>
      <c r="C7" s="119" t="s">
        <v>228</v>
      </c>
      <c r="D7" s="122" t="s">
        <v>66</v>
      </c>
      <c r="E7" s="120" t="s">
        <v>227</v>
      </c>
      <c r="F7" s="96" t="s">
        <v>226</v>
      </c>
      <c r="G7" s="102" t="s">
        <v>76</v>
      </c>
      <c r="H7" s="102" t="s">
        <v>76</v>
      </c>
      <c r="I7" s="102" t="s">
        <v>76</v>
      </c>
      <c r="J7" s="102" t="s">
        <v>76</v>
      </c>
      <c r="K7" s="86" t="s">
        <v>225</v>
      </c>
    </row>
    <row r="8" spans="2:11" ht="6.75" customHeight="1">
      <c r="B8" s="288" t="s">
        <v>231</v>
      </c>
      <c r="C8" s="88" t="s">
        <v>224</v>
      </c>
      <c r="D8" s="121" t="s">
        <v>232</v>
      </c>
      <c r="E8" s="71" t="s">
        <v>223</v>
      </c>
      <c r="F8" s="70" t="s">
        <v>222</v>
      </c>
      <c r="G8" s="76">
        <v>7.4</v>
      </c>
      <c r="H8" s="76" t="s">
        <v>221</v>
      </c>
      <c r="I8" s="76" t="s">
        <v>262</v>
      </c>
      <c r="J8" s="76" t="s">
        <v>283</v>
      </c>
      <c r="K8" s="111" t="s">
        <v>74</v>
      </c>
    </row>
    <row r="9" spans="2:11" ht="6.75" customHeight="1">
      <c r="B9" s="289"/>
      <c r="C9" s="88" t="s">
        <v>220</v>
      </c>
      <c r="D9" s="88" t="s">
        <v>232</v>
      </c>
      <c r="E9" s="71" t="s">
        <v>219</v>
      </c>
      <c r="F9" s="70" t="s">
        <v>218</v>
      </c>
      <c r="G9" s="80">
        <v>1831</v>
      </c>
      <c r="H9" s="80" t="s">
        <v>217</v>
      </c>
      <c r="I9" s="80" t="s">
        <v>263</v>
      </c>
      <c r="J9" s="80" t="s">
        <v>284</v>
      </c>
      <c r="K9" s="111" t="s">
        <v>74</v>
      </c>
    </row>
    <row r="10" spans="2:11" ht="6.75" customHeight="1">
      <c r="B10" s="289"/>
      <c r="C10" s="88" t="s">
        <v>216</v>
      </c>
      <c r="D10" s="88" t="s">
        <v>232</v>
      </c>
      <c r="E10" s="71" t="s">
        <v>189</v>
      </c>
      <c r="F10" s="70" t="s">
        <v>126</v>
      </c>
      <c r="G10" s="69">
        <v>9.4</v>
      </c>
      <c r="H10" s="69" t="s">
        <v>215</v>
      </c>
      <c r="I10" s="69" t="s">
        <v>264</v>
      </c>
      <c r="J10" s="69" t="s">
        <v>261</v>
      </c>
      <c r="K10" s="67">
        <v>200</v>
      </c>
    </row>
    <row r="11" spans="2:11" ht="6.75" customHeight="1">
      <c r="B11" s="289"/>
      <c r="C11" s="88" t="s">
        <v>214</v>
      </c>
      <c r="D11" s="88" t="s">
        <v>232</v>
      </c>
      <c r="E11" s="71" t="s">
        <v>189</v>
      </c>
      <c r="F11" s="70" t="s">
        <v>126</v>
      </c>
      <c r="G11" s="69" t="s">
        <v>213</v>
      </c>
      <c r="H11" s="69" t="s">
        <v>196</v>
      </c>
      <c r="I11" s="69" t="s">
        <v>196</v>
      </c>
      <c r="J11" s="69" t="s">
        <v>285</v>
      </c>
      <c r="K11" s="67">
        <v>5</v>
      </c>
    </row>
    <row r="12" spans="2:11" ht="6.75" customHeight="1">
      <c r="B12" s="289"/>
      <c r="C12" s="88" t="s">
        <v>212</v>
      </c>
      <c r="D12" s="88" t="s">
        <v>232</v>
      </c>
      <c r="E12" s="71" t="s">
        <v>189</v>
      </c>
      <c r="F12" s="70" t="s">
        <v>126</v>
      </c>
      <c r="G12" s="103">
        <v>1.88</v>
      </c>
      <c r="H12" s="118" t="s">
        <v>211</v>
      </c>
      <c r="I12" s="118" t="s">
        <v>265</v>
      </c>
      <c r="J12" s="118" t="s">
        <v>286</v>
      </c>
      <c r="K12" s="67">
        <v>10</v>
      </c>
    </row>
    <row r="13" spans="2:11" ht="6.75" customHeight="1">
      <c r="B13" s="289"/>
      <c r="C13" s="88" t="s">
        <v>210</v>
      </c>
      <c r="D13" s="88" t="s">
        <v>232</v>
      </c>
      <c r="E13" s="71" t="s">
        <v>189</v>
      </c>
      <c r="F13" s="70" t="s">
        <v>126</v>
      </c>
      <c r="G13" s="68" t="s">
        <v>209</v>
      </c>
      <c r="H13" s="68" t="s">
        <v>208</v>
      </c>
      <c r="I13" s="68" t="s">
        <v>208</v>
      </c>
      <c r="J13" s="68" t="s">
        <v>208</v>
      </c>
      <c r="K13" s="67">
        <v>5</v>
      </c>
    </row>
    <row r="14" spans="2:11" ht="6.75" customHeight="1">
      <c r="B14" s="289"/>
      <c r="C14" s="88" t="s">
        <v>207</v>
      </c>
      <c r="D14" s="88" t="s">
        <v>232</v>
      </c>
      <c r="E14" s="71" t="s">
        <v>189</v>
      </c>
      <c r="F14" s="70" t="s">
        <v>126</v>
      </c>
      <c r="G14" s="68" t="s">
        <v>185</v>
      </c>
      <c r="H14" s="68" t="s">
        <v>193</v>
      </c>
      <c r="I14" s="68" t="s">
        <v>193</v>
      </c>
      <c r="J14" s="68" t="s">
        <v>193</v>
      </c>
      <c r="K14" s="67">
        <v>50</v>
      </c>
    </row>
    <row r="15" spans="2:11" ht="6.75" customHeight="1">
      <c r="B15" s="289"/>
      <c r="C15" s="88" t="s">
        <v>206</v>
      </c>
      <c r="D15" s="88" t="s">
        <v>232</v>
      </c>
      <c r="E15" s="71" t="s">
        <v>205</v>
      </c>
      <c r="F15" s="70" t="s">
        <v>126</v>
      </c>
      <c r="G15" s="68" t="s">
        <v>132</v>
      </c>
      <c r="H15" s="68" t="s">
        <v>196</v>
      </c>
      <c r="I15" s="68" t="s">
        <v>196</v>
      </c>
      <c r="J15" s="68" t="s">
        <v>196</v>
      </c>
      <c r="K15" s="67">
        <v>5</v>
      </c>
    </row>
    <row r="16" spans="2:11" ht="6.75" customHeight="1">
      <c r="B16" s="289"/>
      <c r="C16" s="88" t="s">
        <v>204</v>
      </c>
      <c r="D16" s="88" t="s">
        <v>232</v>
      </c>
      <c r="E16" s="71" t="s">
        <v>203</v>
      </c>
      <c r="F16" s="70" t="s">
        <v>126</v>
      </c>
      <c r="G16" s="95">
        <v>709</v>
      </c>
      <c r="H16" s="104" t="s">
        <v>202</v>
      </c>
      <c r="I16" s="104" t="s">
        <v>266</v>
      </c>
      <c r="J16" s="104" t="s">
        <v>287</v>
      </c>
      <c r="K16" s="67">
        <v>200</v>
      </c>
    </row>
    <row r="17" spans="2:11" ht="6.75" customHeight="1">
      <c r="B17" s="289"/>
      <c r="C17" s="88" t="s">
        <v>201</v>
      </c>
      <c r="D17" s="88" t="s">
        <v>232</v>
      </c>
      <c r="E17" s="71" t="s">
        <v>189</v>
      </c>
      <c r="F17" s="70" t="s">
        <v>126</v>
      </c>
      <c r="G17" s="84" t="s">
        <v>200</v>
      </c>
      <c r="H17" s="82" t="s">
        <v>199</v>
      </c>
      <c r="I17" s="82" t="s">
        <v>199</v>
      </c>
      <c r="J17" s="68" t="s">
        <v>199</v>
      </c>
      <c r="K17" s="67">
        <v>1</v>
      </c>
    </row>
    <row r="18" spans="2:11" ht="6.75" customHeight="1">
      <c r="B18" s="289"/>
      <c r="C18" s="88" t="s">
        <v>198</v>
      </c>
      <c r="D18" s="88" t="s">
        <v>232</v>
      </c>
      <c r="E18" s="71" t="s">
        <v>189</v>
      </c>
      <c r="F18" s="70" t="s">
        <v>126</v>
      </c>
      <c r="G18" s="83" t="s">
        <v>185</v>
      </c>
      <c r="H18" s="82" t="s">
        <v>193</v>
      </c>
      <c r="I18" s="82" t="s">
        <v>193</v>
      </c>
      <c r="J18" s="68" t="s">
        <v>193</v>
      </c>
      <c r="K18" s="67">
        <v>20</v>
      </c>
    </row>
    <row r="19" spans="2:11" ht="6.75" customHeight="1">
      <c r="B19" s="289"/>
      <c r="C19" s="88" t="s">
        <v>197</v>
      </c>
      <c r="D19" s="88" t="s">
        <v>232</v>
      </c>
      <c r="E19" s="71" t="s">
        <v>189</v>
      </c>
      <c r="F19" s="70" t="s">
        <v>126</v>
      </c>
      <c r="G19" s="81" t="s">
        <v>185</v>
      </c>
      <c r="H19" s="68" t="s">
        <v>196</v>
      </c>
      <c r="I19" s="68" t="s">
        <v>196</v>
      </c>
      <c r="J19" s="68" t="s">
        <v>196</v>
      </c>
      <c r="K19" s="67">
        <v>10</v>
      </c>
    </row>
    <row r="20" spans="2:11" ht="6.75" customHeight="1">
      <c r="B20" s="289"/>
      <c r="C20" s="88" t="s">
        <v>195</v>
      </c>
      <c r="D20" s="88" t="s">
        <v>232</v>
      </c>
      <c r="E20" s="71" t="s">
        <v>189</v>
      </c>
      <c r="F20" s="70" t="s">
        <v>126</v>
      </c>
      <c r="G20" s="68" t="s">
        <v>186</v>
      </c>
      <c r="H20" s="68" t="s">
        <v>193</v>
      </c>
      <c r="I20" s="68" t="s">
        <v>193</v>
      </c>
      <c r="J20" s="68" t="s">
        <v>193</v>
      </c>
      <c r="K20" s="67">
        <v>1000</v>
      </c>
    </row>
    <row r="21" spans="2:11" ht="6.75" customHeight="1">
      <c r="B21" s="289"/>
      <c r="C21" s="88" t="s">
        <v>194</v>
      </c>
      <c r="D21" s="88" t="s">
        <v>232</v>
      </c>
      <c r="E21" s="71" t="s">
        <v>189</v>
      </c>
      <c r="F21" s="70" t="s">
        <v>126</v>
      </c>
      <c r="G21" s="68" t="s">
        <v>185</v>
      </c>
      <c r="H21" s="68" t="s">
        <v>193</v>
      </c>
      <c r="I21" s="68" t="s">
        <v>193</v>
      </c>
      <c r="J21" s="68" t="s">
        <v>193</v>
      </c>
      <c r="K21" s="67">
        <v>10</v>
      </c>
    </row>
    <row r="22" spans="2:11" ht="6.75" customHeight="1">
      <c r="B22" s="289"/>
      <c r="C22" s="88" t="s">
        <v>192</v>
      </c>
      <c r="D22" s="88" t="s">
        <v>232</v>
      </c>
      <c r="E22" s="71" t="s">
        <v>189</v>
      </c>
      <c r="F22" s="70" t="s">
        <v>126</v>
      </c>
      <c r="G22" s="104">
        <v>462</v>
      </c>
      <c r="H22" s="104" t="s">
        <v>250</v>
      </c>
      <c r="I22" s="104" t="s">
        <v>267</v>
      </c>
      <c r="J22" s="104" t="s">
        <v>288</v>
      </c>
      <c r="K22" s="67">
        <v>50</v>
      </c>
    </row>
    <row r="23" spans="2:11" ht="6.75" customHeight="1">
      <c r="B23" s="289"/>
      <c r="C23" s="88" t="s">
        <v>191</v>
      </c>
      <c r="D23" s="88" t="s">
        <v>232</v>
      </c>
      <c r="E23" s="71" t="s">
        <v>189</v>
      </c>
      <c r="F23" s="70" t="s">
        <v>126</v>
      </c>
      <c r="G23" s="68">
        <v>14</v>
      </c>
      <c r="H23" s="68" t="s">
        <v>251</v>
      </c>
      <c r="I23" s="68" t="s">
        <v>268</v>
      </c>
      <c r="J23" s="68" t="s">
        <v>251</v>
      </c>
      <c r="K23" s="67">
        <v>3000</v>
      </c>
    </row>
    <row r="24" spans="2:11" ht="6.75" customHeight="1">
      <c r="B24" s="289"/>
      <c r="C24" s="88" t="s">
        <v>190</v>
      </c>
      <c r="D24" s="88" t="s">
        <v>232</v>
      </c>
      <c r="E24" s="71" t="s">
        <v>189</v>
      </c>
      <c r="F24" s="70" t="s">
        <v>126</v>
      </c>
      <c r="G24" s="105">
        <v>1241</v>
      </c>
      <c r="H24" s="105" t="s">
        <v>252</v>
      </c>
      <c r="I24" s="105" t="s">
        <v>269</v>
      </c>
      <c r="J24" s="79" t="s">
        <v>289</v>
      </c>
      <c r="K24" s="67">
        <v>1000</v>
      </c>
    </row>
    <row r="25" spans="2:11" ht="6.75" customHeight="1">
      <c r="B25" s="289"/>
      <c r="C25" s="88" t="s">
        <v>188</v>
      </c>
      <c r="D25" s="88" t="s">
        <v>232</v>
      </c>
      <c r="E25" s="71" t="s">
        <v>187</v>
      </c>
      <c r="F25" s="70" t="s">
        <v>126</v>
      </c>
      <c r="G25" s="68" t="s">
        <v>186</v>
      </c>
      <c r="H25" s="68" t="s">
        <v>193</v>
      </c>
      <c r="I25" s="68" t="s">
        <v>193</v>
      </c>
      <c r="J25" s="68" t="s">
        <v>193</v>
      </c>
      <c r="K25" s="67">
        <v>50</v>
      </c>
    </row>
    <row r="26" spans="2:11" ht="6.75" customHeight="1">
      <c r="B26" s="289"/>
      <c r="C26" s="88" t="s">
        <v>184</v>
      </c>
      <c r="D26" s="88" t="s">
        <v>232</v>
      </c>
      <c r="E26" s="71" t="s">
        <v>183</v>
      </c>
      <c r="F26" s="70" t="s">
        <v>126</v>
      </c>
      <c r="G26" s="77">
        <v>1.3</v>
      </c>
      <c r="H26" s="79" t="s">
        <v>253</v>
      </c>
      <c r="I26" s="79" t="s">
        <v>270</v>
      </c>
      <c r="J26" s="79" t="s">
        <v>290</v>
      </c>
      <c r="K26" s="67">
        <v>1500</v>
      </c>
    </row>
    <row r="27" spans="2:11" ht="6.75" customHeight="1">
      <c r="B27" s="289"/>
      <c r="C27" s="88" t="s">
        <v>182</v>
      </c>
      <c r="D27" s="88" t="s">
        <v>232</v>
      </c>
      <c r="E27" s="71" t="s">
        <v>138</v>
      </c>
      <c r="F27" s="70" t="s">
        <v>126</v>
      </c>
      <c r="G27" s="78" t="s">
        <v>53</v>
      </c>
      <c r="H27" s="78" t="s">
        <v>53</v>
      </c>
      <c r="I27" s="78" t="s">
        <v>271</v>
      </c>
      <c r="J27" s="78" t="s">
        <v>53</v>
      </c>
      <c r="K27" s="67">
        <v>1</v>
      </c>
    </row>
    <row r="28" spans="2:11" ht="6.75" customHeight="1">
      <c r="B28" s="289"/>
      <c r="C28" s="88" t="s">
        <v>181</v>
      </c>
      <c r="D28" s="88" t="s">
        <v>232</v>
      </c>
      <c r="E28" s="71" t="s">
        <v>130</v>
      </c>
      <c r="F28" s="70" t="s">
        <v>126</v>
      </c>
      <c r="G28" s="68" t="s">
        <v>142</v>
      </c>
      <c r="H28" s="68" t="s">
        <v>137</v>
      </c>
      <c r="I28" s="68" t="s">
        <v>137</v>
      </c>
      <c r="J28" s="68" t="s">
        <v>137</v>
      </c>
      <c r="K28" s="72">
        <v>0.1</v>
      </c>
    </row>
    <row r="29" spans="2:11" ht="6.75" customHeight="1">
      <c r="B29" s="289"/>
      <c r="C29" s="88" t="s">
        <v>180</v>
      </c>
      <c r="D29" s="88" t="s">
        <v>232</v>
      </c>
      <c r="E29" s="71" t="s">
        <v>130</v>
      </c>
      <c r="F29" s="70" t="s">
        <v>126</v>
      </c>
      <c r="G29" s="68" t="s">
        <v>142</v>
      </c>
      <c r="H29" s="68" t="s">
        <v>142</v>
      </c>
      <c r="I29" s="68" t="s">
        <v>142</v>
      </c>
      <c r="J29" s="68" t="s">
        <v>142</v>
      </c>
      <c r="K29" s="73">
        <v>0.01</v>
      </c>
    </row>
    <row r="30" spans="2:11" ht="6.75" customHeight="1">
      <c r="B30" s="289"/>
      <c r="C30" s="88" t="s">
        <v>179</v>
      </c>
      <c r="D30" s="88" t="s">
        <v>232</v>
      </c>
      <c r="E30" s="71" t="s">
        <v>130</v>
      </c>
      <c r="F30" s="70" t="s">
        <v>126</v>
      </c>
      <c r="G30" s="68" t="s">
        <v>142</v>
      </c>
      <c r="H30" s="68" t="s">
        <v>173</v>
      </c>
      <c r="I30" s="68" t="s">
        <v>173</v>
      </c>
      <c r="J30" s="68" t="s">
        <v>173</v>
      </c>
      <c r="K30" s="72">
        <v>0.1</v>
      </c>
    </row>
    <row r="31" spans="2:11" ht="6.75" customHeight="1">
      <c r="B31" s="289"/>
      <c r="C31" s="88" t="s">
        <v>178</v>
      </c>
      <c r="D31" s="88" t="s">
        <v>232</v>
      </c>
      <c r="E31" s="71" t="s">
        <v>130</v>
      </c>
      <c r="F31" s="70" t="s">
        <v>126</v>
      </c>
      <c r="G31" s="68" t="s">
        <v>142</v>
      </c>
      <c r="H31" s="68" t="s">
        <v>173</v>
      </c>
      <c r="I31" s="68" t="s">
        <v>173</v>
      </c>
      <c r="J31" s="68" t="s">
        <v>173</v>
      </c>
      <c r="K31" s="73">
        <v>0.05</v>
      </c>
    </row>
    <row r="32" spans="2:11" ht="6.75" customHeight="1">
      <c r="B32" s="289"/>
      <c r="C32" s="88" t="s">
        <v>177</v>
      </c>
      <c r="D32" s="88" t="s">
        <v>232</v>
      </c>
      <c r="E32" s="71" t="s">
        <v>130</v>
      </c>
      <c r="F32" s="70" t="s">
        <v>126</v>
      </c>
      <c r="G32" s="68" t="s">
        <v>142</v>
      </c>
      <c r="H32" s="68" t="s">
        <v>173</v>
      </c>
      <c r="I32" s="68" t="s">
        <v>173</v>
      </c>
      <c r="J32" s="68" t="s">
        <v>173</v>
      </c>
      <c r="K32" s="73">
        <v>0.01</v>
      </c>
    </row>
    <row r="33" spans="2:11" ht="6.75" customHeight="1">
      <c r="B33" s="289"/>
      <c r="C33" s="88" t="s">
        <v>176</v>
      </c>
      <c r="D33" s="88" t="s">
        <v>232</v>
      </c>
      <c r="E33" s="71" t="s">
        <v>130</v>
      </c>
      <c r="F33" s="70" t="s">
        <v>126</v>
      </c>
      <c r="G33" s="68" t="s">
        <v>142</v>
      </c>
      <c r="H33" s="68" t="s">
        <v>132</v>
      </c>
      <c r="I33" s="68" t="s">
        <v>132</v>
      </c>
      <c r="J33" s="68" t="s">
        <v>132</v>
      </c>
      <c r="K33" s="67">
        <v>5</v>
      </c>
    </row>
    <row r="34" spans="2:11" ht="6.75" customHeight="1">
      <c r="B34" s="289"/>
      <c r="C34" s="88" t="s">
        <v>175</v>
      </c>
      <c r="D34" s="88" t="s">
        <v>232</v>
      </c>
      <c r="E34" s="71" t="s">
        <v>130</v>
      </c>
      <c r="F34" s="70" t="s">
        <v>126</v>
      </c>
      <c r="G34" s="68" t="s">
        <v>142</v>
      </c>
      <c r="H34" s="68" t="s">
        <v>142</v>
      </c>
      <c r="I34" s="68" t="s">
        <v>142</v>
      </c>
      <c r="J34" s="68" t="s">
        <v>142</v>
      </c>
      <c r="K34" s="73">
        <v>0.01</v>
      </c>
    </row>
    <row r="35" spans="2:11" ht="6.75" customHeight="1">
      <c r="B35" s="289"/>
      <c r="C35" s="88" t="s">
        <v>174</v>
      </c>
      <c r="D35" s="88" t="s">
        <v>232</v>
      </c>
      <c r="E35" s="71" t="s">
        <v>130</v>
      </c>
      <c r="F35" s="70" t="s">
        <v>126</v>
      </c>
      <c r="G35" s="68" t="s">
        <v>142</v>
      </c>
      <c r="H35" s="68" t="s">
        <v>173</v>
      </c>
      <c r="I35" s="68" t="s">
        <v>173</v>
      </c>
      <c r="J35" s="68" t="s">
        <v>173</v>
      </c>
      <c r="K35" s="72">
        <v>0.1</v>
      </c>
    </row>
    <row r="36" spans="2:11" ht="6.75" customHeight="1">
      <c r="B36" s="289"/>
      <c r="C36" s="88" t="s">
        <v>172</v>
      </c>
      <c r="D36" s="88" t="s">
        <v>232</v>
      </c>
      <c r="E36" s="71" t="s">
        <v>130</v>
      </c>
      <c r="F36" s="70" t="s">
        <v>126</v>
      </c>
      <c r="G36" s="77" t="s">
        <v>142</v>
      </c>
      <c r="H36" s="77" t="s">
        <v>132</v>
      </c>
      <c r="I36" s="77" t="s">
        <v>132</v>
      </c>
      <c r="J36" s="77" t="s">
        <v>132</v>
      </c>
      <c r="K36" s="67">
        <v>50</v>
      </c>
    </row>
    <row r="37" spans="2:11" ht="6.75" customHeight="1">
      <c r="B37" s="289"/>
      <c r="C37" s="88" t="s">
        <v>171</v>
      </c>
      <c r="D37" s="88" t="s">
        <v>232</v>
      </c>
      <c r="E37" s="71" t="s">
        <v>130</v>
      </c>
      <c r="F37" s="70" t="s">
        <v>126</v>
      </c>
      <c r="G37" s="68" t="s">
        <v>142</v>
      </c>
      <c r="H37" s="68" t="s">
        <v>170</v>
      </c>
      <c r="I37" s="68" t="s">
        <v>272</v>
      </c>
      <c r="J37" s="68" t="s">
        <v>170</v>
      </c>
      <c r="K37" s="72">
        <v>0.1</v>
      </c>
    </row>
    <row r="38" spans="2:11" ht="6.75" customHeight="1">
      <c r="B38" s="289"/>
      <c r="C38" s="88" t="s">
        <v>169</v>
      </c>
      <c r="D38" s="88" t="s">
        <v>232</v>
      </c>
      <c r="E38" s="71" t="s">
        <v>138</v>
      </c>
      <c r="F38" s="70" t="s">
        <v>126</v>
      </c>
      <c r="G38" s="68" t="s">
        <v>53</v>
      </c>
      <c r="H38" s="68" t="s">
        <v>254</v>
      </c>
      <c r="I38" s="68" t="s">
        <v>272</v>
      </c>
      <c r="J38" s="68" t="s">
        <v>254</v>
      </c>
      <c r="K38" s="72">
        <v>1.5</v>
      </c>
    </row>
    <row r="39" spans="2:11" ht="6.75" customHeight="1">
      <c r="B39" s="289"/>
      <c r="C39" s="88" t="s">
        <v>167</v>
      </c>
      <c r="D39" s="88" t="s">
        <v>232</v>
      </c>
      <c r="E39" s="71" t="s">
        <v>138</v>
      </c>
      <c r="F39" s="70" t="s">
        <v>126</v>
      </c>
      <c r="G39" s="68" t="s">
        <v>137</v>
      </c>
      <c r="H39" s="68" t="s">
        <v>166</v>
      </c>
      <c r="I39" s="68" t="s">
        <v>150</v>
      </c>
      <c r="J39" s="68" t="s">
        <v>166</v>
      </c>
      <c r="K39" s="73">
        <v>0.15</v>
      </c>
    </row>
    <row r="40" spans="2:11" ht="6.75" customHeight="1">
      <c r="B40" s="289"/>
      <c r="C40" s="88" t="s">
        <v>165</v>
      </c>
      <c r="D40" s="88" t="s">
        <v>232</v>
      </c>
      <c r="E40" s="71" t="s">
        <v>138</v>
      </c>
      <c r="F40" s="70" t="s">
        <v>126</v>
      </c>
      <c r="G40" s="68" t="s">
        <v>53</v>
      </c>
      <c r="H40" s="68" t="s">
        <v>52</v>
      </c>
      <c r="I40" s="68" t="s">
        <v>273</v>
      </c>
      <c r="J40" s="68" t="s">
        <v>291</v>
      </c>
      <c r="K40" s="72">
        <v>0.5</v>
      </c>
    </row>
    <row r="41" spans="2:11" ht="6.75" customHeight="1">
      <c r="B41" s="289"/>
      <c r="C41" s="88" t="s">
        <v>164</v>
      </c>
      <c r="D41" s="88" t="s">
        <v>232</v>
      </c>
      <c r="E41" s="71" t="s">
        <v>138</v>
      </c>
      <c r="F41" s="70" t="s">
        <v>126</v>
      </c>
      <c r="G41" s="68">
        <v>0.193</v>
      </c>
      <c r="H41" s="68" t="s">
        <v>255</v>
      </c>
      <c r="I41" s="68" t="s">
        <v>274</v>
      </c>
      <c r="J41" s="68" t="s">
        <v>258</v>
      </c>
      <c r="K41" s="67">
        <v>3</v>
      </c>
    </row>
    <row r="42" spans="2:11" ht="6.75" customHeight="1">
      <c r="B42" s="289"/>
      <c r="C42" s="88" t="s">
        <v>163</v>
      </c>
      <c r="D42" s="88" t="s">
        <v>232</v>
      </c>
      <c r="E42" s="71" t="s">
        <v>138</v>
      </c>
      <c r="F42" s="70" t="s">
        <v>126</v>
      </c>
      <c r="G42" s="68" t="s">
        <v>129</v>
      </c>
      <c r="H42" s="68" t="s">
        <v>162</v>
      </c>
      <c r="I42" s="68" t="s">
        <v>275</v>
      </c>
      <c r="J42" s="68" t="s">
        <v>162</v>
      </c>
      <c r="K42" s="73">
        <v>0.05</v>
      </c>
    </row>
    <row r="43" spans="2:11" ht="6.75" customHeight="1">
      <c r="B43" s="289"/>
      <c r="C43" s="88" t="s">
        <v>161</v>
      </c>
      <c r="D43" s="88" t="s">
        <v>232</v>
      </c>
      <c r="E43" s="71" t="s">
        <v>138</v>
      </c>
      <c r="F43" s="70" t="s">
        <v>126</v>
      </c>
      <c r="G43" s="68" t="s">
        <v>53</v>
      </c>
      <c r="H43" s="68" t="s">
        <v>256</v>
      </c>
      <c r="I43" s="68" t="s">
        <v>276</v>
      </c>
      <c r="J43" s="68" t="s">
        <v>256</v>
      </c>
      <c r="K43" s="72">
        <v>1.5</v>
      </c>
    </row>
    <row r="44" spans="2:11" ht="6.75" customHeight="1">
      <c r="B44" s="289"/>
      <c r="C44" s="88" t="s">
        <v>160</v>
      </c>
      <c r="D44" s="88" t="s">
        <v>232</v>
      </c>
      <c r="E44" s="71" t="s">
        <v>138</v>
      </c>
      <c r="F44" s="70" t="s">
        <v>126</v>
      </c>
      <c r="G44" s="68" t="s">
        <v>53</v>
      </c>
      <c r="H44" s="68" t="s">
        <v>52</v>
      </c>
      <c r="I44" s="68" t="s">
        <v>277</v>
      </c>
      <c r="J44" s="68" t="s">
        <v>52</v>
      </c>
      <c r="K44" s="72">
        <v>1.1000000000000001</v>
      </c>
    </row>
    <row r="45" spans="2:11" ht="6.75" customHeight="1">
      <c r="B45" s="289"/>
      <c r="C45" s="88" t="s">
        <v>159</v>
      </c>
      <c r="D45" s="88" t="s">
        <v>232</v>
      </c>
      <c r="E45" s="71" t="s">
        <v>138</v>
      </c>
      <c r="F45" s="70" t="s">
        <v>126</v>
      </c>
      <c r="G45" s="68">
        <v>0.01</v>
      </c>
      <c r="H45" s="68" t="s">
        <v>166</v>
      </c>
      <c r="I45" s="68" t="s">
        <v>150</v>
      </c>
      <c r="J45" s="68" t="s">
        <v>166</v>
      </c>
      <c r="K45" s="73">
        <v>0.15</v>
      </c>
    </row>
    <row r="46" spans="2:11" ht="6.75" customHeight="1">
      <c r="B46" s="289"/>
      <c r="C46" s="88" t="s">
        <v>158</v>
      </c>
      <c r="D46" s="88" t="s">
        <v>232</v>
      </c>
      <c r="E46" s="71" t="s">
        <v>138</v>
      </c>
      <c r="F46" s="70" t="s">
        <v>126</v>
      </c>
      <c r="G46" s="68">
        <v>0.193</v>
      </c>
      <c r="H46" s="68" t="s">
        <v>257</v>
      </c>
      <c r="I46" s="68" t="s">
        <v>170</v>
      </c>
      <c r="J46" s="68" t="s">
        <v>292</v>
      </c>
      <c r="K46" s="67">
        <v>10</v>
      </c>
    </row>
    <row r="47" spans="2:11" ht="6.75" customHeight="1">
      <c r="B47" s="289"/>
      <c r="C47" s="88" t="s">
        <v>157</v>
      </c>
      <c r="D47" s="88" t="s">
        <v>232</v>
      </c>
      <c r="E47" s="71" t="s">
        <v>138</v>
      </c>
      <c r="F47" s="70" t="s">
        <v>126</v>
      </c>
      <c r="G47" s="68" t="s">
        <v>53</v>
      </c>
      <c r="H47" s="68" t="s">
        <v>156</v>
      </c>
      <c r="I47" s="68" t="s">
        <v>150</v>
      </c>
      <c r="J47" s="68" t="s">
        <v>156</v>
      </c>
      <c r="K47" s="67">
        <v>810</v>
      </c>
    </row>
    <row r="48" spans="2:11" ht="6.75" customHeight="1">
      <c r="B48" s="289"/>
      <c r="C48" s="88" t="s">
        <v>155</v>
      </c>
      <c r="D48" s="88" t="s">
        <v>232</v>
      </c>
      <c r="E48" s="71" t="s">
        <v>138</v>
      </c>
      <c r="F48" s="70" t="s">
        <v>126</v>
      </c>
      <c r="G48" s="68" t="s">
        <v>74</v>
      </c>
      <c r="H48" s="68" t="s">
        <v>258</v>
      </c>
      <c r="I48" s="68" t="s">
        <v>74</v>
      </c>
      <c r="J48" s="68" t="s">
        <v>293</v>
      </c>
      <c r="K48" s="67">
        <v>60</v>
      </c>
    </row>
    <row r="49" spans="2:11" ht="6.75" customHeight="1">
      <c r="B49" s="289"/>
      <c r="C49" s="88" t="s">
        <v>154</v>
      </c>
      <c r="D49" s="88" t="s">
        <v>232</v>
      </c>
      <c r="E49" s="71" t="s">
        <v>138</v>
      </c>
      <c r="F49" s="70" t="s">
        <v>126</v>
      </c>
      <c r="G49" s="68" t="s">
        <v>53</v>
      </c>
      <c r="H49" s="68" t="s">
        <v>256</v>
      </c>
      <c r="I49" s="68" t="s">
        <v>278</v>
      </c>
      <c r="J49" s="68" t="s">
        <v>294</v>
      </c>
      <c r="K49" s="67">
        <v>60</v>
      </c>
    </row>
    <row r="50" spans="2:11" ht="6.75" customHeight="1">
      <c r="B50" s="289"/>
      <c r="C50" s="88" t="s">
        <v>152</v>
      </c>
      <c r="D50" s="88" t="s">
        <v>232</v>
      </c>
      <c r="E50" s="71" t="s">
        <v>138</v>
      </c>
      <c r="F50" s="70" t="s">
        <v>126</v>
      </c>
      <c r="G50" s="68" t="s">
        <v>53</v>
      </c>
      <c r="H50" s="68" t="s">
        <v>259</v>
      </c>
      <c r="I50" s="68" t="s">
        <v>279</v>
      </c>
      <c r="J50" s="68" t="s">
        <v>295</v>
      </c>
      <c r="K50" s="67">
        <v>60</v>
      </c>
    </row>
    <row r="51" spans="2:11" ht="6.75" customHeight="1">
      <c r="B51" s="289"/>
      <c r="C51" s="88" t="s">
        <v>151</v>
      </c>
      <c r="D51" s="88" t="s">
        <v>232</v>
      </c>
      <c r="E51" s="71" t="s">
        <v>138</v>
      </c>
      <c r="F51" s="70" t="s">
        <v>126</v>
      </c>
      <c r="G51" s="68" t="s">
        <v>137</v>
      </c>
      <c r="H51" s="68" t="s">
        <v>150</v>
      </c>
      <c r="I51" s="68" t="s">
        <v>280</v>
      </c>
      <c r="J51" s="68" t="s">
        <v>150</v>
      </c>
      <c r="K51" s="73">
        <v>0.15</v>
      </c>
    </row>
    <row r="52" spans="2:11" ht="6.75" customHeight="1">
      <c r="B52" s="289"/>
      <c r="C52" s="88" t="s">
        <v>149</v>
      </c>
      <c r="D52" s="88" t="s">
        <v>232</v>
      </c>
      <c r="E52" s="71" t="s">
        <v>138</v>
      </c>
      <c r="F52" s="70" t="s">
        <v>126</v>
      </c>
      <c r="G52" s="68" t="s">
        <v>137</v>
      </c>
      <c r="H52" s="68" t="s">
        <v>129</v>
      </c>
      <c r="I52" s="68" t="s">
        <v>279</v>
      </c>
      <c r="J52" s="68" t="s">
        <v>129</v>
      </c>
      <c r="K52" s="72">
        <v>0.2</v>
      </c>
    </row>
    <row r="53" spans="2:11" ht="6.75" customHeight="1">
      <c r="B53" s="289"/>
      <c r="C53" s="88" t="s">
        <v>147</v>
      </c>
      <c r="D53" s="88" t="s">
        <v>232</v>
      </c>
      <c r="E53" s="71" t="s">
        <v>138</v>
      </c>
      <c r="F53" s="70" t="s">
        <v>126</v>
      </c>
      <c r="G53" s="68" t="s">
        <v>143</v>
      </c>
      <c r="H53" s="68" t="s">
        <v>148</v>
      </c>
      <c r="I53" s="68" t="s">
        <v>150</v>
      </c>
      <c r="J53" s="68" t="s">
        <v>148</v>
      </c>
      <c r="K53" s="74">
        <v>1E-3</v>
      </c>
    </row>
    <row r="54" spans="2:11" ht="6.75" customHeight="1">
      <c r="B54" s="289"/>
      <c r="C54" s="88" t="s">
        <v>146</v>
      </c>
      <c r="D54" s="88" t="s">
        <v>232</v>
      </c>
      <c r="E54" s="71" t="s">
        <v>138</v>
      </c>
      <c r="F54" s="70" t="s">
        <v>126</v>
      </c>
      <c r="G54" s="68" t="s">
        <v>129</v>
      </c>
      <c r="H54" s="68" t="s">
        <v>173</v>
      </c>
      <c r="I54" s="68" t="s">
        <v>281</v>
      </c>
      <c r="J54" s="68" t="s">
        <v>173</v>
      </c>
      <c r="K54" s="73">
        <v>0.05</v>
      </c>
    </row>
    <row r="55" spans="2:11" ht="6.75" customHeight="1">
      <c r="B55" s="289"/>
      <c r="C55" s="88" t="s">
        <v>145</v>
      </c>
      <c r="D55" s="88" t="s">
        <v>232</v>
      </c>
      <c r="E55" s="71" t="s">
        <v>138</v>
      </c>
      <c r="F55" s="70" t="s">
        <v>126</v>
      </c>
      <c r="G55" s="68" t="s">
        <v>137</v>
      </c>
      <c r="H55" s="68" t="s">
        <v>153</v>
      </c>
      <c r="I55" s="68" t="s">
        <v>129</v>
      </c>
      <c r="J55" s="68" t="s">
        <v>153</v>
      </c>
      <c r="K55" s="72">
        <v>0.3</v>
      </c>
    </row>
    <row r="56" spans="2:11" ht="6.75" customHeight="1">
      <c r="B56" s="289"/>
      <c r="C56" s="88" t="s">
        <v>144</v>
      </c>
      <c r="D56" s="88" t="s">
        <v>232</v>
      </c>
      <c r="E56" s="71" t="s">
        <v>138</v>
      </c>
      <c r="F56" s="70" t="s">
        <v>126</v>
      </c>
      <c r="G56" s="68" t="s">
        <v>143</v>
      </c>
      <c r="H56" s="68" t="s">
        <v>142</v>
      </c>
      <c r="I56" s="68" t="s">
        <v>282</v>
      </c>
      <c r="J56" s="68" t="s">
        <v>142</v>
      </c>
      <c r="K56" s="74">
        <v>1E-3</v>
      </c>
    </row>
    <row r="57" spans="2:11" ht="6.75" customHeight="1">
      <c r="B57" s="289"/>
      <c r="C57" s="88" t="s">
        <v>141</v>
      </c>
      <c r="D57" s="88" t="s">
        <v>232</v>
      </c>
      <c r="E57" s="71" t="s">
        <v>138</v>
      </c>
      <c r="F57" s="70" t="s">
        <v>126</v>
      </c>
      <c r="G57" s="68" t="s">
        <v>137</v>
      </c>
      <c r="H57" s="68" t="s">
        <v>140</v>
      </c>
      <c r="I57" s="68" t="s">
        <v>150</v>
      </c>
      <c r="J57" s="68" t="s">
        <v>140</v>
      </c>
      <c r="K57" s="73">
        <v>0.13</v>
      </c>
    </row>
    <row r="58" spans="2:11" ht="6.75" customHeight="1">
      <c r="B58" s="289"/>
      <c r="C58" s="88" t="s">
        <v>139</v>
      </c>
      <c r="D58" s="88" t="s">
        <v>232</v>
      </c>
      <c r="E58" s="71" t="s">
        <v>138</v>
      </c>
      <c r="F58" s="70" t="s">
        <v>126</v>
      </c>
      <c r="G58" s="68" t="s">
        <v>137</v>
      </c>
      <c r="H58" s="68" t="s">
        <v>136</v>
      </c>
      <c r="I58" s="68" t="s">
        <v>150</v>
      </c>
      <c r="J58" s="68" t="s">
        <v>136</v>
      </c>
      <c r="K58" s="73">
        <v>0.17</v>
      </c>
    </row>
    <row r="59" spans="2:11" ht="6.75" customHeight="1">
      <c r="B59" s="289"/>
      <c r="C59" s="88" t="s">
        <v>135</v>
      </c>
      <c r="D59" s="88" t="s">
        <v>232</v>
      </c>
      <c r="E59" s="71" t="s">
        <v>130</v>
      </c>
      <c r="F59" s="70" t="s">
        <v>126</v>
      </c>
      <c r="G59" s="68" t="s">
        <v>129</v>
      </c>
      <c r="H59" s="68" t="s">
        <v>132</v>
      </c>
      <c r="I59" s="68" t="s">
        <v>132</v>
      </c>
      <c r="J59" s="68" t="s">
        <v>132</v>
      </c>
      <c r="K59" s="67">
        <v>180</v>
      </c>
    </row>
    <row r="60" spans="2:11" ht="6.75" customHeight="1">
      <c r="B60" s="289"/>
      <c r="C60" s="106" t="s">
        <v>242</v>
      </c>
      <c r="D60" s="88" t="s">
        <v>232</v>
      </c>
      <c r="E60" s="71" t="s">
        <v>130</v>
      </c>
      <c r="F60" s="70" t="s">
        <v>126</v>
      </c>
      <c r="G60" s="68" t="s">
        <v>129</v>
      </c>
      <c r="H60" s="68" t="s">
        <v>132</v>
      </c>
      <c r="I60" s="68" t="s">
        <v>132</v>
      </c>
      <c r="J60" s="68" t="s">
        <v>132</v>
      </c>
      <c r="K60" s="67">
        <v>110</v>
      </c>
    </row>
    <row r="61" spans="2:11" ht="6.75" customHeight="1">
      <c r="B61" s="289"/>
      <c r="C61" s="106" t="s">
        <v>243</v>
      </c>
      <c r="D61" s="88" t="s">
        <v>232</v>
      </c>
      <c r="E61" s="71" t="s">
        <v>130</v>
      </c>
      <c r="F61" s="70" t="s">
        <v>126</v>
      </c>
      <c r="G61" s="68" t="s">
        <v>129</v>
      </c>
      <c r="H61" s="68" t="s">
        <v>132</v>
      </c>
      <c r="I61" s="68" t="s">
        <v>132</v>
      </c>
      <c r="J61" s="68" t="s">
        <v>132</v>
      </c>
      <c r="K61" s="67">
        <v>5</v>
      </c>
    </row>
    <row r="62" spans="2:11" ht="6.75" customHeight="1">
      <c r="B62" s="289"/>
      <c r="C62" s="88" t="s">
        <v>131</v>
      </c>
      <c r="D62" s="88" t="s">
        <v>232</v>
      </c>
      <c r="E62" s="71" t="s">
        <v>130</v>
      </c>
      <c r="F62" s="70" t="s">
        <v>126</v>
      </c>
      <c r="G62" s="68" t="s">
        <v>129</v>
      </c>
      <c r="H62" s="68" t="s">
        <v>53</v>
      </c>
      <c r="I62" s="68" t="s">
        <v>53</v>
      </c>
      <c r="J62" s="68" t="s">
        <v>53</v>
      </c>
      <c r="K62" s="72">
        <v>0.5</v>
      </c>
    </row>
    <row r="63" spans="2:11" ht="6.75" customHeight="1">
      <c r="B63" s="289"/>
      <c r="C63" s="108" t="s">
        <v>128</v>
      </c>
      <c r="D63" s="108" t="s">
        <v>232</v>
      </c>
      <c r="E63" s="109" t="s">
        <v>127</v>
      </c>
      <c r="F63" s="110" t="s">
        <v>126</v>
      </c>
      <c r="G63" s="115" t="s">
        <v>125</v>
      </c>
      <c r="H63" s="115" t="s">
        <v>260</v>
      </c>
      <c r="I63" s="115" t="s">
        <v>260</v>
      </c>
      <c r="J63" s="115" t="s">
        <v>260</v>
      </c>
      <c r="K63" s="67">
        <v>350</v>
      </c>
    </row>
    <row r="64" spans="2:11" ht="6.6" customHeight="1">
      <c r="B64" s="290"/>
      <c r="C64" s="112" t="s">
        <v>246</v>
      </c>
      <c r="D64" s="112" t="s">
        <v>74</v>
      </c>
      <c r="E64" s="113" t="s">
        <v>248</v>
      </c>
      <c r="F64" s="114" t="s">
        <v>126</v>
      </c>
      <c r="G64" s="116" t="s">
        <v>125</v>
      </c>
      <c r="H64" s="117" t="s">
        <v>261</v>
      </c>
      <c r="I64" s="117" t="s">
        <v>261</v>
      </c>
      <c r="J64" s="117" t="s">
        <v>261</v>
      </c>
      <c r="K64" s="111" t="s">
        <v>74</v>
      </c>
    </row>
    <row r="65" spans="2:11" ht="6.6" customHeight="1">
      <c r="B65" s="290"/>
      <c r="C65" s="112" t="s">
        <v>247</v>
      </c>
      <c r="D65" s="112" t="s">
        <v>74</v>
      </c>
      <c r="E65" s="113" t="s">
        <v>249</v>
      </c>
      <c r="F65" s="114" t="s">
        <v>126</v>
      </c>
      <c r="G65" s="116" t="s">
        <v>125</v>
      </c>
      <c r="H65" s="117" t="s">
        <v>260</v>
      </c>
      <c r="I65" s="117" t="s">
        <v>260</v>
      </c>
      <c r="J65" s="117" t="s">
        <v>260</v>
      </c>
      <c r="K65" s="111" t="s">
        <v>74</v>
      </c>
    </row>
    <row r="66" spans="2:11" ht="6.6" customHeight="1"/>
    <row r="67" spans="2:11" ht="6.6" customHeight="1"/>
    <row r="68" spans="2:11" ht="6.6" customHeight="1"/>
    <row r="69" spans="2:11" ht="6.6" customHeight="1"/>
    <row r="70" spans="2:11" ht="6.6" customHeight="1"/>
    <row r="71" spans="2:11" ht="6.6" customHeight="1"/>
    <row r="72" spans="2:11" ht="6.6" customHeight="1"/>
    <row r="73" spans="2:11" ht="6.6" customHeight="1"/>
    <row r="74" spans="2:11" ht="6.6" customHeight="1"/>
    <row r="75" spans="2:11" ht="6.6" customHeight="1"/>
    <row r="76" spans="2:11" ht="6.6" customHeight="1"/>
    <row r="77" spans="2:11" ht="6.6" customHeight="1"/>
    <row r="78" spans="2:11" ht="6.6" customHeight="1"/>
    <row r="79" spans="2:11" ht="6.6" customHeight="1"/>
    <row r="80" spans="2:11" ht="6.6" customHeight="1"/>
    <row r="81" ht="6.6" customHeight="1"/>
    <row r="82" ht="6.6" customHeight="1"/>
    <row r="83" ht="6.6" customHeight="1"/>
    <row r="84" ht="6.6" customHeight="1"/>
    <row r="85" ht="6.6" customHeight="1"/>
    <row r="86" ht="6.6" customHeight="1"/>
    <row r="87" ht="6.6" customHeight="1"/>
    <row r="88" ht="6.6" customHeight="1"/>
    <row r="89" ht="6.6" customHeight="1"/>
    <row r="90" ht="6.6" customHeight="1"/>
    <row r="91" ht="6.6" customHeight="1"/>
    <row r="92" ht="6.6" customHeight="1"/>
    <row r="93" ht="6.6" customHeight="1"/>
    <row r="94" ht="6.6" customHeight="1"/>
    <row r="95" ht="6.6" customHeight="1"/>
    <row r="96" ht="6.6" customHeight="1"/>
    <row r="97" ht="6.6" customHeight="1"/>
    <row r="98" ht="6.6" customHeight="1"/>
    <row r="99" ht="6.6" customHeight="1"/>
    <row r="100" ht="6.6" customHeight="1"/>
    <row r="101" ht="6.6" customHeight="1"/>
    <row r="102" ht="6.6" customHeight="1"/>
    <row r="103" ht="6.6" customHeight="1"/>
    <row r="104" ht="6.6" customHeight="1"/>
    <row r="105" ht="6.6" customHeight="1"/>
    <row r="106" ht="6.6" customHeight="1"/>
    <row r="107" ht="6.6" customHeight="1"/>
    <row r="108" ht="6.6" customHeight="1"/>
    <row r="109" ht="6.6" customHeight="1"/>
    <row r="110" ht="6.6" customHeight="1"/>
    <row r="111" ht="6.6" customHeight="1"/>
    <row r="112" ht="6.6" customHeight="1"/>
    <row r="113" ht="6.6" customHeight="1"/>
    <row r="114" ht="6.6" customHeight="1"/>
    <row r="115" ht="6.6" customHeight="1"/>
    <row r="116" ht="6.6" customHeight="1"/>
    <row r="117" ht="6.6" customHeight="1"/>
    <row r="118" ht="6.6" customHeight="1"/>
    <row r="119" ht="6.6" customHeight="1"/>
    <row r="120" ht="6.6" customHeight="1"/>
    <row r="121" ht="6.6" customHeight="1"/>
    <row r="122" ht="6.6" customHeight="1"/>
    <row r="123" ht="6.6" customHeight="1"/>
    <row r="124" ht="6.6" customHeight="1"/>
    <row r="125" ht="6.6" customHeight="1"/>
    <row r="126" ht="6.6" customHeight="1"/>
    <row r="127" ht="6.6" customHeight="1"/>
    <row r="128" ht="6.6" customHeight="1"/>
    <row r="129" ht="6.6" customHeight="1"/>
    <row r="130" ht="6.6" customHeight="1"/>
    <row r="131" ht="6.6" customHeight="1"/>
    <row r="132" ht="6.6" customHeight="1"/>
    <row r="133" ht="6.6" customHeight="1"/>
    <row r="134" ht="6.6" customHeight="1"/>
    <row r="135" ht="6.6" customHeight="1"/>
    <row r="136" ht="6.6" customHeight="1"/>
    <row r="137" ht="6.6" customHeight="1"/>
    <row r="138" ht="6.6" customHeight="1"/>
    <row r="139" ht="6.6" customHeight="1"/>
    <row r="140" ht="6.6" customHeight="1"/>
    <row r="141" ht="6.6" customHeight="1"/>
    <row r="142" ht="6.6" customHeight="1"/>
    <row r="143" ht="6.6" customHeight="1"/>
    <row r="144" ht="6.6" customHeight="1"/>
    <row r="145" ht="6.6" customHeight="1"/>
    <row r="146" ht="6.6" customHeight="1"/>
    <row r="147" ht="6.6" customHeight="1"/>
    <row r="148" ht="6.6" customHeight="1"/>
    <row r="149" ht="6.6" customHeight="1"/>
    <row r="150" ht="6.6" customHeight="1"/>
    <row r="151" ht="6.6" customHeight="1"/>
    <row r="152" ht="6.6" customHeight="1"/>
    <row r="153" ht="6.6" customHeight="1"/>
    <row r="154" ht="6.6" customHeight="1"/>
    <row r="155" ht="6.6" customHeight="1"/>
    <row r="156" ht="6.6" customHeight="1"/>
    <row r="157" ht="6.6" customHeight="1"/>
    <row r="158" ht="6.6" customHeight="1"/>
    <row r="159" ht="6.6" customHeight="1"/>
    <row r="160" ht="6.6" customHeight="1"/>
    <row r="161" ht="6.6" customHeight="1"/>
    <row r="162" ht="6.6" customHeight="1"/>
    <row r="163" ht="6.6" customHeight="1"/>
    <row r="164" ht="6.6" customHeight="1"/>
    <row r="165" ht="6.6" customHeight="1"/>
    <row r="166" ht="6.6" customHeight="1"/>
    <row r="167" ht="6.6" customHeight="1"/>
    <row r="168" ht="6.6" customHeight="1"/>
    <row r="169" ht="6.6" customHeight="1"/>
    <row r="170" ht="6.6" customHeight="1"/>
    <row r="171" ht="6.6" customHeight="1"/>
    <row r="172" ht="6.6" customHeight="1"/>
    <row r="173" ht="6.6" customHeight="1"/>
    <row r="174" ht="6.6" customHeight="1"/>
    <row r="175" ht="6.6" customHeight="1"/>
    <row r="176" ht="6.6" customHeight="1"/>
    <row r="177" ht="6.6" customHeight="1"/>
    <row r="178" ht="6.6" customHeight="1"/>
    <row r="179" ht="6.6" customHeight="1"/>
    <row r="180" ht="6.6" customHeight="1"/>
    <row r="181" ht="6.6" customHeight="1"/>
    <row r="182" ht="6.6" customHeight="1"/>
    <row r="183" ht="6.6" customHeight="1"/>
    <row r="184" ht="6.6" customHeight="1"/>
    <row r="185" ht="6.6" customHeight="1"/>
    <row r="186" ht="6.6" customHeight="1"/>
    <row r="187" ht="6.6" customHeight="1"/>
    <row r="188" ht="6.6" customHeight="1"/>
    <row r="189" ht="6.6" customHeight="1"/>
    <row r="190" ht="6.6" customHeight="1"/>
    <row r="191" ht="6.6" customHeight="1"/>
    <row r="192" ht="6.6" customHeight="1"/>
    <row r="193" ht="6.6" customHeight="1"/>
    <row r="194" ht="6.6" customHeight="1"/>
    <row r="195" ht="6.6" customHeight="1"/>
    <row r="196" ht="6.6" customHeight="1"/>
    <row r="197" ht="6.6" customHeight="1"/>
    <row r="198" ht="6.6" customHeight="1"/>
    <row r="199" ht="6.6" customHeight="1"/>
    <row r="200" ht="6.6" customHeight="1"/>
    <row r="201" ht="6.6" customHeight="1"/>
    <row r="202" ht="6.6" customHeight="1"/>
    <row r="203" ht="6.6" customHeight="1"/>
    <row r="204" ht="6.6" customHeight="1"/>
    <row r="205" ht="6.6" customHeight="1"/>
    <row r="206" ht="6.6" customHeight="1"/>
    <row r="207" ht="6.6" customHeight="1"/>
    <row r="208" ht="6.6" customHeight="1"/>
    <row r="209" ht="6.6" customHeight="1"/>
    <row r="210" ht="6.6" customHeight="1"/>
    <row r="211" ht="6.6" customHeight="1"/>
    <row r="212" ht="6.6" customHeight="1"/>
    <row r="213" ht="6.6" customHeight="1"/>
    <row r="214" ht="6.6" customHeight="1"/>
    <row r="215" ht="6.6" customHeight="1"/>
    <row r="216" ht="6.6" customHeight="1"/>
    <row r="217" ht="6.6" customHeight="1"/>
    <row r="218" ht="6.6" customHeight="1"/>
    <row r="219" ht="6.6" customHeight="1"/>
    <row r="220" ht="6.6" customHeight="1"/>
    <row r="221" ht="6.6" customHeight="1"/>
    <row r="222" ht="6.6" customHeight="1"/>
    <row r="223" ht="6.6" customHeight="1"/>
    <row r="224" ht="6.6" customHeight="1"/>
    <row r="225" ht="6.6" customHeight="1"/>
    <row r="226" ht="6.6" customHeight="1"/>
    <row r="227" ht="6.6" customHeight="1"/>
    <row r="228" ht="6.6" customHeight="1"/>
    <row r="229" ht="6.6" customHeight="1"/>
    <row r="230" ht="6.6" customHeight="1"/>
    <row r="231" ht="6.6" customHeight="1"/>
    <row r="232" ht="6.6" customHeight="1"/>
    <row r="233" ht="6.6" customHeight="1"/>
    <row r="234" ht="6.6" customHeight="1"/>
    <row r="235" ht="6.6" customHeight="1"/>
    <row r="236" ht="6.6" customHeight="1"/>
    <row r="237" ht="6.6" customHeight="1"/>
    <row r="238" ht="6.6" customHeight="1"/>
    <row r="239" ht="6.6" customHeight="1"/>
    <row r="240" ht="6.6" customHeight="1"/>
    <row r="241" ht="6.6" customHeight="1"/>
    <row r="242" ht="6.6" customHeight="1"/>
    <row r="243" ht="6.6" customHeight="1"/>
    <row r="244" ht="6.6" customHeight="1"/>
    <row r="245" ht="6.6" customHeight="1"/>
    <row r="246" ht="6.6" customHeight="1"/>
    <row r="247" ht="6.6" customHeight="1"/>
    <row r="248" ht="6.6" customHeight="1"/>
    <row r="249" ht="6.6" customHeight="1"/>
    <row r="250" ht="6.6" customHeight="1"/>
    <row r="251" ht="6.6" customHeight="1"/>
    <row r="252" ht="6.6" customHeight="1"/>
    <row r="253" ht="6.6" customHeight="1"/>
    <row r="254" ht="6.6" customHeight="1"/>
    <row r="255" ht="6.6" customHeight="1"/>
    <row r="256" ht="6.6" customHeight="1"/>
    <row r="257" ht="6.6" customHeight="1"/>
    <row r="258" ht="6.6" customHeight="1"/>
    <row r="259" ht="6.6" customHeight="1"/>
    <row r="260" ht="6.6" customHeight="1"/>
    <row r="261" ht="6.6" customHeight="1"/>
    <row r="262" ht="6.6" customHeight="1"/>
    <row r="263" ht="6.6" customHeight="1"/>
    <row r="264" ht="6.6" customHeight="1"/>
    <row r="265" ht="6.6" customHeight="1"/>
    <row r="266" ht="6.6" customHeight="1"/>
    <row r="267" ht="6.6" customHeight="1"/>
    <row r="268" ht="6.6" customHeight="1"/>
    <row r="269" ht="6.6" customHeight="1"/>
    <row r="270" ht="6.6" customHeight="1"/>
    <row r="271" ht="6.6" customHeight="1"/>
    <row r="272" ht="6.6" customHeight="1"/>
    <row r="273" ht="6.6" customHeight="1"/>
    <row r="274" ht="6.6" customHeight="1"/>
    <row r="275" ht="6.6" customHeight="1"/>
    <row r="276" ht="6.6" customHeight="1"/>
    <row r="277" ht="6.6" customHeight="1"/>
    <row r="278" ht="6.6" customHeight="1"/>
    <row r="279" ht="6.6" customHeight="1"/>
    <row r="280" ht="6.6" customHeight="1"/>
    <row r="281" ht="6.6" customHeight="1"/>
    <row r="282" ht="6.6" customHeight="1"/>
    <row r="283" ht="6.6" customHeight="1"/>
    <row r="284" ht="6.6" customHeight="1"/>
    <row r="285" ht="6.6" customHeight="1"/>
    <row r="286" ht="6.6" customHeight="1"/>
    <row r="287" ht="6.6" customHeight="1"/>
    <row r="288" ht="6.6" customHeight="1"/>
    <row r="289" ht="6.6" customHeight="1"/>
    <row r="290" ht="6.6" customHeight="1"/>
    <row r="291" ht="6.6" customHeight="1"/>
    <row r="292" ht="6.6" customHeight="1"/>
    <row r="293" ht="6.6" customHeight="1"/>
    <row r="294" ht="6.6" customHeight="1"/>
    <row r="295" ht="6.6" customHeight="1"/>
    <row r="296" ht="6.6" customHeight="1"/>
    <row r="297" ht="6.6" customHeight="1"/>
    <row r="298" ht="6.6" customHeight="1"/>
    <row r="299" ht="6.6" customHeight="1"/>
    <row r="300" ht="6.6" customHeight="1"/>
    <row r="301" ht="6.6" customHeight="1"/>
    <row r="302" ht="6.6" customHeight="1"/>
    <row r="303" ht="6.6" customHeight="1"/>
    <row r="304" ht="6.6" customHeight="1"/>
    <row r="305" ht="6.6" customHeight="1"/>
    <row r="306" ht="6.6" customHeight="1"/>
    <row r="307" ht="6.6" customHeight="1"/>
    <row r="308" ht="6.6" customHeight="1"/>
    <row r="309" ht="6.6" customHeight="1"/>
    <row r="310" ht="6.6" customHeight="1"/>
    <row r="311" ht="6.6" customHeight="1"/>
    <row r="312" ht="6.6" customHeight="1"/>
    <row r="313" ht="6.6" customHeight="1"/>
    <row r="314" ht="6.6" customHeight="1"/>
    <row r="315" ht="6.6" customHeight="1"/>
    <row r="316" ht="6.6" customHeight="1"/>
    <row r="317" ht="6.6" customHeight="1"/>
    <row r="318" ht="6.6" customHeight="1"/>
    <row r="319" ht="6.6" customHeight="1"/>
    <row r="320" ht="6.6" customHeight="1"/>
    <row r="321" ht="6.6" customHeight="1"/>
    <row r="322" ht="6.6" customHeight="1"/>
    <row r="323" ht="6.6" customHeight="1"/>
    <row r="324" ht="6.6" customHeight="1"/>
    <row r="325" ht="6.6" customHeight="1"/>
    <row r="326" ht="6.6" customHeight="1"/>
    <row r="327" ht="6.6" customHeight="1"/>
    <row r="328" ht="6.6" customHeight="1"/>
    <row r="329" ht="6.6" customHeight="1"/>
    <row r="330" ht="6.6" customHeight="1"/>
    <row r="331" ht="6.6" customHeight="1"/>
    <row r="332" ht="6.6" customHeight="1"/>
    <row r="333" ht="6.6" customHeight="1"/>
    <row r="334" ht="6.6" customHeight="1"/>
    <row r="335" ht="6.6" customHeight="1"/>
    <row r="336" ht="6.6" customHeight="1"/>
    <row r="337" ht="6.6" customHeight="1"/>
    <row r="338" ht="6.6" customHeight="1"/>
    <row r="339" ht="6.6" customHeight="1"/>
    <row r="340" ht="6.6" customHeight="1"/>
    <row r="341" ht="6.6" customHeight="1"/>
    <row r="342" ht="6.6" customHeight="1"/>
    <row r="343" ht="6.6" customHeight="1"/>
    <row r="344" ht="6.6" customHeight="1"/>
    <row r="345" ht="6.6" customHeight="1"/>
    <row r="346" ht="6.6" customHeight="1"/>
    <row r="347" ht="6.6" customHeight="1"/>
    <row r="348" ht="6.6" customHeight="1"/>
    <row r="349" ht="6.6" customHeight="1"/>
    <row r="350" ht="6.6" customHeight="1"/>
    <row r="351" ht="6.6" customHeight="1"/>
    <row r="352" ht="6.6" customHeight="1"/>
    <row r="353" ht="6.6" customHeight="1"/>
    <row r="354" ht="6.6" customHeight="1"/>
    <row r="355" ht="6.6" customHeight="1"/>
    <row r="356" ht="6.6" customHeight="1"/>
    <row r="357" ht="6.6" customHeight="1"/>
    <row r="358" ht="6.6" customHeight="1"/>
    <row r="359" ht="6.6" customHeight="1"/>
    <row r="360" ht="6.6" customHeight="1"/>
    <row r="361" ht="6.6" customHeight="1"/>
    <row r="362" ht="6.6" customHeight="1"/>
    <row r="363" ht="6.6" customHeight="1"/>
    <row r="364" ht="6.6" customHeight="1"/>
    <row r="365" ht="6.6" customHeight="1"/>
    <row r="366" ht="6.6" customHeight="1"/>
    <row r="367" ht="6.6" customHeight="1"/>
    <row r="368" ht="6.6" customHeight="1"/>
    <row r="369" ht="6.6" customHeight="1"/>
    <row r="370" ht="6.6" customHeight="1"/>
    <row r="371" ht="6.6" customHeight="1"/>
    <row r="372" ht="6.6" customHeight="1"/>
    <row r="373" ht="6.6" customHeight="1"/>
    <row r="374" ht="6.6" customHeight="1"/>
    <row r="375" ht="6.6" customHeight="1"/>
    <row r="376" ht="6.6" customHeight="1"/>
    <row r="377" ht="6.6" customHeight="1"/>
    <row r="378" ht="6.6" customHeight="1"/>
    <row r="379" ht="6.6" customHeight="1"/>
    <row r="380" ht="6.6" customHeight="1"/>
    <row r="381" ht="6.6" customHeight="1"/>
    <row r="382" ht="6.6" customHeight="1"/>
    <row r="383" ht="6.6" customHeight="1"/>
    <row r="384" ht="6.6" customHeight="1"/>
    <row r="385" ht="6.6" customHeight="1"/>
    <row r="386" ht="6.6" customHeight="1"/>
    <row r="387" ht="6.6" customHeight="1"/>
    <row r="388" ht="6.6" customHeight="1"/>
    <row r="389" ht="6.6" customHeight="1"/>
    <row r="390" ht="6.6" customHeight="1"/>
    <row r="391" ht="6.6" customHeight="1"/>
    <row r="392" ht="6.6" customHeight="1"/>
    <row r="393" ht="6.6" customHeight="1"/>
    <row r="394" ht="6.6" customHeight="1"/>
    <row r="395" ht="6.6" customHeight="1"/>
    <row r="396" ht="6.6" customHeight="1"/>
    <row r="397" ht="6.6" customHeight="1"/>
    <row r="398" ht="6.6" customHeight="1"/>
    <row r="399" ht="6.6" customHeight="1"/>
    <row r="400" ht="6.6" customHeight="1"/>
    <row r="401" ht="6.6" customHeight="1"/>
    <row r="402" ht="6.6" customHeight="1"/>
    <row r="403" ht="6.6" customHeight="1"/>
    <row r="404" ht="6.6" customHeight="1"/>
    <row r="405" ht="6.6" customHeight="1"/>
    <row r="406" ht="6.6" customHeight="1"/>
    <row r="407" ht="6.6" customHeight="1"/>
    <row r="408" ht="6.6" customHeight="1"/>
    <row r="409" ht="6.6" customHeight="1"/>
    <row r="410" ht="6.6" customHeight="1"/>
    <row r="411" ht="6.6" customHeight="1"/>
    <row r="412" ht="6.6" customHeight="1"/>
    <row r="413" ht="6.6" customHeight="1"/>
    <row r="414" ht="6.6" customHeight="1"/>
    <row r="415" ht="6.6" customHeight="1"/>
    <row r="416" ht="6.6" customHeight="1"/>
    <row r="417" ht="6.6" customHeight="1"/>
    <row r="418" ht="6.6" customHeight="1"/>
    <row r="419" ht="6.6" customHeight="1"/>
    <row r="420" ht="6.6" customHeight="1"/>
    <row r="421" ht="6.6" customHeight="1"/>
    <row r="422" ht="6.6" customHeight="1"/>
    <row r="423" ht="6.6" customHeight="1"/>
    <row r="424" ht="6.6" customHeight="1"/>
    <row r="425" ht="6.6" customHeight="1"/>
    <row r="426" ht="6.6" customHeight="1"/>
    <row r="427" ht="6.6" customHeight="1"/>
    <row r="428" ht="6.6" customHeight="1"/>
    <row r="429" ht="6.6" customHeight="1"/>
    <row r="430" ht="6.6" customHeight="1"/>
    <row r="431" ht="6.6" customHeight="1"/>
    <row r="432" ht="6.6" customHeight="1"/>
    <row r="433" ht="6.6" customHeight="1"/>
    <row r="434" ht="6.6" customHeight="1"/>
    <row r="435" ht="6.6" customHeight="1"/>
    <row r="436" ht="6.6" customHeight="1"/>
    <row r="437" ht="6.6" customHeight="1"/>
    <row r="438" ht="6.6" customHeight="1"/>
    <row r="439" ht="6.6" customHeight="1"/>
    <row r="440" ht="6.6" customHeight="1"/>
    <row r="441" ht="6.6" customHeight="1"/>
    <row r="442" ht="6.6" customHeight="1"/>
    <row r="443" ht="6.6" customHeight="1"/>
    <row r="444" ht="6.6" customHeight="1"/>
    <row r="445" ht="6.6" customHeight="1"/>
    <row r="446" ht="6.6" customHeight="1"/>
    <row r="447" ht="6.6" customHeight="1"/>
    <row r="448" ht="6.6" customHeight="1"/>
    <row r="449" ht="6.6" customHeight="1"/>
    <row r="450" ht="6.6" customHeight="1"/>
    <row r="451" ht="6.6" customHeight="1"/>
    <row r="452" ht="6.6" customHeight="1"/>
    <row r="453" ht="6.6" customHeight="1"/>
    <row r="454" ht="6.6" customHeight="1"/>
    <row r="455" ht="6.6" customHeight="1"/>
    <row r="456" ht="6.6" customHeight="1"/>
    <row r="457" ht="6.6" customHeight="1"/>
    <row r="458" ht="6.6" customHeight="1"/>
    <row r="459" ht="6.6" customHeight="1"/>
    <row r="460" ht="6.6" customHeight="1"/>
    <row r="461" ht="6.6" customHeight="1"/>
    <row r="462" ht="6.6" customHeight="1"/>
    <row r="463" ht="6.6" customHeight="1"/>
    <row r="464" ht="6.6" customHeight="1"/>
    <row r="465" ht="6.6" customHeight="1"/>
    <row r="466" ht="6.6" customHeight="1"/>
    <row r="467" ht="6.6" customHeight="1"/>
    <row r="468" ht="6.6" customHeight="1"/>
    <row r="469" ht="6.6" customHeight="1"/>
    <row r="470" ht="6.6" customHeight="1"/>
    <row r="471" ht="6.6" customHeight="1"/>
    <row r="472" ht="6.6" customHeight="1"/>
    <row r="473" ht="6.6" customHeight="1"/>
    <row r="474" ht="6.6" customHeight="1"/>
    <row r="475" ht="6.6" customHeight="1"/>
    <row r="476" ht="6.6" customHeight="1"/>
    <row r="477" ht="6.6" customHeight="1"/>
    <row r="478" ht="6.6" customHeight="1"/>
    <row r="479" ht="6.6" customHeight="1"/>
    <row r="480" ht="6.6" customHeight="1"/>
    <row r="481" ht="6.6" customHeight="1"/>
    <row r="482" ht="6.6" customHeight="1"/>
    <row r="483" ht="6.6" customHeight="1"/>
    <row r="484" ht="6.6" customHeight="1"/>
    <row r="485" ht="6.6" customHeight="1"/>
    <row r="486" ht="6.6" customHeight="1"/>
    <row r="487" ht="6.6" customHeight="1"/>
    <row r="488" ht="6.6" customHeight="1"/>
    <row r="489" ht="6.6" customHeight="1"/>
    <row r="490" ht="6.6" customHeight="1"/>
    <row r="491" ht="6.6" customHeight="1"/>
    <row r="492" ht="6.6" customHeight="1"/>
    <row r="493" ht="6.6" customHeight="1"/>
    <row r="494" ht="6.6" customHeight="1"/>
    <row r="495" ht="6.6" customHeight="1"/>
    <row r="496" ht="6.6" customHeight="1"/>
    <row r="497" ht="6.6" customHeight="1"/>
    <row r="498" ht="6.6" customHeight="1"/>
    <row r="499" ht="6.6" customHeight="1"/>
    <row r="500" ht="6.6" customHeight="1"/>
    <row r="501" ht="6.6" customHeight="1"/>
    <row r="502" ht="6.6" customHeight="1"/>
    <row r="503" ht="6.6" customHeight="1"/>
    <row r="504" ht="6.6" customHeight="1"/>
    <row r="505" ht="6.6" customHeight="1"/>
    <row r="506" ht="6.6" customHeight="1"/>
    <row r="507" ht="6.6" customHeight="1"/>
    <row r="508" ht="6.6" customHeight="1"/>
    <row r="509" ht="6.6" customHeight="1"/>
    <row r="510" ht="6.6" customHeight="1"/>
    <row r="511" ht="6.6" customHeight="1"/>
    <row r="512" ht="6.6" customHeight="1"/>
    <row r="513" ht="6.6" customHeight="1"/>
    <row r="514" ht="6.6" customHeight="1"/>
    <row r="515" ht="6.6" customHeight="1"/>
    <row r="516" ht="6.6" customHeight="1"/>
    <row r="517" ht="6.6" customHeight="1"/>
    <row r="518" ht="6.6" customHeight="1"/>
    <row r="519" ht="6.6" customHeight="1"/>
    <row r="520" ht="6.6" customHeight="1"/>
    <row r="521" ht="6.6" customHeight="1"/>
    <row r="522" ht="6.6" customHeight="1"/>
    <row r="523" ht="6.6" customHeight="1"/>
    <row r="524" ht="6.6" customHeight="1"/>
    <row r="525" ht="6.6" customHeight="1"/>
    <row r="526" ht="6.6" customHeight="1"/>
    <row r="527" ht="6.6" customHeight="1"/>
    <row r="528" ht="6.6" customHeight="1"/>
    <row r="529" ht="6.6" customHeight="1"/>
    <row r="530" ht="6.6" customHeight="1"/>
    <row r="531" ht="6.6" customHeight="1"/>
    <row r="532" ht="6.6" customHeight="1"/>
    <row r="533" ht="6.6" customHeight="1"/>
    <row r="534" ht="6.6" customHeight="1"/>
    <row r="535" ht="6.6" customHeight="1"/>
    <row r="536" ht="6.6" customHeight="1"/>
    <row r="537" ht="6.6" customHeight="1"/>
    <row r="538" ht="6.6" customHeight="1"/>
    <row r="539" ht="6.6" customHeight="1"/>
    <row r="540" ht="6.6" customHeight="1"/>
    <row r="541" ht="6.6" customHeight="1"/>
    <row r="542" ht="6.6" customHeight="1"/>
    <row r="543" ht="6.6" customHeight="1"/>
    <row r="544" ht="6.6" customHeight="1"/>
    <row r="545" ht="6.6" customHeight="1"/>
    <row r="546" ht="6.6" customHeight="1"/>
    <row r="547" ht="6.6" customHeight="1"/>
    <row r="548" ht="6.6" customHeight="1"/>
    <row r="549" ht="6.6" customHeight="1"/>
    <row r="550" ht="6.6" customHeight="1"/>
    <row r="551" ht="6.6" customHeight="1"/>
    <row r="552" ht="6.6" customHeight="1"/>
    <row r="553" ht="6.6" customHeight="1"/>
    <row r="554" ht="6.6" customHeight="1"/>
    <row r="555" ht="6.6" customHeight="1"/>
    <row r="556" ht="6.6" customHeight="1"/>
    <row r="557" ht="6.6" customHeight="1"/>
    <row r="558" ht="6.6" customHeight="1"/>
    <row r="559" ht="6.6" customHeight="1"/>
    <row r="560" ht="6.6" customHeight="1"/>
    <row r="561" ht="6.6" customHeight="1"/>
    <row r="562" ht="6.6" customHeight="1"/>
    <row r="563" ht="6.6" customHeight="1"/>
    <row r="564" ht="6.6" customHeight="1"/>
    <row r="565" ht="6.6" customHeight="1"/>
    <row r="566" ht="6.6" customHeight="1"/>
    <row r="567" ht="6.6" customHeight="1"/>
    <row r="568" ht="6.6" customHeight="1"/>
    <row r="569" ht="6.6" customHeight="1"/>
    <row r="570" ht="6.6" customHeight="1"/>
    <row r="571" ht="6.6" customHeight="1"/>
    <row r="572" ht="6.6" customHeight="1"/>
    <row r="573" ht="6.6" customHeight="1"/>
    <row r="574" ht="6.6" customHeight="1"/>
    <row r="575" ht="6.6" customHeight="1"/>
    <row r="576" ht="6.6" customHeight="1"/>
    <row r="577" ht="6.6" customHeight="1"/>
    <row r="578" ht="6.6" customHeight="1"/>
    <row r="579" ht="6.6" customHeight="1"/>
    <row r="580" ht="6.6" customHeight="1"/>
    <row r="581" ht="6.6" customHeight="1"/>
    <row r="582" ht="6.6" customHeight="1"/>
    <row r="583" ht="6.6" customHeight="1"/>
    <row r="584" ht="6.6" customHeight="1"/>
    <row r="585" ht="6.6" customHeight="1"/>
    <row r="586" ht="6.6" customHeight="1"/>
    <row r="587" ht="6.6" customHeight="1"/>
    <row r="588" ht="6.6" customHeight="1"/>
    <row r="589" ht="6.6" customHeight="1"/>
    <row r="590" ht="6.6" customHeight="1"/>
    <row r="591" ht="6.6" customHeight="1"/>
    <row r="592" ht="6.6" customHeight="1"/>
    <row r="593" ht="6.6" customHeight="1"/>
    <row r="594" ht="6.6" customHeight="1"/>
    <row r="595" ht="6.6" customHeight="1"/>
    <row r="596" ht="6.6" customHeight="1"/>
    <row r="597" ht="6.6" customHeight="1"/>
    <row r="598" ht="6.6" customHeight="1"/>
    <row r="599" ht="6.6" customHeight="1"/>
    <row r="600" ht="6.6" customHeight="1"/>
    <row r="601" ht="6.6" customHeight="1"/>
    <row r="602" ht="6.6" customHeight="1"/>
    <row r="603" ht="6.6" customHeight="1"/>
    <row r="604" ht="6.6" customHeight="1"/>
    <row r="605" ht="6.6" customHeight="1"/>
    <row r="606" ht="6.6" customHeight="1"/>
    <row r="607" ht="6.6" customHeight="1"/>
    <row r="608" ht="6.6" customHeight="1"/>
    <row r="609" ht="6.6" customHeight="1"/>
    <row r="610" ht="6.6" customHeight="1"/>
    <row r="611" ht="6.6" customHeight="1"/>
    <row r="612" ht="6.6" customHeight="1"/>
    <row r="613" ht="6.6" customHeight="1"/>
    <row r="614" ht="6.6" customHeight="1"/>
    <row r="615" ht="6.6" customHeight="1"/>
    <row r="616" ht="6.6" customHeight="1"/>
    <row r="617" ht="6.6" customHeight="1"/>
    <row r="618" ht="6.6" customHeight="1"/>
    <row r="619" ht="6.6" customHeight="1"/>
    <row r="620" ht="6.6" customHeight="1"/>
    <row r="621" ht="6.6" customHeight="1"/>
    <row r="622" ht="6.6" customHeight="1"/>
    <row r="623" ht="6.6" customHeight="1"/>
    <row r="624" ht="6.6" customHeight="1"/>
    <row r="625" ht="6.6" customHeight="1"/>
    <row r="626" ht="6.6" customHeight="1"/>
    <row r="627" ht="6.6" customHeight="1"/>
    <row r="628" ht="6.6" customHeight="1"/>
    <row r="629" ht="6.6" customHeight="1"/>
    <row r="630" ht="6.6" customHeight="1"/>
    <row r="631" ht="6.6" customHeight="1"/>
    <row r="632" ht="6.6" customHeight="1"/>
    <row r="633" ht="6.6" customHeight="1"/>
    <row r="634" ht="6.6" customHeight="1"/>
    <row r="635" ht="6.6" customHeight="1"/>
    <row r="636" ht="6.6" customHeight="1"/>
    <row r="637" ht="6.6" customHeight="1"/>
    <row r="638" ht="6.6" customHeight="1"/>
    <row r="639" ht="6.6" customHeight="1"/>
    <row r="640" ht="6.6" customHeight="1"/>
    <row r="641" ht="6.6" customHeight="1"/>
    <row r="642" ht="6.6" customHeight="1"/>
    <row r="643" ht="6.6" customHeight="1"/>
    <row r="644" ht="6.6" customHeight="1"/>
    <row r="645" ht="6.6" customHeight="1"/>
    <row r="646" ht="6.6" customHeight="1"/>
    <row r="647" ht="6.6" customHeight="1"/>
    <row r="648" ht="6.6" customHeight="1"/>
    <row r="649" ht="6.6" customHeight="1"/>
    <row r="650" ht="6.6" customHeight="1"/>
    <row r="651" ht="6.6" customHeight="1"/>
    <row r="652" ht="6.6" customHeight="1"/>
    <row r="653" ht="6.6" customHeight="1"/>
    <row r="654" ht="6.6" customHeight="1"/>
    <row r="655" ht="6.6" customHeight="1"/>
    <row r="656" ht="6.6" customHeight="1"/>
    <row r="657" ht="6.6" customHeight="1"/>
    <row r="658" ht="6.6" customHeight="1"/>
    <row r="659" ht="6.6" customHeight="1"/>
    <row r="660" ht="6.6" customHeight="1"/>
    <row r="661" ht="6.6" customHeight="1"/>
    <row r="662" ht="6.6" customHeight="1"/>
    <row r="663" ht="6.6" customHeight="1"/>
    <row r="664" ht="6.6" customHeight="1"/>
    <row r="665" ht="6.6" customHeight="1"/>
    <row r="666" ht="6.6" customHeight="1"/>
    <row r="667" ht="6.6" customHeight="1"/>
    <row r="668" ht="6.6" customHeight="1"/>
    <row r="669" ht="6.6" customHeight="1"/>
    <row r="670" ht="6.6" customHeight="1"/>
    <row r="671" ht="6.6" customHeight="1"/>
    <row r="672" ht="6.6" customHeight="1"/>
    <row r="673" ht="6.6" customHeight="1"/>
    <row r="674" ht="6.6" customHeight="1"/>
    <row r="675" ht="6.6" customHeight="1"/>
    <row r="676" ht="6.6" customHeight="1"/>
    <row r="677" ht="6.6" customHeight="1"/>
    <row r="678" ht="6.6" customHeight="1"/>
    <row r="679" ht="6.6" customHeight="1"/>
    <row r="680" ht="6.6" customHeight="1"/>
    <row r="681" ht="6.6" customHeight="1"/>
    <row r="682" ht="6.6" customHeight="1"/>
    <row r="683" ht="6.6" customHeight="1"/>
    <row r="684" ht="6.6" customHeight="1"/>
    <row r="685" ht="6.6" customHeight="1"/>
  </sheetData>
  <mergeCells count="8">
    <mergeCell ref="B8:B65"/>
    <mergeCell ref="C2:C6"/>
    <mergeCell ref="E2:F2"/>
    <mergeCell ref="E3:F3"/>
    <mergeCell ref="K4:K6"/>
    <mergeCell ref="E4:F4"/>
    <mergeCell ref="E5:F5"/>
    <mergeCell ref="E6:F6"/>
  </mergeCells>
  <pageMargins left="0.70866141732283472" right="0.70866141732283472" top="0.74803149606299213" bottom="0.74803149606299213" header="0.31496062992125984" footer="0.31496062992125984"/>
  <pageSetup paperSize="8" scale="1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17B3-2A5E-461B-8C1B-E37FC1A4266E}">
  <dimension ref="B2:K685"/>
  <sheetViews>
    <sheetView zoomScale="130" zoomScaleNormal="130" workbookViewId="0">
      <selection activeCell="M24" sqref="M24"/>
    </sheetView>
  </sheetViews>
  <sheetFormatPr defaultRowHeight="13.2"/>
  <cols>
    <col min="1" max="1" width="4.109375" style="65" customWidth="1"/>
    <col min="2" max="2" width="5.88671875" style="65" customWidth="1"/>
    <col min="3" max="3" width="21.21875" style="65" bestFit="1" customWidth="1"/>
    <col min="4" max="4" width="6.6640625" style="65" customWidth="1"/>
    <col min="5" max="5" width="17.6640625" style="65" customWidth="1"/>
    <col min="6" max="6" width="4.6640625" style="65" customWidth="1"/>
    <col min="7" max="7" width="12.21875" style="66" customWidth="1"/>
    <col min="8" max="10" width="12.21875" style="65" customWidth="1"/>
    <col min="11" max="11" width="3.77734375" style="65" customWidth="1"/>
    <col min="12" max="16384" width="8.88671875" style="65"/>
  </cols>
  <sheetData>
    <row r="2" spans="2:11" ht="6.75" customHeight="1">
      <c r="C2" s="291"/>
      <c r="D2" s="107"/>
      <c r="E2" s="292" t="s">
        <v>233</v>
      </c>
      <c r="F2" s="292"/>
      <c r="G2" s="97" t="s">
        <v>661</v>
      </c>
      <c r="H2" s="97" t="s">
        <v>665</v>
      </c>
      <c r="I2" s="97" t="s">
        <v>669</v>
      </c>
      <c r="J2" s="97" t="s">
        <v>673</v>
      </c>
      <c r="K2" s="87"/>
    </row>
    <row r="3" spans="2:11" ht="6.75" customHeight="1">
      <c r="C3" s="291"/>
      <c r="D3" s="107"/>
      <c r="E3" s="292" t="s">
        <v>230</v>
      </c>
      <c r="F3" s="292"/>
      <c r="G3" s="98" t="s">
        <v>241</v>
      </c>
      <c r="H3" s="98" t="s">
        <v>241</v>
      </c>
      <c r="I3" s="98" t="s">
        <v>241</v>
      </c>
      <c r="J3" s="98" t="s">
        <v>241</v>
      </c>
      <c r="K3" s="87"/>
    </row>
    <row r="4" spans="2:11" ht="6.75" customHeight="1">
      <c r="C4" s="291"/>
      <c r="D4" s="107"/>
      <c r="E4" s="292" t="s">
        <v>238</v>
      </c>
      <c r="F4" s="292"/>
      <c r="G4" s="99" t="s">
        <v>229</v>
      </c>
      <c r="H4" s="99" t="s">
        <v>229</v>
      </c>
      <c r="I4" s="99" t="s">
        <v>229</v>
      </c>
      <c r="J4" s="99" t="s">
        <v>229</v>
      </c>
      <c r="K4" s="291"/>
    </row>
    <row r="5" spans="2:11" ht="6.75" customHeight="1">
      <c r="C5" s="291"/>
      <c r="D5" s="107"/>
      <c r="E5" s="292" t="s">
        <v>236</v>
      </c>
      <c r="F5" s="292"/>
      <c r="G5" s="100">
        <v>45316</v>
      </c>
      <c r="H5" s="100">
        <v>45453</v>
      </c>
      <c r="I5" s="100">
        <v>45547</v>
      </c>
      <c r="J5" s="100">
        <v>45643</v>
      </c>
      <c r="K5" s="291"/>
    </row>
    <row r="6" spans="2:11" ht="13.5" customHeight="1">
      <c r="C6" s="291"/>
      <c r="D6" s="107"/>
      <c r="E6" s="292" t="s">
        <v>237</v>
      </c>
      <c r="F6" s="292"/>
      <c r="G6" s="101" t="s">
        <v>234</v>
      </c>
      <c r="H6" s="101" t="s">
        <v>234</v>
      </c>
      <c r="I6" s="101" t="s">
        <v>234</v>
      </c>
      <c r="J6" s="101" t="s">
        <v>234</v>
      </c>
      <c r="K6" s="291"/>
    </row>
    <row r="7" spans="2:11" ht="6.75" customHeight="1">
      <c r="B7" s="89" t="s">
        <v>230</v>
      </c>
      <c r="C7" s="119" t="s">
        <v>228</v>
      </c>
      <c r="D7" s="122" t="s">
        <v>66</v>
      </c>
      <c r="E7" s="120" t="s">
        <v>227</v>
      </c>
      <c r="F7" s="96" t="s">
        <v>226</v>
      </c>
      <c r="G7" s="102" t="s">
        <v>76</v>
      </c>
      <c r="H7" s="102" t="s">
        <v>76</v>
      </c>
      <c r="I7" s="102" t="s">
        <v>76</v>
      </c>
      <c r="J7" s="102" t="s">
        <v>76</v>
      </c>
      <c r="K7" s="86" t="s">
        <v>225</v>
      </c>
    </row>
    <row r="8" spans="2:11" ht="6.75" customHeight="1">
      <c r="B8" s="288" t="s">
        <v>241</v>
      </c>
      <c r="C8" s="88" t="s">
        <v>224</v>
      </c>
      <c r="D8" s="121" t="s">
        <v>232</v>
      </c>
      <c r="E8" s="71" t="s">
        <v>223</v>
      </c>
      <c r="F8" s="70" t="s">
        <v>222</v>
      </c>
      <c r="G8" s="76">
        <v>6.8</v>
      </c>
      <c r="H8" s="76" t="s">
        <v>296</v>
      </c>
      <c r="I8" s="76" t="s">
        <v>306</v>
      </c>
      <c r="J8" s="76" t="s">
        <v>316</v>
      </c>
      <c r="K8" s="75"/>
    </row>
    <row r="9" spans="2:11" ht="6.75" customHeight="1">
      <c r="B9" s="289"/>
      <c r="C9" s="88" t="s">
        <v>220</v>
      </c>
      <c r="D9" s="88" t="s">
        <v>232</v>
      </c>
      <c r="E9" s="71" t="s">
        <v>219</v>
      </c>
      <c r="F9" s="70" t="s">
        <v>218</v>
      </c>
      <c r="G9" s="80">
        <v>1448</v>
      </c>
      <c r="H9" s="80" t="s">
        <v>297</v>
      </c>
      <c r="I9" s="80" t="s">
        <v>307</v>
      </c>
      <c r="J9" s="80" t="s">
        <v>317</v>
      </c>
      <c r="K9" s="75"/>
    </row>
    <row r="10" spans="2:11" ht="6.75" customHeight="1">
      <c r="B10" s="289"/>
      <c r="C10" s="88" t="s">
        <v>216</v>
      </c>
      <c r="D10" s="88" t="s">
        <v>232</v>
      </c>
      <c r="E10" s="71" t="s">
        <v>189</v>
      </c>
      <c r="F10" s="70" t="s">
        <v>126</v>
      </c>
      <c r="G10" s="69">
        <v>5.5</v>
      </c>
      <c r="H10" s="69" t="s">
        <v>261</v>
      </c>
      <c r="I10" s="69" t="s">
        <v>261</v>
      </c>
      <c r="J10" s="69" t="s">
        <v>261</v>
      </c>
      <c r="K10" s="67">
        <v>200</v>
      </c>
    </row>
    <row r="11" spans="2:11" ht="6.75" customHeight="1">
      <c r="B11" s="289"/>
      <c r="C11" s="88" t="s">
        <v>214</v>
      </c>
      <c r="D11" s="88" t="s">
        <v>232</v>
      </c>
      <c r="E11" s="71" t="s">
        <v>189</v>
      </c>
      <c r="F11" s="70" t="s">
        <v>126</v>
      </c>
      <c r="G11" s="69" t="s">
        <v>244</v>
      </c>
      <c r="H11" s="69" t="s">
        <v>196</v>
      </c>
      <c r="I11" s="69" t="s">
        <v>196</v>
      </c>
      <c r="J11" s="69" t="s">
        <v>196</v>
      </c>
      <c r="K11" s="67">
        <v>5</v>
      </c>
    </row>
    <row r="12" spans="2:11" ht="6.75" customHeight="1">
      <c r="B12" s="289"/>
      <c r="C12" s="88" t="s">
        <v>212</v>
      </c>
      <c r="D12" s="88" t="s">
        <v>232</v>
      </c>
      <c r="E12" s="71" t="s">
        <v>189</v>
      </c>
      <c r="F12" s="70" t="s">
        <v>126</v>
      </c>
      <c r="G12" s="103">
        <v>1.82</v>
      </c>
      <c r="H12" s="118" t="s">
        <v>298</v>
      </c>
      <c r="I12" s="118" t="s">
        <v>308</v>
      </c>
      <c r="J12" s="118" t="s">
        <v>318</v>
      </c>
      <c r="K12" s="67">
        <v>10</v>
      </c>
    </row>
    <row r="13" spans="2:11" ht="6.75" customHeight="1">
      <c r="B13" s="289"/>
      <c r="C13" s="88" t="s">
        <v>210</v>
      </c>
      <c r="D13" s="88" t="s">
        <v>232</v>
      </c>
      <c r="E13" s="71" t="s">
        <v>189</v>
      </c>
      <c r="F13" s="70" t="s">
        <v>126</v>
      </c>
      <c r="G13" s="68" t="s">
        <v>209</v>
      </c>
      <c r="H13" s="68" t="s">
        <v>208</v>
      </c>
      <c r="I13" s="68" t="s">
        <v>208</v>
      </c>
      <c r="J13" s="68" t="s">
        <v>208</v>
      </c>
      <c r="K13" s="67">
        <v>5</v>
      </c>
    </row>
    <row r="14" spans="2:11" ht="6.75" customHeight="1">
      <c r="B14" s="289"/>
      <c r="C14" s="88" t="s">
        <v>207</v>
      </c>
      <c r="D14" s="88" t="s">
        <v>232</v>
      </c>
      <c r="E14" s="71" t="s">
        <v>189</v>
      </c>
      <c r="F14" s="70" t="s">
        <v>126</v>
      </c>
      <c r="G14" s="68" t="s">
        <v>185</v>
      </c>
      <c r="H14" s="68" t="s">
        <v>193</v>
      </c>
      <c r="I14" s="68" t="s">
        <v>193</v>
      </c>
      <c r="J14" s="68" t="s">
        <v>193</v>
      </c>
      <c r="K14" s="67">
        <v>50</v>
      </c>
    </row>
    <row r="15" spans="2:11" ht="6.75" customHeight="1">
      <c r="B15" s="289"/>
      <c r="C15" s="88" t="s">
        <v>206</v>
      </c>
      <c r="D15" s="88" t="s">
        <v>232</v>
      </c>
      <c r="E15" s="71" t="s">
        <v>205</v>
      </c>
      <c r="F15" s="70" t="s">
        <v>126</v>
      </c>
      <c r="G15" s="68" t="s">
        <v>132</v>
      </c>
      <c r="H15" s="68" t="s">
        <v>196</v>
      </c>
      <c r="I15" s="68" t="s">
        <v>196</v>
      </c>
      <c r="J15" s="68" t="s">
        <v>319</v>
      </c>
      <c r="K15" s="67">
        <v>5</v>
      </c>
    </row>
    <row r="16" spans="2:11" ht="6.75" customHeight="1">
      <c r="B16" s="289"/>
      <c r="C16" s="88" t="s">
        <v>204</v>
      </c>
      <c r="D16" s="88" t="s">
        <v>232</v>
      </c>
      <c r="E16" s="71" t="s">
        <v>203</v>
      </c>
      <c r="F16" s="70" t="s">
        <v>126</v>
      </c>
      <c r="G16" s="95">
        <v>1161</v>
      </c>
      <c r="H16" s="154" t="s">
        <v>299</v>
      </c>
      <c r="I16" s="104" t="s">
        <v>309</v>
      </c>
      <c r="J16" s="104" t="s">
        <v>320</v>
      </c>
      <c r="K16" s="67">
        <v>200</v>
      </c>
    </row>
    <row r="17" spans="2:11" ht="6.75" customHeight="1">
      <c r="B17" s="289"/>
      <c r="C17" s="88" t="s">
        <v>201</v>
      </c>
      <c r="D17" s="88" t="s">
        <v>232</v>
      </c>
      <c r="E17" s="71" t="s">
        <v>189</v>
      </c>
      <c r="F17" s="70" t="s">
        <v>126</v>
      </c>
      <c r="G17" s="84" t="s">
        <v>200</v>
      </c>
      <c r="H17" s="82" t="s">
        <v>199</v>
      </c>
      <c r="I17" s="68" t="s">
        <v>199</v>
      </c>
      <c r="J17" s="68" t="s">
        <v>199</v>
      </c>
      <c r="K17" s="67">
        <v>1</v>
      </c>
    </row>
    <row r="18" spans="2:11" ht="6.75" customHeight="1">
      <c r="B18" s="289"/>
      <c r="C18" s="88" t="s">
        <v>198</v>
      </c>
      <c r="D18" s="88" t="s">
        <v>232</v>
      </c>
      <c r="E18" s="71" t="s">
        <v>189</v>
      </c>
      <c r="F18" s="70" t="s">
        <v>126</v>
      </c>
      <c r="G18" s="83" t="s">
        <v>185</v>
      </c>
      <c r="H18" s="82" t="s">
        <v>193</v>
      </c>
      <c r="I18" s="68" t="s">
        <v>310</v>
      </c>
      <c r="J18" s="68" t="s">
        <v>193</v>
      </c>
      <c r="K18" s="67">
        <v>20</v>
      </c>
    </row>
    <row r="19" spans="2:11" ht="6.75" customHeight="1">
      <c r="B19" s="289"/>
      <c r="C19" s="88" t="s">
        <v>197</v>
      </c>
      <c r="D19" s="88" t="s">
        <v>232</v>
      </c>
      <c r="E19" s="71" t="s">
        <v>189</v>
      </c>
      <c r="F19" s="70" t="s">
        <v>126</v>
      </c>
      <c r="G19" s="81" t="s">
        <v>185</v>
      </c>
      <c r="H19" s="68" t="s">
        <v>196</v>
      </c>
      <c r="I19" s="68" t="s">
        <v>196</v>
      </c>
      <c r="J19" s="68" t="s">
        <v>196</v>
      </c>
      <c r="K19" s="67">
        <v>10</v>
      </c>
    </row>
    <row r="20" spans="2:11" ht="6.75" customHeight="1">
      <c r="B20" s="289"/>
      <c r="C20" s="88" t="s">
        <v>195</v>
      </c>
      <c r="D20" s="88" t="s">
        <v>232</v>
      </c>
      <c r="E20" s="71" t="s">
        <v>189</v>
      </c>
      <c r="F20" s="70" t="s">
        <v>126</v>
      </c>
      <c r="G20" s="68" t="s">
        <v>186</v>
      </c>
      <c r="H20" s="68" t="s">
        <v>193</v>
      </c>
      <c r="I20" s="68" t="s">
        <v>193</v>
      </c>
      <c r="J20" s="68" t="s">
        <v>193</v>
      </c>
      <c r="K20" s="67">
        <v>1000</v>
      </c>
    </row>
    <row r="21" spans="2:11" ht="6.75" customHeight="1">
      <c r="B21" s="289"/>
      <c r="C21" s="88" t="s">
        <v>194</v>
      </c>
      <c r="D21" s="88" t="s">
        <v>232</v>
      </c>
      <c r="E21" s="71" t="s">
        <v>189</v>
      </c>
      <c r="F21" s="70" t="s">
        <v>126</v>
      </c>
      <c r="G21" s="68" t="s">
        <v>185</v>
      </c>
      <c r="H21" s="68" t="s">
        <v>193</v>
      </c>
      <c r="I21" s="68" t="s">
        <v>193</v>
      </c>
      <c r="J21" s="68" t="s">
        <v>321</v>
      </c>
      <c r="K21" s="67">
        <v>10</v>
      </c>
    </row>
    <row r="22" spans="2:11" ht="6.75" customHeight="1">
      <c r="B22" s="289"/>
      <c r="C22" s="88" t="s">
        <v>192</v>
      </c>
      <c r="D22" s="88" t="s">
        <v>232</v>
      </c>
      <c r="E22" s="71" t="s">
        <v>189</v>
      </c>
      <c r="F22" s="70" t="s">
        <v>126</v>
      </c>
      <c r="G22" s="104">
        <v>1528</v>
      </c>
      <c r="H22" s="104" t="s">
        <v>300</v>
      </c>
      <c r="I22" s="104" t="s">
        <v>311</v>
      </c>
      <c r="J22" s="104" t="s">
        <v>322</v>
      </c>
      <c r="K22" s="67">
        <v>50</v>
      </c>
    </row>
    <row r="23" spans="2:11" ht="6.75" customHeight="1">
      <c r="B23" s="289"/>
      <c r="C23" s="88" t="s">
        <v>191</v>
      </c>
      <c r="D23" s="88" t="s">
        <v>232</v>
      </c>
      <c r="E23" s="71" t="s">
        <v>189</v>
      </c>
      <c r="F23" s="70" t="s">
        <v>126</v>
      </c>
      <c r="G23" s="68">
        <v>13</v>
      </c>
      <c r="H23" s="68" t="s">
        <v>251</v>
      </c>
      <c r="I23" s="68" t="s">
        <v>251</v>
      </c>
      <c r="J23" s="68" t="s">
        <v>251</v>
      </c>
      <c r="K23" s="67">
        <v>3000</v>
      </c>
    </row>
    <row r="24" spans="2:11" ht="6.75" customHeight="1">
      <c r="B24" s="289"/>
      <c r="C24" s="88" t="s">
        <v>190</v>
      </c>
      <c r="D24" s="88" t="s">
        <v>232</v>
      </c>
      <c r="E24" s="71" t="s">
        <v>189</v>
      </c>
      <c r="F24" s="70" t="s">
        <v>126</v>
      </c>
      <c r="G24" s="105">
        <v>1588</v>
      </c>
      <c r="H24" s="105" t="s">
        <v>301</v>
      </c>
      <c r="I24" s="105" t="s">
        <v>312</v>
      </c>
      <c r="J24" s="105" t="s">
        <v>323</v>
      </c>
      <c r="K24" s="67">
        <v>1000</v>
      </c>
    </row>
    <row r="25" spans="2:11" ht="6.75" customHeight="1">
      <c r="B25" s="289"/>
      <c r="C25" s="88" t="s">
        <v>188</v>
      </c>
      <c r="D25" s="88" t="s">
        <v>232</v>
      </c>
      <c r="E25" s="71" t="s">
        <v>187</v>
      </c>
      <c r="F25" s="70" t="s">
        <v>126</v>
      </c>
      <c r="G25" s="68" t="s">
        <v>186</v>
      </c>
      <c r="H25" s="68" t="s">
        <v>193</v>
      </c>
      <c r="I25" s="68" t="s">
        <v>193</v>
      </c>
      <c r="J25" s="68" t="s">
        <v>193</v>
      </c>
      <c r="K25" s="67">
        <v>50</v>
      </c>
    </row>
    <row r="26" spans="2:11" ht="6.75" customHeight="1">
      <c r="B26" s="289"/>
      <c r="C26" s="88" t="s">
        <v>184</v>
      </c>
      <c r="D26" s="88" t="s">
        <v>232</v>
      </c>
      <c r="E26" s="71" t="s">
        <v>183</v>
      </c>
      <c r="F26" s="70" t="s">
        <v>126</v>
      </c>
      <c r="G26" s="77">
        <v>0.39500000000000002</v>
      </c>
      <c r="H26" s="79" t="s">
        <v>267</v>
      </c>
      <c r="I26" s="79" t="s">
        <v>313</v>
      </c>
      <c r="J26" s="79" t="s">
        <v>324</v>
      </c>
      <c r="K26" s="67">
        <v>1500</v>
      </c>
    </row>
    <row r="27" spans="2:11" ht="6.75" customHeight="1">
      <c r="B27" s="289"/>
      <c r="C27" s="88" t="s">
        <v>182</v>
      </c>
      <c r="D27" s="88" t="s">
        <v>232</v>
      </c>
      <c r="E27" s="71" t="s">
        <v>138</v>
      </c>
      <c r="F27" s="70" t="s">
        <v>126</v>
      </c>
      <c r="G27" s="78" t="s">
        <v>53</v>
      </c>
      <c r="H27" s="78" t="s">
        <v>53</v>
      </c>
      <c r="I27" s="78" t="s">
        <v>150</v>
      </c>
      <c r="J27" s="78" t="s">
        <v>53</v>
      </c>
      <c r="K27" s="67">
        <v>1</v>
      </c>
    </row>
    <row r="28" spans="2:11" ht="6.75" customHeight="1">
      <c r="B28" s="289"/>
      <c r="C28" s="88" t="s">
        <v>181</v>
      </c>
      <c r="D28" s="88" t="s">
        <v>232</v>
      </c>
      <c r="E28" s="71" t="s">
        <v>130</v>
      </c>
      <c r="F28" s="70" t="s">
        <v>126</v>
      </c>
      <c r="G28" s="68" t="s">
        <v>142</v>
      </c>
      <c r="H28" s="68" t="s">
        <v>137</v>
      </c>
      <c r="I28" s="68" t="s">
        <v>137</v>
      </c>
      <c r="J28" s="68" t="s">
        <v>137</v>
      </c>
      <c r="K28" s="72">
        <v>0.1</v>
      </c>
    </row>
    <row r="29" spans="2:11" ht="6.75" customHeight="1">
      <c r="B29" s="289"/>
      <c r="C29" s="88" t="s">
        <v>180</v>
      </c>
      <c r="D29" s="88" t="s">
        <v>232</v>
      </c>
      <c r="E29" s="71" t="s">
        <v>130</v>
      </c>
      <c r="F29" s="70" t="s">
        <v>126</v>
      </c>
      <c r="G29" s="68" t="s">
        <v>142</v>
      </c>
      <c r="H29" s="68" t="s">
        <v>142</v>
      </c>
      <c r="I29" s="68" t="s">
        <v>142</v>
      </c>
      <c r="J29" s="68" t="s">
        <v>142</v>
      </c>
      <c r="K29" s="73">
        <v>0.01</v>
      </c>
    </row>
    <row r="30" spans="2:11" ht="6.75" customHeight="1">
      <c r="B30" s="289"/>
      <c r="C30" s="88" t="s">
        <v>179</v>
      </c>
      <c r="D30" s="88" t="s">
        <v>232</v>
      </c>
      <c r="E30" s="71" t="s">
        <v>130</v>
      </c>
      <c r="F30" s="70" t="s">
        <v>126</v>
      </c>
      <c r="G30" s="68" t="s">
        <v>142</v>
      </c>
      <c r="H30" s="68" t="s">
        <v>173</v>
      </c>
      <c r="I30" s="68" t="s">
        <v>173</v>
      </c>
      <c r="J30" s="68" t="s">
        <v>173</v>
      </c>
      <c r="K30" s="72">
        <v>0.1</v>
      </c>
    </row>
    <row r="31" spans="2:11" ht="6.75" customHeight="1">
      <c r="B31" s="289"/>
      <c r="C31" s="88" t="s">
        <v>178</v>
      </c>
      <c r="D31" s="88" t="s">
        <v>232</v>
      </c>
      <c r="E31" s="71" t="s">
        <v>130</v>
      </c>
      <c r="F31" s="70" t="s">
        <v>126</v>
      </c>
      <c r="G31" s="68" t="s">
        <v>142</v>
      </c>
      <c r="H31" s="68" t="s">
        <v>173</v>
      </c>
      <c r="I31" s="68" t="s">
        <v>173</v>
      </c>
      <c r="J31" s="68" t="s">
        <v>173</v>
      </c>
      <c r="K31" s="73">
        <v>0.05</v>
      </c>
    </row>
    <row r="32" spans="2:11" ht="6.75" customHeight="1">
      <c r="B32" s="289"/>
      <c r="C32" s="88" t="s">
        <v>177</v>
      </c>
      <c r="D32" s="88" t="s">
        <v>232</v>
      </c>
      <c r="E32" s="71" t="s">
        <v>130</v>
      </c>
      <c r="F32" s="70" t="s">
        <v>126</v>
      </c>
      <c r="G32" s="68" t="s">
        <v>142</v>
      </c>
      <c r="H32" s="68" t="s">
        <v>173</v>
      </c>
      <c r="I32" s="68" t="s">
        <v>173</v>
      </c>
      <c r="J32" s="68" t="s">
        <v>173</v>
      </c>
      <c r="K32" s="73">
        <v>0.01</v>
      </c>
    </row>
    <row r="33" spans="2:11" ht="6.75" customHeight="1">
      <c r="B33" s="289"/>
      <c r="C33" s="88" t="s">
        <v>176</v>
      </c>
      <c r="D33" s="88" t="s">
        <v>232</v>
      </c>
      <c r="E33" s="71" t="s">
        <v>130</v>
      </c>
      <c r="F33" s="70" t="s">
        <v>126</v>
      </c>
      <c r="G33" s="68" t="s">
        <v>142</v>
      </c>
      <c r="H33" s="68" t="s">
        <v>132</v>
      </c>
      <c r="I33" s="68" t="s">
        <v>132</v>
      </c>
      <c r="J33" s="68" t="s">
        <v>132</v>
      </c>
      <c r="K33" s="67">
        <v>5</v>
      </c>
    </row>
    <row r="34" spans="2:11" ht="6.75" customHeight="1">
      <c r="B34" s="289"/>
      <c r="C34" s="88" t="s">
        <v>175</v>
      </c>
      <c r="D34" s="88" t="s">
        <v>232</v>
      </c>
      <c r="E34" s="71" t="s">
        <v>130</v>
      </c>
      <c r="F34" s="70" t="s">
        <v>126</v>
      </c>
      <c r="G34" s="68" t="s">
        <v>142</v>
      </c>
      <c r="H34" s="68" t="s">
        <v>142</v>
      </c>
      <c r="I34" s="68" t="s">
        <v>142</v>
      </c>
      <c r="J34" s="68" t="s">
        <v>142</v>
      </c>
      <c r="K34" s="73">
        <v>0.01</v>
      </c>
    </row>
    <row r="35" spans="2:11" ht="6.75" customHeight="1">
      <c r="B35" s="289"/>
      <c r="C35" s="88" t="s">
        <v>174</v>
      </c>
      <c r="D35" s="88" t="s">
        <v>232</v>
      </c>
      <c r="E35" s="71" t="s">
        <v>130</v>
      </c>
      <c r="F35" s="70" t="s">
        <v>126</v>
      </c>
      <c r="G35" s="68" t="s">
        <v>142</v>
      </c>
      <c r="H35" s="68" t="s">
        <v>173</v>
      </c>
      <c r="I35" s="68" t="s">
        <v>173</v>
      </c>
      <c r="J35" s="68" t="s">
        <v>173</v>
      </c>
      <c r="K35" s="72">
        <v>0.1</v>
      </c>
    </row>
    <row r="36" spans="2:11" ht="6.75" customHeight="1">
      <c r="B36" s="289"/>
      <c r="C36" s="88" t="s">
        <v>172</v>
      </c>
      <c r="D36" s="88" t="s">
        <v>232</v>
      </c>
      <c r="E36" s="71" t="s">
        <v>130</v>
      </c>
      <c r="F36" s="70" t="s">
        <v>126</v>
      </c>
      <c r="G36" s="77" t="s">
        <v>142</v>
      </c>
      <c r="H36" s="77" t="s">
        <v>132</v>
      </c>
      <c r="I36" s="77" t="s">
        <v>132</v>
      </c>
      <c r="J36" s="77" t="s">
        <v>132</v>
      </c>
      <c r="K36" s="67">
        <v>50</v>
      </c>
    </row>
    <row r="37" spans="2:11" ht="6.75" customHeight="1">
      <c r="B37" s="289"/>
      <c r="C37" s="88" t="s">
        <v>171</v>
      </c>
      <c r="D37" s="88" t="s">
        <v>232</v>
      </c>
      <c r="E37" s="71" t="s">
        <v>130</v>
      </c>
      <c r="F37" s="70" t="s">
        <v>126</v>
      </c>
      <c r="G37" s="68" t="s">
        <v>142</v>
      </c>
      <c r="H37" s="68" t="s">
        <v>170</v>
      </c>
      <c r="I37" s="68" t="s">
        <v>272</v>
      </c>
      <c r="J37" s="68" t="s">
        <v>170</v>
      </c>
      <c r="K37" s="72">
        <v>0.1</v>
      </c>
    </row>
    <row r="38" spans="2:11" ht="6.75" customHeight="1">
      <c r="B38" s="289"/>
      <c r="C38" s="88" t="s">
        <v>169</v>
      </c>
      <c r="D38" s="88" t="s">
        <v>232</v>
      </c>
      <c r="E38" s="71" t="s">
        <v>138</v>
      </c>
      <c r="F38" s="70" t="s">
        <v>126</v>
      </c>
      <c r="G38" s="68" t="s">
        <v>53</v>
      </c>
      <c r="H38" s="68" t="s">
        <v>254</v>
      </c>
      <c r="I38" s="68" t="s">
        <v>272</v>
      </c>
      <c r="J38" s="68" t="s">
        <v>254</v>
      </c>
      <c r="K38" s="72">
        <v>1.5</v>
      </c>
    </row>
    <row r="39" spans="2:11" ht="6.75" customHeight="1">
      <c r="B39" s="289"/>
      <c r="C39" s="88" t="s">
        <v>167</v>
      </c>
      <c r="D39" s="88" t="s">
        <v>232</v>
      </c>
      <c r="E39" s="71" t="s">
        <v>138</v>
      </c>
      <c r="F39" s="70" t="s">
        <v>126</v>
      </c>
      <c r="G39" s="68" t="s">
        <v>137</v>
      </c>
      <c r="H39" s="68" t="s">
        <v>166</v>
      </c>
      <c r="I39" s="68" t="s">
        <v>150</v>
      </c>
      <c r="J39" s="68" t="s">
        <v>166</v>
      </c>
      <c r="K39" s="73">
        <v>0.15</v>
      </c>
    </row>
    <row r="40" spans="2:11" ht="6.75" customHeight="1">
      <c r="B40" s="289"/>
      <c r="C40" s="88" t="s">
        <v>165</v>
      </c>
      <c r="D40" s="88" t="s">
        <v>232</v>
      </c>
      <c r="E40" s="71" t="s">
        <v>138</v>
      </c>
      <c r="F40" s="70" t="s">
        <v>126</v>
      </c>
      <c r="G40" s="68" t="s">
        <v>53</v>
      </c>
      <c r="H40" s="68" t="s">
        <v>302</v>
      </c>
      <c r="I40" s="68" t="s">
        <v>314</v>
      </c>
      <c r="J40" s="68" t="s">
        <v>52</v>
      </c>
      <c r="K40" s="72">
        <v>0.5</v>
      </c>
    </row>
    <row r="41" spans="2:11" ht="6.75" customHeight="1">
      <c r="B41" s="289"/>
      <c r="C41" s="88" t="s">
        <v>164</v>
      </c>
      <c r="D41" s="88" t="s">
        <v>232</v>
      </c>
      <c r="E41" s="71" t="s">
        <v>138</v>
      </c>
      <c r="F41" s="70" t="s">
        <v>126</v>
      </c>
      <c r="G41" s="68" t="s">
        <v>53</v>
      </c>
      <c r="H41" s="68" t="s">
        <v>256</v>
      </c>
      <c r="I41" s="68" t="s">
        <v>279</v>
      </c>
      <c r="J41" s="68" t="s">
        <v>256</v>
      </c>
      <c r="K41" s="67">
        <v>3</v>
      </c>
    </row>
    <row r="42" spans="2:11" ht="6.75" customHeight="1">
      <c r="B42" s="289"/>
      <c r="C42" s="88" t="s">
        <v>163</v>
      </c>
      <c r="D42" s="88" t="s">
        <v>232</v>
      </c>
      <c r="E42" s="71" t="s">
        <v>138</v>
      </c>
      <c r="F42" s="70" t="s">
        <v>126</v>
      </c>
      <c r="G42" s="68" t="s">
        <v>129</v>
      </c>
      <c r="H42" s="68" t="s">
        <v>162</v>
      </c>
      <c r="I42" s="68" t="s">
        <v>279</v>
      </c>
      <c r="J42" s="68" t="s">
        <v>162</v>
      </c>
      <c r="K42" s="73">
        <v>0.05</v>
      </c>
    </row>
    <row r="43" spans="2:11" ht="6.75" customHeight="1">
      <c r="B43" s="289"/>
      <c r="C43" s="88" t="s">
        <v>161</v>
      </c>
      <c r="D43" s="88" t="s">
        <v>232</v>
      </c>
      <c r="E43" s="71" t="s">
        <v>138</v>
      </c>
      <c r="F43" s="70" t="s">
        <v>126</v>
      </c>
      <c r="G43" s="68" t="s">
        <v>53</v>
      </c>
      <c r="H43" s="68" t="s">
        <v>256</v>
      </c>
      <c r="I43" s="68" t="s">
        <v>150</v>
      </c>
      <c r="J43" s="68" t="s">
        <v>256</v>
      </c>
      <c r="K43" s="72">
        <v>1.5</v>
      </c>
    </row>
    <row r="44" spans="2:11" ht="6.75" customHeight="1">
      <c r="B44" s="289"/>
      <c r="C44" s="88" t="s">
        <v>160</v>
      </c>
      <c r="D44" s="88" t="s">
        <v>232</v>
      </c>
      <c r="E44" s="71" t="s">
        <v>138</v>
      </c>
      <c r="F44" s="70" t="s">
        <v>126</v>
      </c>
      <c r="G44" s="68" t="s">
        <v>53</v>
      </c>
      <c r="H44" s="68" t="s">
        <v>52</v>
      </c>
      <c r="I44" s="68" t="s">
        <v>150</v>
      </c>
      <c r="J44" s="68" t="s">
        <v>52</v>
      </c>
      <c r="K44" s="72">
        <v>1.1000000000000001</v>
      </c>
    </row>
    <row r="45" spans="2:11" ht="6.75" customHeight="1">
      <c r="B45" s="289"/>
      <c r="C45" s="88" t="s">
        <v>159</v>
      </c>
      <c r="D45" s="88" t="s">
        <v>232</v>
      </c>
      <c r="E45" s="71" t="s">
        <v>138</v>
      </c>
      <c r="F45" s="70" t="s">
        <v>126</v>
      </c>
      <c r="G45" s="68" t="s">
        <v>137</v>
      </c>
      <c r="H45" s="68" t="s">
        <v>166</v>
      </c>
      <c r="I45" s="68" t="s">
        <v>150</v>
      </c>
      <c r="J45" s="68" t="s">
        <v>166</v>
      </c>
      <c r="K45" s="73">
        <v>0.15</v>
      </c>
    </row>
    <row r="46" spans="2:11" ht="6.75" customHeight="1">
      <c r="B46" s="289"/>
      <c r="C46" s="88" t="s">
        <v>158</v>
      </c>
      <c r="D46" s="88" t="s">
        <v>232</v>
      </c>
      <c r="E46" s="71" t="s">
        <v>138</v>
      </c>
      <c r="F46" s="70" t="s">
        <v>126</v>
      </c>
      <c r="G46" s="68" t="s">
        <v>137</v>
      </c>
      <c r="H46" s="68" t="s">
        <v>303</v>
      </c>
      <c r="I46" s="68" t="s">
        <v>170</v>
      </c>
      <c r="J46" s="68" t="s">
        <v>325</v>
      </c>
      <c r="K46" s="67">
        <v>10</v>
      </c>
    </row>
    <row r="47" spans="2:11" ht="6.75" customHeight="1">
      <c r="B47" s="289"/>
      <c r="C47" s="88" t="s">
        <v>157</v>
      </c>
      <c r="D47" s="88" t="s">
        <v>232</v>
      </c>
      <c r="E47" s="71" t="s">
        <v>138</v>
      </c>
      <c r="F47" s="70" t="s">
        <v>126</v>
      </c>
      <c r="G47" s="68" t="s">
        <v>53</v>
      </c>
      <c r="H47" s="68" t="s">
        <v>156</v>
      </c>
      <c r="I47" s="68" t="s">
        <v>150</v>
      </c>
      <c r="J47" s="68" t="s">
        <v>156</v>
      </c>
      <c r="K47" s="67">
        <v>810</v>
      </c>
    </row>
    <row r="48" spans="2:11" ht="6.75" customHeight="1">
      <c r="B48" s="289"/>
      <c r="C48" s="88" t="s">
        <v>155</v>
      </c>
      <c r="D48" s="88" t="s">
        <v>232</v>
      </c>
      <c r="E48" s="71" t="s">
        <v>138</v>
      </c>
      <c r="F48" s="70" t="s">
        <v>126</v>
      </c>
      <c r="G48" s="68" t="s">
        <v>74</v>
      </c>
      <c r="H48" s="68" t="s">
        <v>304</v>
      </c>
      <c r="I48" s="68" t="s">
        <v>74</v>
      </c>
      <c r="J48" s="68" t="s">
        <v>168</v>
      </c>
      <c r="K48" s="67">
        <v>60</v>
      </c>
    </row>
    <row r="49" spans="2:11" ht="6.75" customHeight="1">
      <c r="B49" s="289"/>
      <c r="C49" s="88" t="s">
        <v>154</v>
      </c>
      <c r="D49" s="88" t="s">
        <v>232</v>
      </c>
      <c r="E49" s="71" t="s">
        <v>138</v>
      </c>
      <c r="F49" s="70" t="s">
        <v>126</v>
      </c>
      <c r="G49" s="68" t="s">
        <v>53</v>
      </c>
      <c r="H49" s="68" t="s">
        <v>305</v>
      </c>
      <c r="I49" s="68" t="s">
        <v>315</v>
      </c>
      <c r="J49" s="68" t="s">
        <v>256</v>
      </c>
      <c r="K49" s="67">
        <v>60</v>
      </c>
    </row>
    <row r="50" spans="2:11" ht="6.75" customHeight="1">
      <c r="B50" s="289"/>
      <c r="C50" s="88" t="s">
        <v>152</v>
      </c>
      <c r="D50" s="88" t="s">
        <v>232</v>
      </c>
      <c r="E50" s="71" t="s">
        <v>138</v>
      </c>
      <c r="F50" s="70" t="s">
        <v>126</v>
      </c>
      <c r="G50" s="68" t="s">
        <v>53</v>
      </c>
      <c r="H50" s="68" t="s">
        <v>52</v>
      </c>
      <c r="I50" s="68" t="s">
        <v>137</v>
      </c>
      <c r="J50" s="68" t="s">
        <v>52</v>
      </c>
      <c r="K50" s="67">
        <v>60</v>
      </c>
    </row>
    <row r="51" spans="2:11" ht="6.75" customHeight="1">
      <c r="B51" s="289"/>
      <c r="C51" s="88" t="s">
        <v>151</v>
      </c>
      <c r="D51" s="88" t="s">
        <v>232</v>
      </c>
      <c r="E51" s="71" t="s">
        <v>138</v>
      </c>
      <c r="F51" s="70" t="s">
        <v>126</v>
      </c>
      <c r="G51" s="68" t="s">
        <v>137</v>
      </c>
      <c r="H51" s="68" t="s">
        <v>150</v>
      </c>
      <c r="I51" s="68" t="s">
        <v>279</v>
      </c>
      <c r="J51" s="68" t="s">
        <v>150</v>
      </c>
      <c r="K51" s="73">
        <v>0.15</v>
      </c>
    </row>
    <row r="52" spans="2:11" ht="6.75" customHeight="1">
      <c r="B52" s="289"/>
      <c r="C52" s="88" t="s">
        <v>149</v>
      </c>
      <c r="D52" s="88" t="s">
        <v>232</v>
      </c>
      <c r="E52" s="71" t="s">
        <v>138</v>
      </c>
      <c r="F52" s="70" t="s">
        <v>126</v>
      </c>
      <c r="G52" s="68" t="s">
        <v>129</v>
      </c>
      <c r="H52" s="68" t="s">
        <v>129</v>
      </c>
      <c r="I52" s="68" t="s">
        <v>137</v>
      </c>
      <c r="J52" s="68" t="s">
        <v>129</v>
      </c>
      <c r="K52" s="72">
        <v>0.2</v>
      </c>
    </row>
    <row r="53" spans="2:11" ht="6.75" customHeight="1">
      <c r="B53" s="289"/>
      <c r="C53" s="88" t="s">
        <v>147</v>
      </c>
      <c r="D53" s="88" t="s">
        <v>232</v>
      </c>
      <c r="E53" s="71" t="s">
        <v>138</v>
      </c>
      <c r="F53" s="70" t="s">
        <v>126</v>
      </c>
      <c r="G53" s="68" t="s">
        <v>137</v>
      </c>
      <c r="H53" s="68" t="s">
        <v>148</v>
      </c>
      <c r="I53" s="68" t="s">
        <v>281</v>
      </c>
      <c r="J53" s="68" t="s">
        <v>148</v>
      </c>
      <c r="K53" s="74">
        <v>1E-3</v>
      </c>
    </row>
    <row r="54" spans="2:11" ht="6.75" customHeight="1">
      <c r="B54" s="289"/>
      <c r="C54" s="88" t="s">
        <v>146</v>
      </c>
      <c r="D54" s="88" t="s">
        <v>232</v>
      </c>
      <c r="E54" s="71" t="s">
        <v>138</v>
      </c>
      <c r="F54" s="70" t="s">
        <v>126</v>
      </c>
      <c r="G54" s="68" t="s">
        <v>143</v>
      </c>
      <c r="H54" s="68" t="s">
        <v>173</v>
      </c>
      <c r="I54" s="68" t="s">
        <v>279</v>
      </c>
      <c r="J54" s="68" t="s">
        <v>173</v>
      </c>
      <c r="K54" s="73">
        <v>0.05</v>
      </c>
    </row>
    <row r="55" spans="2:11" ht="6.75" customHeight="1">
      <c r="B55" s="289"/>
      <c r="C55" s="88" t="s">
        <v>145</v>
      </c>
      <c r="D55" s="88" t="s">
        <v>232</v>
      </c>
      <c r="E55" s="71" t="s">
        <v>138</v>
      </c>
      <c r="F55" s="70" t="s">
        <v>126</v>
      </c>
      <c r="G55" s="68" t="s">
        <v>137</v>
      </c>
      <c r="H55" s="68" t="s">
        <v>153</v>
      </c>
      <c r="I55" s="68" t="s">
        <v>279</v>
      </c>
      <c r="J55" s="68" t="s">
        <v>153</v>
      </c>
      <c r="K55" s="72">
        <v>0.3</v>
      </c>
    </row>
    <row r="56" spans="2:11" ht="6.75" customHeight="1">
      <c r="B56" s="289"/>
      <c r="C56" s="88" t="s">
        <v>144</v>
      </c>
      <c r="D56" s="88" t="s">
        <v>232</v>
      </c>
      <c r="E56" s="71" t="s">
        <v>138</v>
      </c>
      <c r="F56" s="70" t="s">
        <v>126</v>
      </c>
      <c r="G56" s="68" t="s">
        <v>143</v>
      </c>
      <c r="H56" s="68" t="s">
        <v>142</v>
      </c>
      <c r="I56" s="68" t="s">
        <v>281</v>
      </c>
      <c r="J56" s="68" t="s">
        <v>142</v>
      </c>
      <c r="K56" s="74">
        <v>1E-3</v>
      </c>
    </row>
    <row r="57" spans="2:11" ht="6.75" customHeight="1">
      <c r="B57" s="289"/>
      <c r="C57" s="88" t="s">
        <v>141</v>
      </c>
      <c r="D57" s="88" t="s">
        <v>232</v>
      </c>
      <c r="E57" s="71" t="s">
        <v>138</v>
      </c>
      <c r="F57" s="70" t="s">
        <v>126</v>
      </c>
      <c r="G57" s="68" t="s">
        <v>137</v>
      </c>
      <c r="H57" s="68" t="s">
        <v>140</v>
      </c>
      <c r="I57" s="68" t="s">
        <v>150</v>
      </c>
      <c r="J57" s="68" t="s">
        <v>140</v>
      </c>
      <c r="K57" s="73">
        <v>0.13</v>
      </c>
    </row>
    <row r="58" spans="2:11" ht="6.75" customHeight="1">
      <c r="B58" s="289"/>
      <c r="C58" s="88" t="s">
        <v>139</v>
      </c>
      <c r="D58" s="88" t="s">
        <v>232</v>
      </c>
      <c r="E58" s="71" t="s">
        <v>138</v>
      </c>
      <c r="F58" s="70" t="s">
        <v>126</v>
      </c>
      <c r="G58" s="68" t="s">
        <v>137</v>
      </c>
      <c r="H58" s="68" t="s">
        <v>136</v>
      </c>
      <c r="I58" s="68" t="s">
        <v>150</v>
      </c>
      <c r="J58" s="68" t="s">
        <v>136</v>
      </c>
      <c r="K58" s="73">
        <v>0.17</v>
      </c>
    </row>
    <row r="59" spans="2:11" ht="6.75" customHeight="1">
      <c r="B59" s="289"/>
      <c r="C59" s="88" t="s">
        <v>135</v>
      </c>
      <c r="D59" s="88" t="s">
        <v>232</v>
      </c>
      <c r="E59" s="71" t="s">
        <v>130</v>
      </c>
      <c r="F59" s="70" t="s">
        <v>126</v>
      </c>
      <c r="G59" s="68" t="s">
        <v>129</v>
      </c>
      <c r="H59" s="68" t="s">
        <v>132</v>
      </c>
      <c r="I59" s="68" t="s">
        <v>132</v>
      </c>
      <c r="J59" s="68" t="s">
        <v>132</v>
      </c>
      <c r="K59" s="67">
        <v>180</v>
      </c>
    </row>
    <row r="60" spans="2:11" ht="6.75" customHeight="1">
      <c r="B60" s="289"/>
      <c r="C60" s="88" t="s">
        <v>134</v>
      </c>
      <c r="D60" s="88" t="s">
        <v>232</v>
      </c>
      <c r="E60" s="71" t="s">
        <v>130</v>
      </c>
      <c r="F60" s="70" t="s">
        <v>126</v>
      </c>
      <c r="G60" s="68" t="s">
        <v>129</v>
      </c>
      <c r="H60" s="68" t="s">
        <v>132</v>
      </c>
      <c r="I60" s="68" t="s">
        <v>132</v>
      </c>
      <c r="J60" s="68" t="s">
        <v>132</v>
      </c>
      <c r="K60" s="67">
        <v>110</v>
      </c>
    </row>
    <row r="61" spans="2:11" ht="6.75" customHeight="1">
      <c r="B61" s="289"/>
      <c r="C61" s="88" t="s">
        <v>133</v>
      </c>
      <c r="D61" s="88" t="s">
        <v>232</v>
      </c>
      <c r="E61" s="71" t="s">
        <v>130</v>
      </c>
      <c r="F61" s="70" t="s">
        <v>126</v>
      </c>
      <c r="G61" s="68" t="s">
        <v>129</v>
      </c>
      <c r="H61" s="68" t="s">
        <v>132</v>
      </c>
      <c r="I61" s="68" t="s">
        <v>132</v>
      </c>
      <c r="J61" s="68" t="s">
        <v>132</v>
      </c>
      <c r="K61" s="67">
        <v>5</v>
      </c>
    </row>
    <row r="62" spans="2:11" ht="6.75" customHeight="1">
      <c r="B62" s="289"/>
      <c r="C62" s="88" t="s">
        <v>131</v>
      </c>
      <c r="D62" s="88" t="s">
        <v>232</v>
      </c>
      <c r="E62" s="71" t="s">
        <v>130</v>
      </c>
      <c r="F62" s="70" t="s">
        <v>126</v>
      </c>
      <c r="G62" s="68" t="s">
        <v>129</v>
      </c>
      <c r="H62" s="68" t="s">
        <v>53</v>
      </c>
      <c r="I62" s="68" t="s">
        <v>53</v>
      </c>
      <c r="J62" s="68" t="s">
        <v>53</v>
      </c>
      <c r="K62" s="72">
        <v>0.5</v>
      </c>
    </row>
    <row r="63" spans="2:11" ht="6.75" customHeight="1">
      <c r="B63" s="289"/>
      <c r="C63" s="108" t="s">
        <v>128</v>
      </c>
      <c r="D63" s="108" t="s">
        <v>232</v>
      </c>
      <c r="E63" s="109" t="s">
        <v>127</v>
      </c>
      <c r="F63" s="110" t="s">
        <v>126</v>
      </c>
      <c r="G63" s="115" t="s">
        <v>125</v>
      </c>
      <c r="H63" s="115" t="s">
        <v>260</v>
      </c>
      <c r="I63" s="115" t="s">
        <v>260</v>
      </c>
      <c r="J63" s="115" t="s">
        <v>260</v>
      </c>
      <c r="K63" s="67">
        <v>350</v>
      </c>
    </row>
    <row r="64" spans="2:11" ht="6.6" customHeight="1">
      <c r="B64" s="290"/>
      <c r="C64" s="112" t="s">
        <v>246</v>
      </c>
      <c r="D64" s="112" t="s">
        <v>74</v>
      </c>
      <c r="E64" s="113" t="s">
        <v>248</v>
      </c>
      <c r="F64" s="114" t="s">
        <v>126</v>
      </c>
      <c r="G64" s="123" t="s">
        <v>125</v>
      </c>
      <c r="H64" s="123" t="s">
        <v>261</v>
      </c>
      <c r="I64" s="123" t="s">
        <v>261</v>
      </c>
      <c r="J64" s="123" t="s">
        <v>261</v>
      </c>
      <c r="K64" s="111" t="s">
        <v>74</v>
      </c>
    </row>
    <row r="65" spans="2:11" ht="6.6" customHeight="1">
      <c r="B65" s="290"/>
      <c r="C65" s="112" t="s">
        <v>247</v>
      </c>
      <c r="D65" s="112" t="s">
        <v>74</v>
      </c>
      <c r="E65" s="113" t="s">
        <v>249</v>
      </c>
      <c r="F65" s="114" t="s">
        <v>126</v>
      </c>
      <c r="G65" s="123" t="s">
        <v>125</v>
      </c>
      <c r="H65" s="123" t="s">
        <v>260</v>
      </c>
      <c r="I65" s="123" t="s">
        <v>260</v>
      </c>
      <c r="J65" s="123" t="s">
        <v>260</v>
      </c>
      <c r="K65" s="111" t="s">
        <v>74</v>
      </c>
    </row>
    <row r="66" spans="2:11" ht="6.6" customHeight="1"/>
    <row r="67" spans="2:11" ht="6.6" customHeight="1"/>
    <row r="68" spans="2:11" ht="6.6" customHeight="1"/>
    <row r="69" spans="2:11" ht="6.6" customHeight="1"/>
    <row r="70" spans="2:11" ht="6.6" customHeight="1"/>
    <row r="71" spans="2:11" ht="6.6" customHeight="1"/>
    <row r="72" spans="2:11" ht="6.6" customHeight="1"/>
    <row r="73" spans="2:11" ht="6.6" customHeight="1"/>
    <row r="74" spans="2:11" ht="6.6" customHeight="1"/>
    <row r="75" spans="2:11" ht="6.6" customHeight="1"/>
    <row r="76" spans="2:11" ht="6.6" customHeight="1"/>
    <row r="77" spans="2:11" ht="6.6" customHeight="1"/>
    <row r="78" spans="2:11" ht="6.6" customHeight="1"/>
    <row r="79" spans="2:11" ht="6.6" customHeight="1"/>
    <row r="80" spans="2:11" ht="6.6" customHeight="1"/>
    <row r="81" ht="6.6" customHeight="1"/>
    <row r="82" ht="6.6" customHeight="1"/>
    <row r="83" ht="6.6" customHeight="1"/>
    <row r="84" ht="6.6" customHeight="1"/>
    <row r="85" ht="6.6" customHeight="1"/>
    <row r="86" ht="6.6" customHeight="1"/>
    <row r="87" ht="6.6" customHeight="1"/>
    <row r="88" ht="6.6" customHeight="1"/>
    <row r="89" ht="6.6" customHeight="1"/>
    <row r="90" ht="6.6" customHeight="1"/>
    <row r="91" ht="6.6" customHeight="1"/>
    <row r="92" ht="6.6" customHeight="1"/>
    <row r="93" ht="6.6" customHeight="1"/>
    <row r="94" ht="6.6" customHeight="1"/>
    <row r="95" ht="6.6" customHeight="1"/>
    <row r="96" ht="6.6" customHeight="1"/>
    <row r="97" ht="6.6" customHeight="1"/>
    <row r="98" ht="6.6" customHeight="1"/>
    <row r="99" ht="6.6" customHeight="1"/>
    <row r="100" ht="6.6" customHeight="1"/>
    <row r="101" ht="6.6" customHeight="1"/>
    <row r="102" ht="6.6" customHeight="1"/>
    <row r="103" ht="6.6" customHeight="1"/>
    <row r="104" ht="6.6" customHeight="1"/>
    <row r="105" ht="6.6" customHeight="1"/>
    <row r="106" ht="6.6" customHeight="1"/>
    <row r="107" ht="6.6" customHeight="1"/>
    <row r="108" ht="6.6" customHeight="1"/>
    <row r="109" ht="6.6" customHeight="1"/>
    <row r="110" ht="6.6" customHeight="1"/>
    <row r="111" ht="6.6" customHeight="1"/>
    <row r="112" ht="6.6" customHeight="1"/>
    <row r="113" ht="6.6" customHeight="1"/>
    <row r="114" ht="6.6" customHeight="1"/>
    <row r="115" ht="6.6" customHeight="1"/>
    <row r="116" ht="6.6" customHeight="1"/>
    <row r="117" ht="6.6" customHeight="1"/>
    <row r="118" ht="6.6" customHeight="1"/>
    <row r="119" ht="6.6" customHeight="1"/>
    <row r="120" ht="6.6" customHeight="1"/>
    <row r="121" ht="6.6" customHeight="1"/>
    <row r="122" ht="6.6" customHeight="1"/>
    <row r="123" ht="6.6" customHeight="1"/>
    <row r="124" ht="6.6" customHeight="1"/>
    <row r="125" ht="6.6" customHeight="1"/>
    <row r="126" ht="6.6" customHeight="1"/>
    <row r="127" ht="6.6" customHeight="1"/>
    <row r="128" ht="6.6" customHeight="1"/>
    <row r="129" ht="6.6" customHeight="1"/>
    <row r="130" ht="6.6" customHeight="1"/>
    <row r="131" ht="6.6" customHeight="1"/>
    <row r="132" ht="6.6" customHeight="1"/>
    <row r="133" ht="6.6" customHeight="1"/>
    <row r="134" ht="6.6" customHeight="1"/>
    <row r="135" ht="6.6" customHeight="1"/>
    <row r="136" ht="6.6" customHeight="1"/>
    <row r="137" ht="6.6" customHeight="1"/>
    <row r="138" ht="6.6" customHeight="1"/>
    <row r="139" ht="6.6" customHeight="1"/>
    <row r="140" ht="6.6" customHeight="1"/>
    <row r="141" ht="6.6" customHeight="1"/>
    <row r="142" ht="6.6" customHeight="1"/>
    <row r="143" ht="6.6" customHeight="1"/>
    <row r="144" ht="6.6" customHeight="1"/>
    <row r="145" ht="6.6" customHeight="1"/>
    <row r="146" ht="6.6" customHeight="1"/>
    <row r="147" ht="6.6" customHeight="1"/>
    <row r="148" ht="6.6" customHeight="1"/>
    <row r="149" ht="6.6" customHeight="1"/>
    <row r="150" ht="6.6" customHeight="1"/>
    <row r="151" ht="6.6" customHeight="1"/>
    <row r="152" ht="6.6" customHeight="1"/>
    <row r="153" ht="6.6" customHeight="1"/>
    <row r="154" ht="6.6" customHeight="1"/>
    <row r="155" ht="6.6" customHeight="1"/>
    <row r="156" ht="6.6" customHeight="1"/>
    <row r="157" ht="6.6" customHeight="1"/>
    <row r="158" ht="6.6" customHeight="1"/>
    <row r="159" ht="6.6" customHeight="1"/>
    <row r="160" ht="6.6" customHeight="1"/>
    <row r="161" ht="6.6" customHeight="1"/>
    <row r="162" ht="6.6" customHeight="1"/>
    <row r="163" ht="6.6" customHeight="1"/>
    <row r="164" ht="6.6" customHeight="1"/>
    <row r="165" ht="6.6" customHeight="1"/>
    <row r="166" ht="6.6" customHeight="1"/>
    <row r="167" ht="6.6" customHeight="1"/>
    <row r="168" ht="6.6" customHeight="1"/>
    <row r="169" ht="6.6" customHeight="1"/>
    <row r="170" ht="6.6" customHeight="1"/>
    <row r="171" ht="6.6" customHeight="1"/>
    <row r="172" ht="6.6" customHeight="1"/>
    <row r="173" ht="6.6" customHeight="1"/>
    <row r="174" ht="6.6" customHeight="1"/>
    <row r="175" ht="6.6" customHeight="1"/>
    <row r="176" ht="6.6" customHeight="1"/>
    <row r="177" ht="6.6" customHeight="1"/>
    <row r="178" ht="6.6" customHeight="1"/>
    <row r="179" ht="6.6" customHeight="1"/>
    <row r="180" ht="6.6" customHeight="1"/>
    <row r="181" ht="6.6" customHeight="1"/>
    <row r="182" ht="6.6" customHeight="1"/>
    <row r="183" ht="6.6" customHeight="1"/>
    <row r="184" ht="6.6" customHeight="1"/>
    <row r="185" ht="6.6" customHeight="1"/>
    <row r="186" ht="6.6" customHeight="1"/>
    <row r="187" ht="6.6" customHeight="1"/>
    <row r="188" ht="6.6" customHeight="1"/>
    <row r="189" ht="6.6" customHeight="1"/>
    <row r="190" ht="6.6" customHeight="1"/>
    <row r="191" ht="6.6" customHeight="1"/>
    <row r="192" ht="6.6" customHeight="1"/>
    <row r="193" ht="6.6" customHeight="1"/>
    <row r="194" ht="6.6" customHeight="1"/>
    <row r="195" ht="6.6" customHeight="1"/>
    <row r="196" ht="6.6" customHeight="1"/>
    <row r="197" ht="6.6" customHeight="1"/>
    <row r="198" ht="6.6" customHeight="1"/>
    <row r="199" ht="6.6" customHeight="1"/>
    <row r="200" ht="6.6" customHeight="1"/>
    <row r="201" ht="6.6" customHeight="1"/>
    <row r="202" ht="6.6" customHeight="1"/>
    <row r="203" ht="6.6" customHeight="1"/>
    <row r="204" ht="6.6" customHeight="1"/>
    <row r="205" ht="6.6" customHeight="1"/>
    <row r="206" ht="6.6" customHeight="1"/>
    <row r="207" ht="6.6" customHeight="1"/>
    <row r="208" ht="6.6" customHeight="1"/>
    <row r="209" ht="6.6" customHeight="1"/>
    <row r="210" ht="6.6" customHeight="1"/>
    <row r="211" ht="6.6" customHeight="1"/>
    <row r="212" ht="6.6" customHeight="1"/>
    <row r="213" ht="6.6" customHeight="1"/>
    <row r="214" ht="6.6" customHeight="1"/>
    <row r="215" ht="6.6" customHeight="1"/>
    <row r="216" ht="6.6" customHeight="1"/>
    <row r="217" ht="6.6" customHeight="1"/>
    <row r="218" ht="6.6" customHeight="1"/>
    <row r="219" ht="6.6" customHeight="1"/>
    <row r="220" ht="6.6" customHeight="1"/>
    <row r="221" ht="6.6" customHeight="1"/>
    <row r="222" ht="6.6" customHeight="1"/>
    <row r="223" ht="6.6" customHeight="1"/>
    <row r="224" ht="6.6" customHeight="1"/>
    <row r="225" ht="6.6" customHeight="1"/>
    <row r="226" ht="6.6" customHeight="1"/>
    <row r="227" ht="6.6" customHeight="1"/>
    <row r="228" ht="6.6" customHeight="1"/>
    <row r="229" ht="6.6" customHeight="1"/>
    <row r="230" ht="6.6" customHeight="1"/>
    <row r="231" ht="6.6" customHeight="1"/>
    <row r="232" ht="6.6" customHeight="1"/>
    <row r="233" ht="6.6" customHeight="1"/>
    <row r="234" ht="6.6" customHeight="1"/>
    <row r="235" ht="6.6" customHeight="1"/>
    <row r="236" ht="6.6" customHeight="1"/>
    <row r="237" ht="6.6" customHeight="1"/>
    <row r="238" ht="6.6" customHeight="1"/>
    <row r="239" ht="6.6" customHeight="1"/>
    <row r="240" ht="6.6" customHeight="1"/>
    <row r="241" ht="6.6" customHeight="1"/>
    <row r="242" ht="6.6" customHeight="1"/>
    <row r="243" ht="6.6" customHeight="1"/>
    <row r="244" ht="6.6" customHeight="1"/>
    <row r="245" ht="6.6" customHeight="1"/>
    <row r="246" ht="6.6" customHeight="1"/>
    <row r="247" ht="6.6" customHeight="1"/>
    <row r="248" ht="6.6" customHeight="1"/>
    <row r="249" ht="6.6" customHeight="1"/>
    <row r="250" ht="6.6" customHeight="1"/>
    <row r="251" ht="6.6" customHeight="1"/>
    <row r="252" ht="6.6" customHeight="1"/>
    <row r="253" ht="6.6" customHeight="1"/>
    <row r="254" ht="6.6" customHeight="1"/>
    <row r="255" ht="6.6" customHeight="1"/>
    <row r="256" ht="6.6" customHeight="1"/>
    <row r="257" ht="6.6" customHeight="1"/>
    <row r="258" ht="6.6" customHeight="1"/>
    <row r="259" ht="6.6" customHeight="1"/>
    <row r="260" ht="6.6" customHeight="1"/>
    <row r="261" ht="6.6" customHeight="1"/>
    <row r="262" ht="6.6" customHeight="1"/>
    <row r="263" ht="6.6" customHeight="1"/>
    <row r="264" ht="6.6" customHeight="1"/>
    <row r="265" ht="6.6" customHeight="1"/>
    <row r="266" ht="6.6" customHeight="1"/>
    <row r="267" ht="6.6" customHeight="1"/>
    <row r="268" ht="6.6" customHeight="1"/>
    <row r="269" ht="6.6" customHeight="1"/>
    <row r="270" ht="6.6" customHeight="1"/>
    <row r="271" ht="6.6" customHeight="1"/>
    <row r="272" ht="6.6" customHeight="1"/>
    <row r="273" ht="6.6" customHeight="1"/>
    <row r="274" ht="6.6" customHeight="1"/>
    <row r="275" ht="6.6" customHeight="1"/>
    <row r="276" ht="6.6" customHeight="1"/>
    <row r="277" ht="6.6" customHeight="1"/>
    <row r="278" ht="6.6" customHeight="1"/>
    <row r="279" ht="6.6" customHeight="1"/>
    <row r="280" ht="6.6" customHeight="1"/>
    <row r="281" ht="6.6" customHeight="1"/>
    <row r="282" ht="6.6" customHeight="1"/>
    <row r="283" ht="6.6" customHeight="1"/>
    <row r="284" ht="6.6" customHeight="1"/>
    <row r="285" ht="6.6" customHeight="1"/>
    <row r="286" ht="6.6" customHeight="1"/>
    <row r="287" ht="6.6" customHeight="1"/>
    <row r="288" ht="6.6" customHeight="1"/>
    <row r="289" ht="6.6" customHeight="1"/>
    <row r="290" ht="6.6" customHeight="1"/>
    <row r="291" ht="6.6" customHeight="1"/>
    <row r="292" ht="6.6" customHeight="1"/>
    <row r="293" ht="6.6" customHeight="1"/>
    <row r="294" ht="6.6" customHeight="1"/>
    <row r="295" ht="6.6" customHeight="1"/>
    <row r="296" ht="6.6" customHeight="1"/>
    <row r="297" ht="6.6" customHeight="1"/>
    <row r="298" ht="6.6" customHeight="1"/>
    <row r="299" ht="6.6" customHeight="1"/>
    <row r="300" ht="6.6" customHeight="1"/>
    <row r="301" ht="6.6" customHeight="1"/>
    <row r="302" ht="6.6" customHeight="1"/>
    <row r="303" ht="6.6" customHeight="1"/>
    <row r="304" ht="6.6" customHeight="1"/>
    <row r="305" ht="6.6" customHeight="1"/>
    <row r="306" ht="6.6" customHeight="1"/>
    <row r="307" ht="6.6" customHeight="1"/>
    <row r="308" ht="6.6" customHeight="1"/>
    <row r="309" ht="6.6" customHeight="1"/>
    <row r="310" ht="6.6" customHeight="1"/>
    <row r="311" ht="6.6" customHeight="1"/>
    <row r="312" ht="6.6" customHeight="1"/>
    <row r="313" ht="6.6" customHeight="1"/>
    <row r="314" ht="6.6" customHeight="1"/>
    <row r="315" ht="6.6" customHeight="1"/>
    <row r="316" ht="6.6" customHeight="1"/>
    <row r="317" ht="6.6" customHeight="1"/>
    <row r="318" ht="6.6" customHeight="1"/>
    <row r="319" ht="6.6" customHeight="1"/>
    <row r="320" ht="6.6" customHeight="1"/>
    <row r="321" ht="6.6" customHeight="1"/>
    <row r="322" ht="6.6" customHeight="1"/>
    <row r="323" ht="6.6" customHeight="1"/>
    <row r="324" ht="6.6" customHeight="1"/>
    <row r="325" ht="6.6" customHeight="1"/>
    <row r="326" ht="6.6" customHeight="1"/>
    <row r="327" ht="6.6" customHeight="1"/>
    <row r="328" ht="6.6" customHeight="1"/>
    <row r="329" ht="6.6" customHeight="1"/>
    <row r="330" ht="6.6" customHeight="1"/>
    <row r="331" ht="6.6" customHeight="1"/>
    <row r="332" ht="6.6" customHeight="1"/>
    <row r="333" ht="6.6" customHeight="1"/>
    <row r="334" ht="6.6" customHeight="1"/>
    <row r="335" ht="6.6" customHeight="1"/>
    <row r="336" ht="6.6" customHeight="1"/>
    <row r="337" ht="6.6" customHeight="1"/>
    <row r="338" ht="6.6" customHeight="1"/>
    <row r="339" ht="6.6" customHeight="1"/>
    <row r="340" ht="6.6" customHeight="1"/>
    <row r="341" ht="6.6" customHeight="1"/>
    <row r="342" ht="6.6" customHeight="1"/>
    <row r="343" ht="6.6" customHeight="1"/>
    <row r="344" ht="6.6" customHeight="1"/>
    <row r="345" ht="6.6" customHeight="1"/>
    <row r="346" ht="6.6" customHeight="1"/>
    <row r="347" ht="6.6" customHeight="1"/>
    <row r="348" ht="6.6" customHeight="1"/>
    <row r="349" ht="6.6" customHeight="1"/>
    <row r="350" ht="6.6" customHeight="1"/>
    <row r="351" ht="6.6" customHeight="1"/>
    <row r="352" ht="6.6" customHeight="1"/>
    <row r="353" ht="6.6" customHeight="1"/>
    <row r="354" ht="6.6" customHeight="1"/>
    <row r="355" ht="6.6" customHeight="1"/>
    <row r="356" ht="6.6" customHeight="1"/>
    <row r="357" ht="6.6" customHeight="1"/>
    <row r="358" ht="6.6" customHeight="1"/>
    <row r="359" ht="6.6" customHeight="1"/>
    <row r="360" ht="6.6" customHeight="1"/>
    <row r="361" ht="6.6" customHeight="1"/>
    <row r="362" ht="6.6" customHeight="1"/>
    <row r="363" ht="6.6" customHeight="1"/>
    <row r="364" ht="6.6" customHeight="1"/>
    <row r="365" ht="6.6" customHeight="1"/>
    <row r="366" ht="6.6" customHeight="1"/>
    <row r="367" ht="6.6" customHeight="1"/>
    <row r="368" ht="6.6" customHeight="1"/>
    <row r="369" ht="6.6" customHeight="1"/>
    <row r="370" ht="6.6" customHeight="1"/>
    <row r="371" ht="6.6" customHeight="1"/>
    <row r="372" ht="6.6" customHeight="1"/>
    <row r="373" ht="6.6" customHeight="1"/>
    <row r="374" ht="6.6" customHeight="1"/>
    <row r="375" ht="6.6" customHeight="1"/>
    <row r="376" ht="6.6" customHeight="1"/>
    <row r="377" ht="6.6" customHeight="1"/>
    <row r="378" ht="6.6" customHeight="1"/>
    <row r="379" ht="6.6" customHeight="1"/>
    <row r="380" ht="6.6" customHeight="1"/>
    <row r="381" ht="6.6" customHeight="1"/>
    <row r="382" ht="6.6" customHeight="1"/>
    <row r="383" ht="6.6" customHeight="1"/>
    <row r="384" ht="6.6" customHeight="1"/>
    <row r="385" ht="6.6" customHeight="1"/>
    <row r="386" ht="6.6" customHeight="1"/>
    <row r="387" ht="6.6" customHeight="1"/>
    <row r="388" ht="6.6" customHeight="1"/>
    <row r="389" ht="6.6" customHeight="1"/>
    <row r="390" ht="6.6" customHeight="1"/>
    <row r="391" ht="6.6" customHeight="1"/>
    <row r="392" ht="6.6" customHeight="1"/>
    <row r="393" ht="6.6" customHeight="1"/>
    <row r="394" ht="6.6" customHeight="1"/>
    <row r="395" ht="6.6" customHeight="1"/>
    <row r="396" ht="6.6" customHeight="1"/>
    <row r="397" ht="6.6" customHeight="1"/>
    <row r="398" ht="6.6" customHeight="1"/>
    <row r="399" ht="6.6" customHeight="1"/>
    <row r="400" ht="6.6" customHeight="1"/>
    <row r="401" ht="6.6" customHeight="1"/>
    <row r="402" ht="6.6" customHeight="1"/>
    <row r="403" ht="6.6" customHeight="1"/>
    <row r="404" ht="6.6" customHeight="1"/>
    <row r="405" ht="6.6" customHeight="1"/>
    <row r="406" ht="6.6" customHeight="1"/>
    <row r="407" ht="6.6" customHeight="1"/>
    <row r="408" ht="6.6" customHeight="1"/>
    <row r="409" ht="6.6" customHeight="1"/>
    <row r="410" ht="6.6" customHeight="1"/>
    <row r="411" ht="6.6" customHeight="1"/>
    <row r="412" ht="6.6" customHeight="1"/>
    <row r="413" ht="6.6" customHeight="1"/>
    <row r="414" ht="6.6" customHeight="1"/>
    <row r="415" ht="6.6" customHeight="1"/>
    <row r="416" ht="6.6" customHeight="1"/>
    <row r="417" ht="6.6" customHeight="1"/>
    <row r="418" ht="6.6" customHeight="1"/>
    <row r="419" ht="6.6" customHeight="1"/>
    <row r="420" ht="6.6" customHeight="1"/>
    <row r="421" ht="6.6" customHeight="1"/>
    <row r="422" ht="6.6" customHeight="1"/>
    <row r="423" ht="6.6" customHeight="1"/>
    <row r="424" ht="6.6" customHeight="1"/>
    <row r="425" ht="6.6" customHeight="1"/>
    <row r="426" ht="6.6" customHeight="1"/>
    <row r="427" ht="6.6" customHeight="1"/>
    <row r="428" ht="6.6" customHeight="1"/>
    <row r="429" ht="6.6" customHeight="1"/>
    <row r="430" ht="6.6" customHeight="1"/>
    <row r="431" ht="6.6" customHeight="1"/>
    <row r="432" ht="6.6" customHeight="1"/>
    <row r="433" ht="6.6" customHeight="1"/>
    <row r="434" ht="6.6" customHeight="1"/>
    <row r="435" ht="6.6" customHeight="1"/>
    <row r="436" ht="6.6" customHeight="1"/>
    <row r="437" ht="6.6" customHeight="1"/>
    <row r="438" ht="6.6" customHeight="1"/>
    <row r="439" ht="6.6" customHeight="1"/>
    <row r="440" ht="6.6" customHeight="1"/>
    <row r="441" ht="6.6" customHeight="1"/>
    <row r="442" ht="6.6" customHeight="1"/>
    <row r="443" ht="6.6" customHeight="1"/>
    <row r="444" ht="6.6" customHeight="1"/>
    <row r="445" ht="6.6" customHeight="1"/>
    <row r="446" ht="6.6" customHeight="1"/>
    <row r="447" ht="6.6" customHeight="1"/>
    <row r="448" ht="6.6" customHeight="1"/>
    <row r="449" ht="6.6" customHeight="1"/>
    <row r="450" ht="6.6" customHeight="1"/>
    <row r="451" ht="6.6" customHeight="1"/>
    <row r="452" ht="6.6" customHeight="1"/>
    <row r="453" ht="6.6" customHeight="1"/>
    <row r="454" ht="6.6" customHeight="1"/>
    <row r="455" ht="6.6" customHeight="1"/>
    <row r="456" ht="6.6" customHeight="1"/>
    <row r="457" ht="6.6" customHeight="1"/>
    <row r="458" ht="6.6" customHeight="1"/>
    <row r="459" ht="6.6" customHeight="1"/>
    <row r="460" ht="6.6" customHeight="1"/>
    <row r="461" ht="6.6" customHeight="1"/>
    <row r="462" ht="6.6" customHeight="1"/>
    <row r="463" ht="6.6" customHeight="1"/>
    <row r="464" ht="6.6" customHeight="1"/>
    <row r="465" ht="6.6" customHeight="1"/>
    <row r="466" ht="6.6" customHeight="1"/>
    <row r="467" ht="6.6" customHeight="1"/>
    <row r="468" ht="6.6" customHeight="1"/>
    <row r="469" ht="6.6" customHeight="1"/>
    <row r="470" ht="6.6" customHeight="1"/>
    <row r="471" ht="6.6" customHeight="1"/>
    <row r="472" ht="6.6" customHeight="1"/>
    <row r="473" ht="6.6" customHeight="1"/>
    <row r="474" ht="6.6" customHeight="1"/>
    <row r="475" ht="6.6" customHeight="1"/>
    <row r="476" ht="6.6" customHeight="1"/>
    <row r="477" ht="6.6" customHeight="1"/>
    <row r="478" ht="6.6" customHeight="1"/>
    <row r="479" ht="6.6" customHeight="1"/>
    <row r="480" ht="6.6" customHeight="1"/>
    <row r="481" ht="6.6" customHeight="1"/>
    <row r="482" ht="6.6" customHeight="1"/>
    <row r="483" ht="6.6" customHeight="1"/>
    <row r="484" ht="6.6" customHeight="1"/>
    <row r="485" ht="6.6" customHeight="1"/>
    <row r="486" ht="6.6" customHeight="1"/>
    <row r="487" ht="6.6" customHeight="1"/>
    <row r="488" ht="6.6" customHeight="1"/>
    <row r="489" ht="6.6" customHeight="1"/>
    <row r="490" ht="6.6" customHeight="1"/>
    <row r="491" ht="6.6" customHeight="1"/>
    <row r="492" ht="6.6" customHeight="1"/>
    <row r="493" ht="6.6" customHeight="1"/>
    <row r="494" ht="6.6" customHeight="1"/>
    <row r="495" ht="6.6" customHeight="1"/>
    <row r="496" ht="6.6" customHeight="1"/>
    <row r="497" ht="6.6" customHeight="1"/>
    <row r="498" ht="6.6" customHeight="1"/>
    <row r="499" ht="6.6" customHeight="1"/>
    <row r="500" ht="6.6" customHeight="1"/>
    <row r="501" ht="6.6" customHeight="1"/>
    <row r="502" ht="6.6" customHeight="1"/>
    <row r="503" ht="6.6" customHeight="1"/>
    <row r="504" ht="6.6" customHeight="1"/>
    <row r="505" ht="6.6" customHeight="1"/>
    <row r="506" ht="6.6" customHeight="1"/>
    <row r="507" ht="6.6" customHeight="1"/>
    <row r="508" ht="6.6" customHeight="1"/>
    <row r="509" ht="6.6" customHeight="1"/>
    <row r="510" ht="6.6" customHeight="1"/>
    <row r="511" ht="6.6" customHeight="1"/>
    <row r="512" ht="6.6" customHeight="1"/>
    <row r="513" ht="6.6" customHeight="1"/>
    <row r="514" ht="6.6" customHeight="1"/>
    <row r="515" ht="6.6" customHeight="1"/>
    <row r="516" ht="6.6" customHeight="1"/>
    <row r="517" ht="6.6" customHeight="1"/>
    <row r="518" ht="6.6" customHeight="1"/>
    <row r="519" ht="6.6" customHeight="1"/>
    <row r="520" ht="6.6" customHeight="1"/>
    <row r="521" ht="6.6" customHeight="1"/>
    <row r="522" ht="6.6" customHeight="1"/>
    <row r="523" ht="6.6" customHeight="1"/>
    <row r="524" ht="6.6" customHeight="1"/>
    <row r="525" ht="6.6" customHeight="1"/>
    <row r="526" ht="6.6" customHeight="1"/>
    <row r="527" ht="6.6" customHeight="1"/>
    <row r="528" ht="6.6" customHeight="1"/>
    <row r="529" ht="6.6" customHeight="1"/>
    <row r="530" ht="6.6" customHeight="1"/>
    <row r="531" ht="6.6" customHeight="1"/>
    <row r="532" ht="6.6" customHeight="1"/>
    <row r="533" ht="6.6" customHeight="1"/>
    <row r="534" ht="6.6" customHeight="1"/>
    <row r="535" ht="6.6" customHeight="1"/>
    <row r="536" ht="6.6" customHeight="1"/>
    <row r="537" ht="6.6" customHeight="1"/>
    <row r="538" ht="6.6" customHeight="1"/>
    <row r="539" ht="6.6" customHeight="1"/>
    <row r="540" ht="6.6" customHeight="1"/>
    <row r="541" ht="6.6" customHeight="1"/>
    <row r="542" ht="6.6" customHeight="1"/>
    <row r="543" ht="6.6" customHeight="1"/>
    <row r="544" ht="6.6" customHeight="1"/>
    <row r="545" ht="6.6" customHeight="1"/>
    <row r="546" ht="6.6" customHeight="1"/>
    <row r="547" ht="6.6" customHeight="1"/>
    <row r="548" ht="6.6" customHeight="1"/>
    <row r="549" ht="6.6" customHeight="1"/>
    <row r="550" ht="6.6" customHeight="1"/>
    <row r="551" ht="6.6" customHeight="1"/>
    <row r="552" ht="6.6" customHeight="1"/>
    <row r="553" ht="6.6" customHeight="1"/>
    <row r="554" ht="6.6" customHeight="1"/>
    <row r="555" ht="6.6" customHeight="1"/>
    <row r="556" ht="6.6" customHeight="1"/>
    <row r="557" ht="6.6" customHeight="1"/>
    <row r="558" ht="6.6" customHeight="1"/>
    <row r="559" ht="6.6" customHeight="1"/>
    <row r="560" ht="6.6" customHeight="1"/>
    <row r="561" ht="6.6" customHeight="1"/>
    <row r="562" ht="6.6" customHeight="1"/>
    <row r="563" ht="6.6" customHeight="1"/>
    <row r="564" ht="6.6" customHeight="1"/>
    <row r="565" ht="6.6" customHeight="1"/>
    <row r="566" ht="6.6" customHeight="1"/>
    <row r="567" ht="6.6" customHeight="1"/>
    <row r="568" ht="6.6" customHeight="1"/>
    <row r="569" ht="6.6" customHeight="1"/>
    <row r="570" ht="6.6" customHeight="1"/>
    <row r="571" ht="6.6" customHeight="1"/>
    <row r="572" ht="6.6" customHeight="1"/>
    <row r="573" ht="6.6" customHeight="1"/>
    <row r="574" ht="6.6" customHeight="1"/>
    <row r="575" ht="6.6" customHeight="1"/>
    <row r="576" ht="6.6" customHeight="1"/>
    <row r="577" ht="6.6" customHeight="1"/>
    <row r="578" ht="6.6" customHeight="1"/>
    <row r="579" ht="6.6" customHeight="1"/>
    <row r="580" ht="6.6" customHeight="1"/>
    <row r="581" ht="6.6" customHeight="1"/>
    <row r="582" ht="6.6" customHeight="1"/>
    <row r="583" ht="6.6" customHeight="1"/>
    <row r="584" ht="6.6" customHeight="1"/>
    <row r="585" ht="6.6" customHeight="1"/>
    <row r="586" ht="6.6" customHeight="1"/>
    <row r="587" ht="6.6" customHeight="1"/>
    <row r="588" ht="6.6" customHeight="1"/>
    <row r="589" ht="6.6" customHeight="1"/>
    <row r="590" ht="6.6" customHeight="1"/>
    <row r="591" ht="6.6" customHeight="1"/>
    <row r="592" ht="6.6" customHeight="1"/>
    <row r="593" ht="6.6" customHeight="1"/>
    <row r="594" ht="6.6" customHeight="1"/>
    <row r="595" ht="6.6" customHeight="1"/>
    <row r="596" ht="6.6" customHeight="1"/>
    <row r="597" ht="6.6" customHeight="1"/>
    <row r="598" ht="6.6" customHeight="1"/>
    <row r="599" ht="6.6" customHeight="1"/>
    <row r="600" ht="6.6" customHeight="1"/>
    <row r="601" ht="6.6" customHeight="1"/>
    <row r="602" ht="6.6" customHeight="1"/>
    <row r="603" ht="6.6" customHeight="1"/>
    <row r="604" ht="6.6" customHeight="1"/>
    <row r="605" ht="6.6" customHeight="1"/>
    <row r="606" ht="6.6" customHeight="1"/>
    <row r="607" ht="6.6" customHeight="1"/>
    <row r="608" ht="6.6" customHeight="1"/>
    <row r="609" ht="6.6" customHeight="1"/>
    <row r="610" ht="6.6" customHeight="1"/>
    <row r="611" ht="6.6" customHeight="1"/>
    <row r="612" ht="6.6" customHeight="1"/>
    <row r="613" ht="6.6" customHeight="1"/>
    <row r="614" ht="6.6" customHeight="1"/>
    <row r="615" ht="6.6" customHeight="1"/>
    <row r="616" ht="6.6" customHeight="1"/>
    <row r="617" ht="6.6" customHeight="1"/>
    <row r="618" ht="6.6" customHeight="1"/>
    <row r="619" ht="6.6" customHeight="1"/>
    <row r="620" ht="6.6" customHeight="1"/>
    <row r="621" ht="6.6" customHeight="1"/>
    <row r="622" ht="6.6" customHeight="1"/>
    <row r="623" ht="6.6" customHeight="1"/>
    <row r="624" ht="6.6" customHeight="1"/>
    <row r="625" ht="6.6" customHeight="1"/>
    <row r="626" ht="6.6" customHeight="1"/>
    <row r="627" ht="6.6" customHeight="1"/>
    <row r="628" ht="6.6" customHeight="1"/>
    <row r="629" ht="6.6" customHeight="1"/>
    <row r="630" ht="6.6" customHeight="1"/>
    <row r="631" ht="6.6" customHeight="1"/>
    <row r="632" ht="6.6" customHeight="1"/>
    <row r="633" ht="6.6" customHeight="1"/>
    <row r="634" ht="6.6" customHeight="1"/>
    <row r="635" ht="6.6" customHeight="1"/>
    <row r="636" ht="6.6" customHeight="1"/>
    <row r="637" ht="6.6" customHeight="1"/>
    <row r="638" ht="6.6" customHeight="1"/>
    <row r="639" ht="6.6" customHeight="1"/>
    <row r="640" ht="6.6" customHeight="1"/>
    <row r="641" ht="6.6" customHeight="1"/>
    <row r="642" ht="6.6" customHeight="1"/>
    <row r="643" ht="6.6" customHeight="1"/>
    <row r="644" ht="6.6" customHeight="1"/>
    <row r="645" ht="6.6" customHeight="1"/>
    <row r="646" ht="6.6" customHeight="1"/>
    <row r="647" ht="6.6" customHeight="1"/>
    <row r="648" ht="6.6" customHeight="1"/>
    <row r="649" ht="6.6" customHeight="1"/>
    <row r="650" ht="6.6" customHeight="1"/>
    <row r="651" ht="6.6" customHeight="1"/>
    <row r="652" ht="6.6" customHeight="1"/>
    <row r="653" ht="6.6" customHeight="1"/>
    <row r="654" ht="6.6" customHeight="1"/>
    <row r="655" ht="6.6" customHeight="1"/>
    <row r="656" ht="6.6" customHeight="1"/>
    <row r="657" ht="6.6" customHeight="1"/>
    <row r="658" ht="6.6" customHeight="1"/>
    <row r="659" ht="6.6" customHeight="1"/>
    <row r="660" ht="6.6" customHeight="1"/>
    <row r="661" ht="6.6" customHeight="1"/>
    <row r="662" ht="6.6" customHeight="1"/>
    <row r="663" ht="6.6" customHeight="1"/>
    <row r="664" ht="6.6" customHeight="1"/>
    <row r="665" ht="6.6" customHeight="1"/>
    <row r="666" ht="6.6" customHeight="1"/>
    <row r="667" ht="6.6" customHeight="1"/>
    <row r="668" ht="6.6" customHeight="1"/>
    <row r="669" ht="6.6" customHeight="1"/>
    <row r="670" ht="6.6" customHeight="1"/>
    <row r="671" ht="6.6" customHeight="1"/>
    <row r="672" ht="6.6" customHeight="1"/>
    <row r="673" ht="6.6" customHeight="1"/>
    <row r="674" ht="6.6" customHeight="1"/>
    <row r="675" ht="6.6" customHeight="1"/>
    <row r="676" ht="6.6" customHeight="1"/>
    <row r="677" ht="6.6" customHeight="1"/>
    <row r="678" ht="6.6" customHeight="1"/>
    <row r="679" ht="6.6" customHeight="1"/>
    <row r="680" ht="6.6" customHeight="1"/>
    <row r="681" ht="6.6" customHeight="1"/>
    <row r="682" ht="6.6" customHeight="1"/>
    <row r="683" ht="6.6" customHeight="1"/>
    <row r="684" ht="6.6" customHeight="1"/>
    <row r="685" ht="6.6" customHeight="1"/>
  </sheetData>
  <mergeCells count="8">
    <mergeCell ref="B8:B65"/>
    <mergeCell ref="K4:K6"/>
    <mergeCell ref="E5:F5"/>
    <mergeCell ref="E6:F6"/>
    <mergeCell ref="C2:C6"/>
    <mergeCell ref="E2:F2"/>
    <mergeCell ref="E3:F3"/>
    <mergeCell ref="E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310E-E9BA-48CF-85C9-DD214E78C04D}">
  <dimension ref="B2:K685"/>
  <sheetViews>
    <sheetView zoomScale="130" zoomScaleNormal="130" workbookViewId="0">
      <selection activeCell="M18" sqref="M18"/>
    </sheetView>
  </sheetViews>
  <sheetFormatPr defaultRowHeight="13.2"/>
  <cols>
    <col min="1" max="1" width="4.109375" style="65" customWidth="1"/>
    <col min="2" max="2" width="5.77734375" style="65" customWidth="1"/>
    <col min="3" max="3" width="21.21875" style="65" bestFit="1" customWidth="1"/>
    <col min="4" max="4" width="6.6640625" style="65" customWidth="1"/>
    <col min="5" max="5" width="17.6640625" style="65" customWidth="1"/>
    <col min="6" max="6" width="4.6640625" style="65" customWidth="1"/>
    <col min="7" max="7" width="12.21875" style="66" customWidth="1"/>
    <col min="8" max="10" width="12.21875" style="65" customWidth="1"/>
    <col min="11" max="11" width="3.6640625" style="65" customWidth="1"/>
    <col min="12" max="16384" width="8.88671875" style="65"/>
  </cols>
  <sheetData>
    <row r="2" spans="2:11" ht="6.75" customHeight="1">
      <c r="C2" s="291"/>
      <c r="D2" s="107"/>
      <c r="E2" s="292" t="s">
        <v>233</v>
      </c>
      <c r="F2" s="292"/>
      <c r="G2" s="97" t="s">
        <v>662</v>
      </c>
      <c r="H2" s="97" t="s">
        <v>666</v>
      </c>
      <c r="I2" s="97" t="s">
        <v>670</v>
      </c>
      <c r="J2" s="97" t="s">
        <v>674</v>
      </c>
      <c r="K2" s="87"/>
    </row>
    <row r="3" spans="2:11" ht="6.75" customHeight="1">
      <c r="C3" s="291"/>
      <c r="D3" s="107"/>
      <c r="E3" s="292" t="s">
        <v>230</v>
      </c>
      <c r="F3" s="292"/>
      <c r="G3" s="98" t="s">
        <v>240</v>
      </c>
      <c r="H3" s="98" t="s">
        <v>240</v>
      </c>
      <c r="I3" s="98" t="s">
        <v>240</v>
      </c>
      <c r="J3" s="98" t="s">
        <v>240</v>
      </c>
      <c r="K3" s="87"/>
    </row>
    <row r="4" spans="2:11" ht="6.75" customHeight="1">
      <c r="C4" s="291"/>
      <c r="D4" s="107"/>
      <c r="E4" s="292" t="s">
        <v>238</v>
      </c>
      <c r="F4" s="292"/>
      <c r="G4" s="99" t="s">
        <v>229</v>
      </c>
      <c r="H4" s="99" t="s">
        <v>229</v>
      </c>
      <c r="I4" s="99" t="s">
        <v>229</v>
      </c>
      <c r="J4" s="99" t="s">
        <v>229</v>
      </c>
      <c r="K4" s="291"/>
    </row>
    <row r="5" spans="2:11" ht="6.75" customHeight="1">
      <c r="C5" s="291"/>
      <c r="D5" s="107"/>
      <c r="E5" s="292" t="s">
        <v>236</v>
      </c>
      <c r="F5" s="292"/>
      <c r="G5" s="100">
        <v>45316</v>
      </c>
      <c r="H5" s="100">
        <v>45453</v>
      </c>
      <c r="I5" s="100">
        <v>45547</v>
      </c>
      <c r="J5" s="100">
        <v>45643</v>
      </c>
      <c r="K5" s="291"/>
    </row>
    <row r="6" spans="2:11" ht="13.5" customHeight="1">
      <c r="C6" s="291"/>
      <c r="D6" s="107"/>
      <c r="E6" s="292" t="s">
        <v>237</v>
      </c>
      <c r="F6" s="292"/>
      <c r="G6" s="101" t="s">
        <v>234</v>
      </c>
      <c r="H6" s="101" t="s">
        <v>234</v>
      </c>
      <c r="I6" s="101" t="s">
        <v>234</v>
      </c>
      <c r="J6" s="101" t="s">
        <v>234</v>
      </c>
      <c r="K6" s="291"/>
    </row>
    <row r="7" spans="2:11" ht="6.75" customHeight="1">
      <c r="B7" s="89" t="s">
        <v>230</v>
      </c>
      <c r="C7" s="119" t="s">
        <v>228</v>
      </c>
      <c r="D7" s="122" t="s">
        <v>66</v>
      </c>
      <c r="E7" s="120" t="s">
        <v>227</v>
      </c>
      <c r="F7" s="96" t="s">
        <v>226</v>
      </c>
      <c r="G7" s="102" t="s">
        <v>76</v>
      </c>
      <c r="H7" s="102" t="s">
        <v>76</v>
      </c>
      <c r="I7" s="102" t="s">
        <v>76</v>
      </c>
      <c r="J7" s="102" t="s">
        <v>76</v>
      </c>
      <c r="K7" s="86" t="s">
        <v>225</v>
      </c>
    </row>
    <row r="8" spans="2:11" ht="6.75" customHeight="1">
      <c r="B8" s="288" t="s">
        <v>240</v>
      </c>
      <c r="C8" s="88" t="s">
        <v>224</v>
      </c>
      <c r="D8" s="121" t="s">
        <v>232</v>
      </c>
      <c r="E8" s="71" t="s">
        <v>223</v>
      </c>
      <c r="F8" s="70" t="s">
        <v>222</v>
      </c>
      <c r="G8" s="76">
        <v>7.4</v>
      </c>
      <c r="H8" s="76" t="s">
        <v>326</v>
      </c>
      <c r="I8" s="76" t="s">
        <v>332</v>
      </c>
      <c r="J8" s="76" t="s">
        <v>345</v>
      </c>
      <c r="K8" s="75"/>
    </row>
    <row r="9" spans="2:11" ht="6.75" customHeight="1">
      <c r="B9" s="289"/>
      <c r="C9" s="88" t="s">
        <v>220</v>
      </c>
      <c r="D9" s="88" t="s">
        <v>232</v>
      </c>
      <c r="E9" s="71" t="s">
        <v>219</v>
      </c>
      <c r="F9" s="70" t="s">
        <v>218</v>
      </c>
      <c r="G9" s="80">
        <v>4439</v>
      </c>
      <c r="H9" s="80" t="s">
        <v>327</v>
      </c>
      <c r="I9" s="80" t="s">
        <v>333</v>
      </c>
      <c r="J9" s="80" t="s">
        <v>346</v>
      </c>
      <c r="K9" s="75"/>
    </row>
    <row r="10" spans="2:11" ht="6.75" customHeight="1">
      <c r="B10" s="289"/>
      <c r="C10" s="88" t="s">
        <v>216</v>
      </c>
      <c r="D10" s="88" t="s">
        <v>232</v>
      </c>
      <c r="E10" s="71" t="s">
        <v>189</v>
      </c>
      <c r="F10" s="70" t="s">
        <v>126</v>
      </c>
      <c r="G10" s="69">
        <v>7.4</v>
      </c>
      <c r="H10" s="69" t="s">
        <v>261</v>
      </c>
      <c r="I10" s="69" t="s">
        <v>334</v>
      </c>
      <c r="J10" s="69" t="s">
        <v>347</v>
      </c>
      <c r="K10" s="67">
        <v>200</v>
      </c>
    </row>
    <row r="11" spans="2:11" ht="6.75" customHeight="1">
      <c r="B11" s="289"/>
      <c r="C11" s="88" t="s">
        <v>214</v>
      </c>
      <c r="D11" s="88" t="s">
        <v>232</v>
      </c>
      <c r="E11" s="71" t="s">
        <v>189</v>
      </c>
      <c r="F11" s="70" t="s">
        <v>126</v>
      </c>
      <c r="G11" s="69" t="s">
        <v>244</v>
      </c>
      <c r="H11" s="69" t="s">
        <v>196</v>
      </c>
      <c r="I11" s="69" t="s">
        <v>196</v>
      </c>
      <c r="J11" s="69" t="s">
        <v>196</v>
      </c>
      <c r="K11" s="67">
        <v>5</v>
      </c>
    </row>
    <row r="12" spans="2:11" ht="6.75" customHeight="1">
      <c r="B12" s="289"/>
      <c r="C12" s="88" t="s">
        <v>212</v>
      </c>
      <c r="D12" s="88" t="s">
        <v>232</v>
      </c>
      <c r="E12" s="71" t="s">
        <v>189</v>
      </c>
      <c r="F12" s="70" t="s">
        <v>126</v>
      </c>
      <c r="G12" s="103">
        <v>5.28</v>
      </c>
      <c r="H12" s="85" t="s">
        <v>328</v>
      </c>
      <c r="I12" s="118" t="s">
        <v>335</v>
      </c>
      <c r="J12" s="155" t="s">
        <v>348</v>
      </c>
      <c r="K12" s="67">
        <v>10</v>
      </c>
    </row>
    <row r="13" spans="2:11" ht="6.75" customHeight="1">
      <c r="B13" s="289"/>
      <c r="C13" s="88" t="s">
        <v>210</v>
      </c>
      <c r="D13" s="88" t="s">
        <v>232</v>
      </c>
      <c r="E13" s="71" t="s">
        <v>189</v>
      </c>
      <c r="F13" s="70" t="s">
        <v>126</v>
      </c>
      <c r="G13" s="68" t="s">
        <v>209</v>
      </c>
      <c r="H13" s="68" t="s">
        <v>208</v>
      </c>
      <c r="I13" s="68" t="s">
        <v>208</v>
      </c>
      <c r="J13" s="68" t="s">
        <v>208</v>
      </c>
      <c r="K13" s="67">
        <v>5</v>
      </c>
    </row>
    <row r="14" spans="2:11" ht="6.75" customHeight="1">
      <c r="B14" s="289"/>
      <c r="C14" s="88" t="s">
        <v>207</v>
      </c>
      <c r="D14" s="88" t="s">
        <v>232</v>
      </c>
      <c r="E14" s="71" t="s">
        <v>189</v>
      </c>
      <c r="F14" s="70" t="s">
        <v>126</v>
      </c>
      <c r="G14" s="68" t="s">
        <v>185</v>
      </c>
      <c r="H14" s="68" t="s">
        <v>193</v>
      </c>
      <c r="I14" s="68" t="s">
        <v>336</v>
      </c>
      <c r="J14" s="68" t="s">
        <v>193</v>
      </c>
      <c r="K14" s="67">
        <v>50</v>
      </c>
    </row>
    <row r="15" spans="2:11" ht="6.75" customHeight="1">
      <c r="B15" s="289"/>
      <c r="C15" s="88" t="s">
        <v>206</v>
      </c>
      <c r="D15" s="88" t="s">
        <v>232</v>
      </c>
      <c r="E15" s="71" t="s">
        <v>205</v>
      </c>
      <c r="F15" s="70" t="s">
        <v>126</v>
      </c>
      <c r="G15" s="68" t="s">
        <v>132</v>
      </c>
      <c r="H15" s="68" t="s">
        <v>196</v>
      </c>
      <c r="I15" s="68" t="s">
        <v>319</v>
      </c>
      <c r="J15" s="68" t="s">
        <v>319</v>
      </c>
      <c r="K15" s="67">
        <v>5</v>
      </c>
    </row>
    <row r="16" spans="2:11" ht="6.75" customHeight="1">
      <c r="B16" s="289"/>
      <c r="C16" s="88" t="s">
        <v>204</v>
      </c>
      <c r="D16" s="88" t="s">
        <v>232</v>
      </c>
      <c r="E16" s="71" t="s">
        <v>203</v>
      </c>
      <c r="F16" s="70" t="s">
        <v>126</v>
      </c>
      <c r="G16" s="95">
        <v>547</v>
      </c>
      <c r="H16" s="104" t="s">
        <v>329</v>
      </c>
      <c r="I16" s="104" t="s">
        <v>337</v>
      </c>
      <c r="J16" s="104" t="s">
        <v>349</v>
      </c>
      <c r="K16" s="67">
        <v>200</v>
      </c>
    </row>
    <row r="17" spans="2:11" ht="6.75" customHeight="1">
      <c r="B17" s="289"/>
      <c r="C17" s="88" t="s">
        <v>201</v>
      </c>
      <c r="D17" s="88" t="s">
        <v>232</v>
      </c>
      <c r="E17" s="71" t="s">
        <v>189</v>
      </c>
      <c r="F17" s="70" t="s">
        <v>126</v>
      </c>
      <c r="G17" s="84" t="s">
        <v>200</v>
      </c>
      <c r="H17" s="82" t="s">
        <v>199</v>
      </c>
      <c r="I17" s="68" t="s">
        <v>338</v>
      </c>
      <c r="J17" s="68" t="s">
        <v>199</v>
      </c>
      <c r="K17" s="67">
        <v>1</v>
      </c>
    </row>
    <row r="18" spans="2:11" ht="6.75" customHeight="1">
      <c r="B18" s="289"/>
      <c r="C18" s="88" t="s">
        <v>198</v>
      </c>
      <c r="D18" s="88" t="s">
        <v>232</v>
      </c>
      <c r="E18" s="71" t="s">
        <v>189</v>
      </c>
      <c r="F18" s="70" t="s">
        <v>126</v>
      </c>
      <c r="G18" s="83" t="s">
        <v>185</v>
      </c>
      <c r="H18" s="82" t="s">
        <v>193</v>
      </c>
      <c r="I18" s="68" t="s">
        <v>193</v>
      </c>
      <c r="J18" s="68" t="s">
        <v>193</v>
      </c>
      <c r="K18" s="67">
        <v>20</v>
      </c>
    </row>
    <row r="19" spans="2:11" ht="6.75" customHeight="1">
      <c r="B19" s="289"/>
      <c r="C19" s="88" t="s">
        <v>197</v>
      </c>
      <c r="D19" s="88" t="s">
        <v>232</v>
      </c>
      <c r="E19" s="71" t="s">
        <v>189</v>
      </c>
      <c r="F19" s="70" t="s">
        <v>126</v>
      </c>
      <c r="G19" s="81" t="s">
        <v>185</v>
      </c>
      <c r="H19" s="68" t="s">
        <v>196</v>
      </c>
      <c r="I19" s="68" t="s">
        <v>196</v>
      </c>
      <c r="J19" s="68" t="s">
        <v>196</v>
      </c>
      <c r="K19" s="67">
        <v>10</v>
      </c>
    </row>
    <row r="20" spans="2:11" ht="6.75" customHeight="1">
      <c r="B20" s="289"/>
      <c r="C20" s="88" t="s">
        <v>195</v>
      </c>
      <c r="D20" s="88" t="s">
        <v>232</v>
      </c>
      <c r="E20" s="71" t="s">
        <v>189</v>
      </c>
      <c r="F20" s="70" t="s">
        <v>126</v>
      </c>
      <c r="G20" s="68" t="s">
        <v>186</v>
      </c>
      <c r="H20" s="68" t="s">
        <v>193</v>
      </c>
      <c r="I20" s="68" t="s">
        <v>193</v>
      </c>
      <c r="J20" s="68" t="s">
        <v>193</v>
      </c>
      <c r="K20" s="67">
        <v>1000</v>
      </c>
    </row>
    <row r="21" spans="2:11" ht="6.75" customHeight="1">
      <c r="B21" s="289"/>
      <c r="C21" s="88" t="s">
        <v>194</v>
      </c>
      <c r="D21" s="88" t="s">
        <v>232</v>
      </c>
      <c r="E21" s="71" t="s">
        <v>189</v>
      </c>
      <c r="F21" s="70" t="s">
        <v>126</v>
      </c>
      <c r="G21" s="68" t="s">
        <v>185</v>
      </c>
      <c r="H21" s="68" t="s">
        <v>193</v>
      </c>
      <c r="I21" s="68" t="s">
        <v>339</v>
      </c>
      <c r="J21" s="68" t="s">
        <v>193</v>
      </c>
      <c r="K21" s="67">
        <v>10</v>
      </c>
    </row>
    <row r="22" spans="2:11" ht="6.75" customHeight="1">
      <c r="B22" s="289"/>
      <c r="C22" s="88" t="s">
        <v>192</v>
      </c>
      <c r="D22" s="88" t="s">
        <v>232</v>
      </c>
      <c r="E22" s="71" t="s">
        <v>189</v>
      </c>
      <c r="F22" s="70" t="s">
        <v>126</v>
      </c>
      <c r="G22" s="104">
        <v>339</v>
      </c>
      <c r="H22" s="104" t="s">
        <v>288</v>
      </c>
      <c r="I22" s="104" t="s">
        <v>340</v>
      </c>
      <c r="J22" s="104" t="s">
        <v>350</v>
      </c>
      <c r="K22" s="67">
        <v>50</v>
      </c>
    </row>
    <row r="23" spans="2:11" ht="6.75" customHeight="1">
      <c r="B23" s="289"/>
      <c r="C23" s="88" t="s">
        <v>191</v>
      </c>
      <c r="D23" s="88" t="s">
        <v>232</v>
      </c>
      <c r="E23" s="71" t="s">
        <v>189</v>
      </c>
      <c r="F23" s="70" t="s">
        <v>126</v>
      </c>
      <c r="G23" s="68">
        <v>50</v>
      </c>
      <c r="H23" s="68" t="s">
        <v>251</v>
      </c>
      <c r="I23" s="68" t="s">
        <v>341</v>
      </c>
      <c r="J23" s="68" t="s">
        <v>251</v>
      </c>
      <c r="K23" s="67">
        <v>3000</v>
      </c>
    </row>
    <row r="24" spans="2:11" ht="6.75" customHeight="1">
      <c r="B24" s="289"/>
      <c r="C24" s="88" t="s">
        <v>190</v>
      </c>
      <c r="D24" s="88" t="s">
        <v>232</v>
      </c>
      <c r="E24" s="71" t="s">
        <v>189</v>
      </c>
      <c r="F24" s="70" t="s">
        <v>126</v>
      </c>
      <c r="G24" s="105">
        <v>4222</v>
      </c>
      <c r="H24" s="105" t="s">
        <v>330</v>
      </c>
      <c r="I24" s="105" t="s">
        <v>342</v>
      </c>
      <c r="J24" s="105" t="s">
        <v>351</v>
      </c>
      <c r="K24" s="67">
        <v>1000</v>
      </c>
    </row>
    <row r="25" spans="2:11" ht="6.75" customHeight="1">
      <c r="B25" s="289"/>
      <c r="C25" s="88" t="s">
        <v>188</v>
      </c>
      <c r="D25" s="88" t="s">
        <v>232</v>
      </c>
      <c r="E25" s="71" t="s">
        <v>187</v>
      </c>
      <c r="F25" s="70" t="s">
        <v>126</v>
      </c>
      <c r="G25" s="68" t="s">
        <v>186</v>
      </c>
      <c r="H25" s="68" t="s">
        <v>193</v>
      </c>
      <c r="I25" s="68" t="s">
        <v>193</v>
      </c>
      <c r="J25" s="68" t="s">
        <v>193</v>
      </c>
      <c r="K25" s="67">
        <v>50</v>
      </c>
    </row>
    <row r="26" spans="2:11" ht="6.75" customHeight="1">
      <c r="B26" s="289"/>
      <c r="C26" s="88" t="s">
        <v>184</v>
      </c>
      <c r="D26" s="88" t="s">
        <v>232</v>
      </c>
      <c r="E26" s="71" t="s">
        <v>183</v>
      </c>
      <c r="F26" s="70" t="s">
        <v>126</v>
      </c>
      <c r="G26" s="77">
        <v>1.46</v>
      </c>
      <c r="H26" s="79" t="s">
        <v>331</v>
      </c>
      <c r="I26" s="79" t="s">
        <v>269</v>
      </c>
      <c r="J26" s="79" t="s">
        <v>352</v>
      </c>
      <c r="K26" s="67">
        <v>1500</v>
      </c>
    </row>
    <row r="27" spans="2:11" ht="6.75" customHeight="1">
      <c r="B27" s="289"/>
      <c r="C27" s="88" t="s">
        <v>182</v>
      </c>
      <c r="D27" s="88" t="s">
        <v>232</v>
      </c>
      <c r="E27" s="71" t="s">
        <v>138</v>
      </c>
      <c r="F27" s="70" t="s">
        <v>126</v>
      </c>
      <c r="G27" s="78" t="s">
        <v>53</v>
      </c>
      <c r="H27" s="78" t="s">
        <v>53</v>
      </c>
      <c r="I27" s="78" t="s">
        <v>150</v>
      </c>
      <c r="J27" s="78" t="s">
        <v>53</v>
      </c>
      <c r="K27" s="67">
        <v>1</v>
      </c>
    </row>
    <row r="28" spans="2:11" ht="6.75" customHeight="1">
      <c r="B28" s="289"/>
      <c r="C28" s="88" t="s">
        <v>181</v>
      </c>
      <c r="D28" s="88" t="s">
        <v>232</v>
      </c>
      <c r="E28" s="71" t="s">
        <v>130</v>
      </c>
      <c r="F28" s="70" t="s">
        <v>126</v>
      </c>
      <c r="G28" s="68" t="s">
        <v>142</v>
      </c>
      <c r="H28" s="68" t="s">
        <v>137</v>
      </c>
      <c r="I28" s="68" t="s">
        <v>137</v>
      </c>
      <c r="J28" s="68" t="s">
        <v>137</v>
      </c>
      <c r="K28" s="72">
        <v>0.1</v>
      </c>
    </row>
    <row r="29" spans="2:11" ht="6.75" customHeight="1">
      <c r="B29" s="289"/>
      <c r="C29" s="88" t="s">
        <v>180</v>
      </c>
      <c r="D29" s="88" t="s">
        <v>232</v>
      </c>
      <c r="E29" s="71" t="s">
        <v>130</v>
      </c>
      <c r="F29" s="70" t="s">
        <v>126</v>
      </c>
      <c r="G29" s="68" t="s">
        <v>142</v>
      </c>
      <c r="H29" s="68" t="s">
        <v>142</v>
      </c>
      <c r="I29" s="68" t="s">
        <v>142</v>
      </c>
      <c r="J29" s="68" t="s">
        <v>142</v>
      </c>
      <c r="K29" s="73">
        <v>0.01</v>
      </c>
    </row>
    <row r="30" spans="2:11" ht="6.75" customHeight="1">
      <c r="B30" s="289"/>
      <c r="C30" s="88" t="s">
        <v>179</v>
      </c>
      <c r="D30" s="88" t="s">
        <v>232</v>
      </c>
      <c r="E30" s="71" t="s">
        <v>130</v>
      </c>
      <c r="F30" s="70" t="s">
        <v>126</v>
      </c>
      <c r="G30" s="68" t="s">
        <v>142</v>
      </c>
      <c r="H30" s="68" t="s">
        <v>173</v>
      </c>
      <c r="I30" s="68" t="s">
        <v>173</v>
      </c>
      <c r="J30" s="68" t="s">
        <v>173</v>
      </c>
      <c r="K30" s="72">
        <v>0.1</v>
      </c>
    </row>
    <row r="31" spans="2:11" ht="6.75" customHeight="1">
      <c r="B31" s="289"/>
      <c r="C31" s="88" t="s">
        <v>178</v>
      </c>
      <c r="D31" s="88" t="s">
        <v>232</v>
      </c>
      <c r="E31" s="71" t="s">
        <v>130</v>
      </c>
      <c r="F31" s="70" t="s">
        <v>126</v>
      </c>
      <c r="G31" s="68" t="s">
        <v>142</v>
      </c>
      <c r="H31" s="68" t="s">
        <v>173</v>
      </c>
      <c r="I31" s="68" t="s">
        <v>173</v>
      </c>
      <c r="J31" s="68" t="s">
        <v>173</v>
      </c>
      <c r="K31" s="73">
        <v>0.05</v>
      </c>
    </row>
    <row r="32" spans="2:11" ht="6.75" customHeight="1">
      <c r="B32" s="289"/>
      <c r="C32" s="88" t="s">
        <v>177</v>
      </c>
      <c r="D32" s="88" t="s">
        <v>232</v>
      </c>
      <c r="E32" s="71" t="s">
        <v>130</v>
      </c>
      <c r="F32" s="70" t="s">
        <v>126</v>
      </c>
      <c r="G32" s="68" t="s">
        <v>142</v>
      </c>
      <c r="H32" s="68" t="s">
        <v>173</v>
      </c>
      <c r="I32" s="68" t="s">
        <v>173</v>
      </c>
      <c r="J32" s="68" t="s">
        <v>173</v>
      </c>
      <c r="K32" s="73">
        <v>0.01</v>
      </c>
    </row>
    <row r="33" spans="2:11" ht="6.75" customHeight="1">
      <c r="B33" s="289"/>
      <c r="C33" s="88" t="s">
        <v>176</v>
      </c>
      <c r="D33" s="88" t="s">
        <v>232</v>
      </c>
      <c r="E33" s="71" t="s">
        <v>130</v>
      </c>
      <c r="F33" s="70" t="s">
        <v>126</v>
      </c>
      <c r="G33" s="68" t="s">
        <v>142</v>
      </c>
      <c r="H33" s="68" t="s">
        <v>132</v>
      </c>
      <c r="I33" s="68" t="s">
        <v>132</v>
      </c>
      <c r="J33" s="68" t="s">
        <v>132</v>
      </c>
      <c r="K33" s="67">
        <v>5</v>
      </c>
    </row>
    <row r="34" spans="2:11" ht="6.75" customHeight="1">
      <c r="B34" s="289"/>
      <c r="C34" s="88" t="s">
        <v>175</v>
      </c>
      <c r="D34" s="88" t="s">
        <v>232</v>
      </c>
      <c r="E34" s="71" t="s">
        <v>130</v>
      </c>
      <c r="F34" s="70" t="s">
        <v>126</v>
      </c>
      <c r="G34" s="68" t="s">
        <v>142</v>
      </c>
      <c r="H34" s="68" t="s">
        <v>142</v>
      </c>
      <c r="I34" s="68" t="s">
        <v>142</v>
      </c>
      <c r="J34" s="68" t="s">
        <v>142</v>
      </c>
      <c r="K34" s="73">
        <v>0.01</v>
      </c>
    </row>
    <row r="35" spans="2:11" ht="6.75" customHeight="1">
      <c r="B35" s="289"/>
      <c r="C35" s="88" t="s">
        <v>174</v>
      </c>
      <c r="D35" s="88" t="s">
        <v>232</v>
      </c>
      <c r="E35" s="71" t="s">
        <v>130</v>
      </c>
      <c r="F35" s="70" t="s">
        <v>126</v>
      </c>
      <c r="G35" s="68" t="s">
        <v>142</v>
      </c>
      <c r="H35" s="68" t="s">
        <v>173</v>
      </c>
      <c r="I35" s="68" t="s">
        <v>173</v>
      </c>
      <c r="J35" s="68" t="s">
        <v>173</v>
      </c>
      <c r="K35" s="72">
        <v>0.1</v>
      </c>
    </row>
    <row r="36" spans="2:11" ht="6.75" customHeight="1">
      <c r="B36" s="289"/>
      <c r="C36" s="88" t="s">
        <v>172</v>
      </c>
      <c r="D36" s="88" t="s">
        <v>232</v>
      </c>
      <c r="E36" s="71" t="s">
        <v>130</v>
      </c>
      <c r="F36" s="70" t="s">
        <v>126</v>
      </c>
      <c r="G36" s="77" t="s">
        <v>142</v>
      </c>
      <c r="H36" s="77" t="s">
        <v>132</v>
      </c>
      <c r="I36" s="77" t="s">
        <v>132</v>
      </c>
      <c r="J36" s="77" t="s">
        <v>132</v>
      </c>
      <c r="K36" s="67">
        <v>50</v>
      </c>
    </row>
    <row r="37" spans="2:11" ht="6.75" customHeight="1">
      <c r="B37" s="289"/>
      <c r="C37" s="88" t="s">
        <v>171</v>
      </c>
      <c r="D37" s="88" t="s">
        <v>232</v>
      </c>
      <c r="E37" s="71" t="s">
        <v>130</v>
      </c>
      <c r="F37" s="70" t="s">
        <v>126</v>
      </c>
      <c r="G37" s="68" t="s">
        <v>142</v>
      </c>
      <c r="H37" s="68" t="s">
        <v>170</v>
      </c>
      <c r="I37" s="68" t="s">
        <v>272</v>
      </c>
      <c r="J37" s="68" t="s">
        <v>170</v>
      </c>
      <c r="K37" s="72">
        <v>0.1</v>
      </c>
    </row>
    <row r="38" spans="2:11" ht="6.75" customHeight="1">
      <c r="B38" s="289"/>
      <c r="C38" s="88" t="s">
        <v>169</v>
      </c>
      <c r="D38" s="88" t="s">
        <v>232</v>
      </c>
      <c r="E38" s="71" t="s">
        <v>138</v>
      </c>
      <c r="F38" s="70" t="s">
        <v>126</v>
      </c>
      <c r="G38" s="68" t="s">
        <v>53</v>
      </c>
      <c r="H38" s="68" t="s">
        <v>254</v>
      </c>
      <c r="I38" s="68" t="s">
        <v>272</v>
      </c>
      <c r="J38" s="68" t="s">
        <v>254</v>
      </c>
      <c r="K38" s="72">
        <v>1.5</v>
      </c>
    </row>
    <row r="39" spans="2:11" ht="6.75" customHeight="1">
      <c r="B39" s="289"/>
      <c r="C39" s="88" t="s">
        <v>167</v>
      </c>
      <c r="D39" s="88" t="s">
        <v>232</v>
      </c>
      <c r="E39" s="71" t="s">
        <v>138</v>
      </c>
      <c r="F39" s="70" t="s">
        <v>126</v>
      </c>
      <c r="G39" s="68" t="s">
        <v>137</v>
      </c>
      <c r="H39" s="68" t="s">
        <v>166</v>
      </c>
      <c r="I39" s="68" t="s">
        <v>150</v>
      </c>
      <c r="J39" s="68" t="s">
        <v>166</v>
      </c>
      <c r="K39" s="73">
        <v>0.15</v>
      </c>
    </row>
    <row r="40" spans="2:11" ht="6.75" customHeight="1">
      <c r="B40" s="289"/>
      <c r="C40" s="88" t="s">
        <v>165</v>
      </c>
      <c r="D40" s="88" t="s">
        <v>232</v>
      </c>
      <c r="E40" s="71" t="s">
        <v>138</v>
      </c>
      <c r="F40" s="70" t="s">
        <v>126</v>
      </c>
      <c r="G40" s="68" t="s">
        <v>53</v>
      </c>
      <c r="H40" s="68" t="s">
        <v>52</v>
      </c>
      <c r="I40" s="68" t="s">
        <v>150</v>
      </c>
      <c r="J40" s="68" t="s">
        <v>52</v>
      </c>
      <c r="K40" s="72">
        <v>0.5</v>
      </c>
    </row>
    <row r="41" spans="2:11" ht="6.75" customHeight="1">
      <c r="B41" s="289"/>
      <c r="C41" s="88" t="s">
        <v>164</v>
      </c>
      <c r="D41" s="88" t="s">
        <v>232</v>
      </c>
      <c r="E41" s="71" t="s">
        <v>138</v>
      </c>
      <c r="F41" s="70" t="s">
        <v>126</v>
      </c>
      <c r="G41" s="68" t="s">
        <v>53</v>
      </c>
      <c r="H41" s="68" t="s">
        <v>256</v>
      </c>
      <c r="I41" s="68" t="s">
        <v>279</v>
      </c>
      <c r="J41" s="68" t="s">
        <v>256</v>
      </c>
      <c r="K41" s="67">
        <v>3</v>
      </c>
    </row>
    <row r="42" spans="2:11" ht="6.75" customHeight="1">
      <c r="B42" s="289"/>
      <c r="C42" s="88" t="s">
        <v>163</v>
      </c>
      <c r="D42" s="88" t="s">
        <v>232</v>
      </c>
      <c r="E42" s="71" t="s">
        <v>138</v>
      </c>
      <c r="F42" s="70" t="s">
        <v>126</v>
      </c>
      <c r="G42" s="68" t="s">
        <v>129</v>
      </c>
      <c r="H42" s="68" t="s">
        <v>162</v>
      </c>
      <c r="I42" s="68" t="s">
        <v>279</v>
      </c>
      <c r="J42" s="68" t="s">
        <v>162</v>
      </c>
      <c r="K42" s="73">
        <v>0.05</v>
      </c>
    </row>
    <row r="43" spans="2:11" ht="6.75" customHeight="1">
      <c r="B43" s="289"/>
      <c r="C43" s="88" t="s">
        <v>161</v>
      </c>
      <c r="D43" s="88" t="s">
        <v>232</v>
      </c>
      <c r="E43" s="71" t="s">
        <v>138</v>
      </c>
      <c r="F43" s="70" t="s">
        <v>126</v>
      </c>
      <c r="G43" s="68" t="s">
        <v>53</v>
      </c>
      <c r="H43" s="68" t="s">
        <v>256</v>
      </c>
      <c r="I43" s="68" t="s">
        <v>343</v>
      </c>
      <c r="J43" s="68" t="s">
        <v>256</v>
      </c>
      <c r="K43" s="72">
        <v>1.5</v>
      </c>
    </row>
    <row r="44" spans="2:11" ht="6.75" customHeight="1">
      <c r="B44" s="289"/>
      <c r="C44" s="88" t="s">
        <v>160</v>
      </c>
      <c r="D44" s="88" t="s">
        <v>232</v>
      </c>
      <c r="E44" s="71" t="s">
        <v>138</v>
      </c>
      <c r="F44" s="70" t="s">
        <v>126</v>
      </c>
      <c r="G44" s="68" t="s">
        <v>53</v>
      </c>
      <c r="H44" s="68" t="s">
        <v>52</v>
      </c>
      <c r="I44" s="68" t="s">
        <v>150</v>
      </c>
      <c r="J44" s="68" t="s">
        <v>52</v>
      </c>
      <c r="K44" s="72">
        <v>1.1000000000000001</v>
      </c>
    </row>
    <row r="45" spans="2:11" ht="6.75" customHeight="1">
      <c r="B45" s="289"/>
      <c r="C45" s="88" t="s">
        <v>159</v>
      </c>
      <c r="D45" s="88" t="s">
        <v>232</v>
      </c>
      <c r="E45" s="71" t="s">
        <v>138</v>
      </c>
      <c r="F45" s="70" t="s">
        <v>126</v>
      </c>
      <c r="G45" s="68" t="s">
        <v>137</v>
      </c>
      <c r="H45" s="68" t="s">
        <v>166</v>
      </c>
      <c r="I45" s="68" t="s">
        <v>150</v>
      </c>
      <c r="J45" s="68" t="s">
        <v>166</v>
      </c>
      <c r="K45" s="73">
        <v>0.15</v>
      </c>
    </row>
    <row r="46" spans="2:11" ht="6.75" customHeight="1">
      <c r="B46" s="289"/>
      <c r="C46" s="88" t="s">
        <v>158</v>
      </c>
      <c r="D46" s="88" t="s">
        <v>232</v>
      </c>
      <c r="E46" s="71" t="s">
        <v>138</v>
      </c>
      <c r="F46" s="70" t="s">
        <v>126</v>
      </c>
      <c r="G46" s="68" t="s">
        <v>137</v>
      </c>
      <c r="H46" s="68" t="s">
        <v>325</v>
      </c>
      <c r="I46" s="68" t="s">
        <v>170</v>
      </c>
      <c r="J46" s="68" t="s">
        <v>325</v>
      </c>
      <c r="K46" s="67">
        <v>10</v>
      </c>
    </row>
    <row r="47" spans="2:11" ht="6.75" customHeight="1">
      <c r="B47" s="289"/>
      <c r="C47" s="88" t="s">
        <v>157</v>
      </c>
      <c r="D47" s="88" t="s">
        <v>232</v>
      </c>
      <c r="E47" s="71" t="s">
        <v>138</v>
      </c>
      <c r="F47" s="70" t="s">
        <v>126</v>
      </c>
      <c r="G47" s="68" t="s">
        <v>53</v>
      </c>
      <c r="H47" s="68" t="s">
        <v>156</v>
      </c>
      <c r="I47" s="68" t="s">
        <v>150</v>
      </c>
      <c r="J47" s="68" t="s">
        <v>156</v>
      </c>
      <c r="K47" s="67">
        <v>810</v>
      </c>
    </row>
    <row r="48" spans="2:11" ht="6.75" customHeight="1">
      <c r="B48" s="289"/>
      <c r="C48" s="88" t="s">
        <v>155</v>
      </c>
      <c r="D48" s="88" t="s">
        <v>232</v>
      </c>
      <c r="E48" s="71" t="s">
        <v>138</v>
      </c>
      <c r="F48" s="70" t="s">
        <v>126</v>
      </c>
      <c r="G48" s="68" t="s">
        <v>74</v>
      </c>
      <c r="H48" s="68" t="s">
        <v>168</v>
      </c>
      <c r="I48" s="68" t="s">
        <v>74</v>
      </c>
      <c r="J48" s="68" t="s">
        <v>168</v>
      </c>
      <c r="K48" s="67">
        <v>60</v>
      </c>
    </row>
    <row r="49" spans="2:11" ht="6.75" customHeight="1">
      <c r="B49" s="289"/>
      <c r="C49" s="88" t="s">
        <v>154</v>
      </c>
      <c r="D49" s="88" t="s">
        <v>232</v>
      </c>
      <c r="E49" s="71" t="s">
        <v>138</v>
      </c>
      <c r="F49" s="70" t="s">
        <v>126</v>
      </c>
      <c r="G49" s="68" t="s">
        <v>53</v>
      </c>
      <c r="H49" s="68" t="s">
        <v>256</v>
      </c>
      <c r="I49" s="68" t="s">
        <v>344</v>
      </c>
      <c r="J49" s="68" t="s">
        <v>256</v>
      </c>
      <c r="K49" s="67">
        <v>60</v>
      </c>
    </row>
    <row r="50" spans="2:11" ht="6.75" customHeight="1">
      <c r="B50" s="289"/>
      <c r="C50" s="88" t="s">
        <v>152</v>
      </c>
      <c r="D50" s="88" t="s">
        <v>232</v>
      </c>
      <c r="E50" s="71" t="s">
        <v>138</v>
      </c>
      <c r="F50" s="70" t="s">
        <v>126</v>
      </c>
      <c r="G50" s="68" t="s">
        <v>53</v>
      </c>
      <c r="H50" s="68" t="s">
        <v>52</v>
      </c>
      <c r="I50" s="68" t="s">
        <v>279</v>
      </c>
      <c r="J50" s="68" t="s">
        <v>52</v>
      </c>
      <c r="K50" s="67">
        <v>60</v>
      </c>
    </row>
    <row r="51" spans="2:11" ht="6.75" customHeight="1">
      <c r="B51" s="289"/>
      <c r="C51" s="88" t="s">
        <v>151</v>
      </c>
      <c r="D51" s="88" t="s">
        <v>232</v>
      </c>
      <c r="E51" s="71" t="s">
        <v>138</v>
      </c>
      <c r="F51" s="70" t="s">
        <v>126</v>
      </c>
      <c r="G51" s="68" t="s">
        <v>137</v>
      </c>
      <c r="H51" s="68" t="s">
        <v>150</v>
      </c>
      <c r="I51" s="68" t="s">
        <v>279</v>
      </c>
      <c r="J51" s="68" t="s">
        <v>150</v>
      </c>
      <c r="K51" s="73">
        <v>0.15</v>
      </c>
    </row>
    <row r="52" spans="2:11" ht="6.75" customHeight="1">
      <c r="B52" s="289"/>
      <c r="C52" s="88" t="s">
        <v>149</v>
      </c>
      <c r="D52" s="88" t="s">
        <v>232</v>
      </c>
      <c r="E52" s="71" t="s">
        <v>138</v>
      </c>
      <c r="F52" s="70" t="s">
        <v>126</v>
      </c>
      <c r="G52" s="68" t="s">
        <v>129</v>
      </c>
      <c r="H52" s="68" t="s">
        <v>129</v>
      </c>
      <c r="I52" s="68" t="s">
        <v>279</v>
      </c>
      <c r="J52" s="68" t="s">
        <v>129</v>
      </c>
      <c r="K52" s="72">
        <v>0.2</v>
      </c>
    </row>
    <row r="53" spans="2:11" ht="6.75" customHeight="1">
      <c r="B53" s="289"/>
      <c r="C53" s="88" t="s">
        <v>147</v>
      </c>
      <c r="D53" s="88" t="s">
        <v>232</v>
      </c>
      <c r="E53" s="71" t="s">
        <v>138</v>
      </c>
      <c r="F53" s="70" t="s">
        <v>126</v>
      </c>
      <c r="G53" s="68" t="s">
        <v>137</v>
      </c>
      <c r="H53" s="68" t="s">
        <v>148</v>
      </c>
      <c r="I53" s="68" t="s">
        <v>150</v>
      </c>
      <c r="J53" s="68" t="s">
        <v>148</v>
      </c>
      <c r="K53" s="74">
        <v>1E-3</v>
      </c>
    </row>
    <row r="54" spans="2:11" ht="6.75" customHeight="1">
      <c r="B54" s="289"/>
      <c r="C54" s="88" t="s">
        <v>146</v>
      </c>
      <c r="D54" s="88" t="s">
        <v>232</v>
      </c>
      <c r="E54" s="71" t="s">
        <v>138</v>
      </c>
      <c r="F54" s="70" t="s">
        <v>126</v>
      </c>
      <c r="G54" s="68" t="s">
        <v>143</v>
      </c>
      <c r="H54" s="68" t="s">
        <v>173</v>
      </c>
      <c r="I54" s="68" t="s">
        <v>281</v>
      </c>
      <c r="J54" s="68" t="s">
        <v>173</v>
      </c>
      <c r="K54" s="73">
        <v>0.05</v>
      </c>
    </row>
    <row r="55" spans="2:11" ht="6.75" customHeight="1">
      <c r="B55" s="289"/>
      <c r="C55" s="88" t="s">
        <v>145</v>
      </c>
      <c r="D55" s="88" t="s">
        <v>232</v>
      </c>
      <c r="E55" s="71" t="s">
        <v>138</v>
      </c>
      <c r="F55" s="70" t="s">
        <v>126</v>
      </c>
      <c r="G55" s="68" t="s">
        <v>137</v>
      </c>
      <c r="H55" s="68" t="s">
        <v>153</v>
      </c>
      <c r="I55" s="68" t="s">
        <v>129</v>
      </c>
      <c r="J55" s="68" t="s">
        <v>153</v>
      </c>
      <c r="K55" s="72">
        <v>0.3</v>
      </c>
    </row>
    <row r="56" spans="2:11" ht="6.75" customHeight="1">
      <c r="B56" s="289"/>
      <c r="C56" s="88" t="s">
        <v>144</v>
      </c>
      <c r="D56" s="88" t="s">
        <v>232</v>
      </c>
      <c r="E56" s="71" t="s">
        <v>138</v>
      </c>
      <c r="F56" s="70" t="s">
        <v>126</v>
      </c>
      <c r="G56" s="68" t="s">
        <v>143</v>
      </c>
      <c r="H56" s="68" t="s">
        <v>142</v>
      </c>
      <c r="I56" s="68" t="s">
        <v>281</v>
      </c>
      <c r="J56" s="68" t="s">
        <v>142</v>
      </c>
      <c r="K56" s="74">
        <v>1E-3</v>
      </c>
    </row>
    <row r="57" spans="2:11" ht="6.75" customHeight="1">
      <c r="B57" s="289"/>
      <c r="C57" s="88" t="s">
        <v>141</v>
      </c>
      <c r="D57" s="88" t="s">
        <v>232</v>
      </c>
      <c r="E57" s="71" t="s">
        <v>138</v>
      </c>
      <c r="F57" s="70" t="s">
        <v>126</v>
      </c>
      <c r="G57" s="68" t="s">
        <v>137</v>
      </c>
      <c r="H57" s="68" t="s">
        <v>140</v>
      </c>
      <c r="I57" s="68" t="s">
        <v>150</v>
      </c>
      <c r="J57" s="68" t="s">
        <v>140</v>
      </c>
      <c r="K57" s="73">
        <v>0.13</v>
      </c>
    </row>
    <row r="58" spans="2:11" ht="6.75" customHeight="1">
      <c r="B58" s="289"/>
      <c r="C58" s="88" t="s">
        <v>139</v>
      </c>
      <c r="D58" s="88" t="s">
        <v>232</v>
      </c>
      <c r="E58" s="71" t="s">
        <v>138</v>
      </c>
      <c r="F58" s="70" t="s">
        <v>126</v>
      </c>
      <c r="G58" s="68" t="s">
        <v>137</v>
      </c>
      <c r="H58" s="68" t="s">
        <v>136</v>
      </c>
      <c r="I58" s="68" t="s">
        <v>150</v>
      </c>
      <c r="J58" s="68" t="s">
        <v>136</v>
      </c>
      <c r="K58" s="73">
        <v>0.17</v>
      </c>
    </row>
    <row r="59" spans="2:11" ht="6.75" customHeight="1">
      <c r="B59" s="289"/>
      <c r="C59" s="88" t="s">
        <v>135</v>
      </c>
      <c r="D59" s="88" t="s">
        <v>232</v>
      </c>
      <c r="E59" s="71" t="s">
        <v>130</v>
      </c>
      <c r="F59" s="70" t="s">
        <v>126</v>
      </c>
      <c r="G59" s="68" t="s">
        <v>129</v>
      </c>
      <c r="H59" s="68" t="s">
        <v>132</v>
      </c>
      <c r="I59" s="68" t="s">
        <v>132</v>
      </c>
      <c r="J59" s="68" t="s">
        <v>132</v>
      </c>
      <c r="K59" s="67">
        <v>180</v>
      </c>
    </row>
    <row r="60" spans="2:11" ht="6.75" customHeight="1">
      <c r="B60" s="289"/>
      <c r="C60" s="88" t="s">
        <v>134</v>
      </c>
      <c r="D60" s="88" t="s">
        <v>232</v>
      </c>
      <c r="E60" s="71" t="s">
        <v>130</v>
      </c>
      <c r="F60" s="70" t="s">
        <v>126</v>
      </c>
      <c r="G60" s="68" t="s">
        <v>129</v>
      </c>
      <c r="H60" s="68" t="s">
        <v>132</v>
      </c>
      <c r="I60" s="68" t="s">
        <v>132</v>
      </c>
      <c r="J60" s="68" t="s">
        <v>132</v>
      </c>
      <c r="K60" s="67">
        <v>110</v>
      </c>
    </row>
    <row r="61" spans="2:11" ht="6.75" customHeight="1">
      <c r="B61" s="289"/>
      <c r="C61" s="88" t="s">
        <v>133</v>
      </c>
      <c r="D61" s="88" t="s">
        <v>232</v>
      </c>
      <c r="E61" s="71" t="s">
        <v>130</v>
      </c>
      <c r="F61" s="70" t="s">
        <v>126</v>
      </c>
      <c r="G61" s="68" t="s">
        <v>129</v>
      </c>
      <c r="H61" s="68" t="s">
        <v>132</v>
      </c>
      <c r="I61" s="68" t="s">
        <v>132</v>
      </c>
      <c r="J61" s="68" t="s">
        <v>132</v>
      </c>
      <c r="K61" s="67">
        <v>5</v>
      </c>
    </row>
    <row r="62" spans="2:11" ht="6.75" customHeight="1">
      <c r="B62" s="289"/>
      <c r="C62" s="88" t="s">
        <v>131</v>
      </c>
      <c r="D62" s="88" t="s">
        <v>232</v>
      </c>
      <c r="E62" s="71" t="s">
        <v>130</v>
      </c>
      <c r="F62" s="70" t="s">
        <v>126</v>
      </c>
      <c r="G62" s="68" t="s">
        <v>129</v>
      </c>
      <c r="H62" s="68" t="s">
        <v>53</v>
      </c>
      <c r="I62" s="68" t="s">
        <v>53</v>
      </c>
      <c r="J62" s="68" t="s">
        <v>53</v>
      </c>
      <c r="K62" s="72">
        <v>0.5</v>
      </c>
    </row>
    <row r="63" spans="2:11" ht="6.75" customHeight="1">
      <c r="B63" s="289"/>
      <c r="C63" s="108" t="s">
        <v>128</v>
      </c>
      <c r="D63" s="108" t="s">
        <v>232</v>
      </c>
      <c r="E63" s="109" t="s">
        <v>127</v>
      </c>
      <c r="F63" s="110" t="s">
        <v>126</v>
      </c>
      <c r="G63" s="115" t="s">
        <v>125</v>
      </c>
      <c r="H63" s="115" t="s">
        <v>260</v>
      </c>
      <c r="I63" s="115" t="s">
        <v>260</v>
      </c>
      <c r="J63" s="115" t="s">
        <v>260</v>
      </c>
      <c r="K63" s="67">
        <v>350</v>
      </c>
    </row>
    <row r="64" spans="2:11" ht="6.6" customHeight="1">
      <c r="B64" s="290"/>
      <c r="C64" s="112" t="s">
        <v>246</v>
      </c>
      <c r="D64" s="112" t="s">
        <v>74</v>
      </c>
      <c r="E64" s="113" t="s">
        <v>248</v>
      </c>
      <c r="F64" s="114" t="s">
        <v>126</v>
      </c>
      <c r="G64" s="117" t="s">
        <v>125</v>
      </c>
      <c r="H64" s="117" t="s">
        <v>261</v>
      </c>
      <c r="I64" s="117" t="s">
        <v>261</v>
      </c>
      <c r="J64" s="117" t="s">
        <v>261</v>
      </c>
      <c r="K64" s="124" t="s">
        <v>74</v>
      </c>
    </row>
    <row r="65" spans="2:11" ht="6.6" customHeight="1">
      <c r="B65" s="290"/>
      <c r="C65" s="112" t="s">
        <v>247</v>
      </c>
      <c r="D65" s="112" t="s">
        <v>74</v>
      </c>
      <c r="E65" s="113" t="s">
        <v>249</v>
      </c>
      <c r="F65" s="114" t="s">
        <v>126</v>
      </c>
      <c r="G65" s="117" t="s">
        <v>125</v>
      </c>
      <c r="H65" s="117" t="s">
        <v>260</v>
      </c>
      <c r="I65" s="117" t="s">
        <v>260</v>
      </c>
      <c r="J65" s="117" t="s">
        <v>260</v>
      </c>
      <c r="K65" s="124" t="s">
        <v>74</v>
      </c>
    </row>
    <row r="66" spans="2:11" ht="6.6" customHeight="1"/>
    <row r="67" spans="2:11" ht="6.6" customHeight="1"/>
    <row r="68" spans="2:11" ht="6.6" customHeight="1"/>
    <row r="69" spans="2:11" ht="6.6" customHeight="1"/>
    <row r="70" spans="2:11" ht="6.6" customHeight="1"/>
    <row r="71" spans="2:11" ht="6.6" customHeight="1"/>
    <row r="72" spans="2:11" ht="6.6" customHeight="1"/>
    <row r="73" spans="2:11" ht="6.6" customHeight="1"/>
    <row r="74" spans="2:11" ht="6.6" customHeight="1"/>
    <row r="75" spans="2:11" ht="6.6" customHeight="1"/>
    <row r="76" spans="2:11" ht="6.6" customHeight="1"/>
    <row r="77" spans="2:11" ht="6.6" customHeight="1"/>
    <row r="78" spans="2:11" ht="6.6" customHeight="1"/>
    <row r="79" spans="2:11" ht="6.6" customHeight="1"/>
    <row r="80" spans="2:11" ht="6.6" customHeight="1"/>
    <row r="81" ht="6.6" customHeight="1"/>
    <row r="82" ht="6.6" customHeight="1"/>
    <row r="83" ht="6.6" customHeight="1"/>
    <row r="84" ht="6.6" customHeight="1"/>
    <row r="85" ht="6.6" customHeight="1"/>
    <row r="86" ht="6.6" customHeight="1"/>
    <row r="87" ht="6.6" customHeight="1"/>
    <row r="88" ht="6.6" customHeight="1"/>
    <row r="89" ht="6.6" customHeight="1"/>
    <row r="90" ht="6.6" customHeight="1"/>
    <row r="91" ht="6.6" customHeight="1"/>
    <row r="92" ht="6.6" customHeight="1"/>
    <row r="93" ht="6.6" customHeight="1"/>
    <row r="94" ht="6.6" customHeight="1"/>
    <row r="95" ht="6.6" customHeight="1"/>
    <row r="96" ht="6.6" customHeight="1"/>
    <row r="97" ht="6.6" customHeight="1"/>
    <row r="98" ht="6.6" customHeight="1"/>
    <row r="99" ht="6.6" customHeight="1"/>
    <row r="100" ht="6.6" customHeight="1"/>
    <row r="101" ht="6.6" customHeight="1"/>
    <row r="102" ht="6.6" customHeight="1"/>
    <row r="103" ht="6.6" customHeight="1"/>
    <row r="104" ht="6.6" customHeight="1"/>
    <row r="105" ht="6.6" customHeight="1"/>
    <row r="106" ht="6.6" customHeight="1"/>
    <row r="107" ht="6.6" customHeight="1"/>
    <row r="108" ht="6.6" customHeight="1"/>
    <row r="109" ht="6.6" customHeight="1"/>
    <row r="110" ht="6.6" customHeight="1"/>
    <row r="111" ht="6.6" customHeight="1"/>
    <row r="112" ht="6.6" customHeight="1"/>
    <row r="113" ht="6.6" customHeight="1"/>
    <row r="114" ht="6.6" customHeight="1"/>
    <row r="115" ht="6.6" customHeight="1"/>
    <row r="116" ht="6.6" customHeight="1"/>
    <row r="117" ht="6.6" customHeight="1"/>
    <row r="118" ht="6.6" customHeight="1"/>
    <row r="119" ht="6.6" customHeight="1"/>
    <row r="120" ht="6.6" customHeight="1"/>
    <row r="121" ht="6.6" customHeight="1"/>
    <row r="122" ht="6.6" customHeight="1"/>
    <row r="123" ht="6.6" customHeight="1"/>
    <row r="124" ht="6.6" customHeight="1"/>
    <row r="125" ht="6.6" customHeight="1"/>
    <row r="126" ht="6.6" customHeight="1"/>
    <row r="127" ht="6.6" customHeight="1"/>
    <row r="128" ht="6.6" customHeight="1"/>
    <row r="129" ht="6.6" customHeight="1"/>
    <row r="130" ht="6.6" customHeight="1"/>
    <row r="131" ht="6.6" customHeight="1"/>
    <row r="132" ht="6.6" customHeight="1"/>
    <row r="133" ht="6.6" customHeight="1"/>
    <row r="134" ht="6.6" customHeight="1"/>
    <row r="135" ht="6.6" customHeight="1"/>
    <row r="136" ht="6.6" customHeight="1"/>
    <row r="137" ht="6.6" customHeight="1"/>
    <row r="138" ht="6.6" customHeight="1"/>
    <row r="139" ht="6.6" customHeight="1"/>
    <row r="140" ht="6.6" customHeight="1"/>
    <row r="141" ht="6.6" customHeight="1"/>
    <row r="142" ht="6.6" customHeight="1"/>
    <row r="143" ht="6.6" customHeight="1"/>
    <row r="144" ht="6.6" customHeight="1"/>
    <row r="145" ht="6.6" customHeight="1"/>
    <row r="146" ht="6.6" customHeight="1"/>
    <row r="147" ht="6.6" customHeight="1"/>
    <row r="148" ht="6.6" customHeight="1"/>
    <row r="149" ht="6.6" customHeight="1"/>
    <row r="150" ht="6.6" customHeight="1"/>
    <row r="151" ht="6.6" customHeight="1"/>
    <row r="152" ht="6.6" customHeight="1"/>
    <row r="153" ht="6.6" customHeight="1"/>
    <row r="154" ht="6.6" customHeight="1"/>
    <row r="155" ht="6.6" customHeight="1"/>
    <row r="156" ht="6.6" customHeight="1"/>
    <row r="157" ht="6.6" customHeight="1"/>
    <row r="158" ht="6.6" customHeight="1"/>
    <row r="159" ht="6.6" customHeight="1"/>
    <row r="160" ht="6.6" customHeight="1"/>
    <row r="161" ht="6.6" customHeight="1"/>
    <row r="162" ht="6.6" customHeight="1"/>
    <row r="163" ht="6.6" customHeight="1"/>
    <row r="164" ht="6.6" customHeight="1"/>
    <row r="165" ht="6.6" customHeight="1"/>
    <row r="166" ht="6.6" customHeight="1"/>
    <row r="167" ht="6.6" customHeight="1"/>
    <row r="168" ht="6.6" customHeight="1"/>
    <row r="169" ht="6.6" customHeight="1"/>
    <row r="170" ht="6.6" customHeight="1"/>
    <row r="171" ht="6.6" customHeight="1"/>
    <row r="172" ht="6.6" customHeight="1"/>
    <row r="173" ht="6.6" customHeight="1"/>
    <row r="174" ht="6.6" customHeight="1"/>
    <row r="175" ht="6.6" customHeight="1"/>
    <row r="176" ht="6.6" customHeight="1"/>
    <row r="177" ht="6.6" customHeight="1"/>
    <row r="178" ht="6.6" customHeight="1"/>
    <row r="179" ht="6.6" customHeight="1"/>
    <row r="180" ht="6.6" customHeight="1"/>
    <row r="181" ht="6.6" customHeight="1"/>
    <row r="182" ht="6.6" customHeight="1"/>
    <row r="183" ht="6.6" customHeight="1"/>
    <row r="184" ht="6.6" customHeight="1"/>
    <row r="185" ht="6.6" customHeight="1"/>
    <row r="186" ht="6.6" customHeight="1"/>
    <row r="187" ht="6.6" customHeight="1"/>
    <row r="188" ht="6.6" customHeight="1"/>
    <row r="189" ht="6.6" customHeight="1"/>
    <row r="190" ht="6.6" customHeight="1"/>
    <row r="191" ht="6.6" customHeight="1"/>
    <row r="192" ht="6.6" customHeight="1"/>
    <row r="193" ht="6.6" customHeight="1"/>
    <row r="194" ht="6.6" customHeight="1"/>
    <row r="195" ht="6.6" customHeight="1"/>
    <row r="196" ht="6.6" customHeight="1"/>
    <row r="197" ht="6.6" customHeight="1"/>
    <row r="198" ht="6.6" customHeight="1"/>
    <row r="199" ht="6.6" customHeight="1"/>
    <row r="200" ht="6.6" customHeight="1"/>
    <row r="201" ht="6.6" customHeight="1"/>
    <row r="202" ht="6.6" customHeight="1"/>
    <row r="203" ht="6.6" customHeight="1"/>
    <row r="204" ht="6.6" customHeight="1"/>
    <row r="205" ht="6.6" customHeight="1"/>
    <row r="206" ht="6.6" customHeight="1"/>
    <row r="207" ht="6.6" customHeight="1"/>
    <row r="208" ht="6.6" customHeight="1"/>
    <row r="209" ht="6.6" customHeight="1"/>
    <row r="210" ht="6.6" customHeight="1"/>
    <row r="211" ht="6.6" customHeight="1"/>
    <row r="212" ht="6.6" customHeight="1"/>
    <row r="213" ht="6.6" customHeight="1"/>
    <row r="214" ht="6.6" customHeight="1"/>
    <row r="215" ht="6.6" customHeight="1"/>
    <row r="216" ht="6.6" customHeight="1"/>
    <row r="217" ht="6.6" customHeight="1"/>
    <row r="218" ht="6.6" customHeight="1"/>
    <row r="219" ht="6.6" customHeight="1"/>
    <row r="220" ht="6.6" customHeight="1"/>
    <row r="221" ht="6.6" customHeight="1"/>
    <row r="222" ht="6.6" customHeight="1"/>
    <row r="223" ht="6.6" customHeight="1"/>
    <row r="224" ht="6.6" customHeight="1"/>
    <row r="225" ht="6.6" customHeight="1"/>
    <row r="226" ht="6.6" customHeight="1"/>
    <row r="227" ht="6.6" customHeight="1"/>
    <row r="228" ht="6.6" customHeight="1"/>
    <row r="229" ht="6.6" customHeight="1"/>
    <row r="230" ht="6.6" customHeight="1"/>
    <row r="231" ht="6.6" customHeight="1"/>
    <row r="232" ht="6.6" customHeight="1"/>
    <row r="233" ht="6.6" customHeight="1"/>
    <row r="234" ht="6.6" customHeight="1"/>
    <row r="235" ht="6.6" customHeight="1"/>
    <row r="236" ht="6.6" customHeight="1"/>
    <row r="237" ht="6.6" customHeight="1"/>
    <row r="238" ht="6.6" customHeight="1"/>
    <row r="239" ht="6.6" customHeight="1"/>
    <row r="240" ht="6.6" customHeight="1"/>
    <row r="241" ht="6.6" customHeight="1"/>
    <row r="242" ht="6.6" customHeight="1"/>
    <row r="243" ht="6.6" customHeight="1"/>
    <row r="244" ht="6.6" customHeight="1"/>
    <row r="245" ht="6.6" customHeight="1"/>
    <row r="246" ht="6.6" customHeight="1"/>
    <row r="247" ht="6.6" customHeight="1"/>
    <row r="248" ht="6.6" customHeight="1"/>
    <row r="249" ht="6.6" customHeight="1"/>
    <row r="250" ht="6.6" customHeight="1"/>
    <row r="251" ht="6.6" customHeight="1"/>
    <row r="252" ht="6.6" customHeight="1"/>
    <row r="253" ht="6.6" customHeight="1"/>
    <row r="254" ht="6.6" customHeight="1"/>
    <row r="255" ht="6.6" customHeight="1"/>
    <row r="256" ht="6.6" customHeight="1"/>
    <row r="257" ht="6.6" customHeight="1"/>
    <row r="258" ht="6.6" customHeight="1"/>
    <row r="259" ht="6.6" customHeight="1"/>
    <row r="260" ht="6.6" customHeight="1"/>
    <row r="261" ht="6.6" customHeight="1"/>
    <row r="262" ht="6.6" customHeight="1"/>
    <row r="263" ht="6.6" customHeight="1"/>
    <row r="264" ht="6.6" customHeight="1"/>
    <row r="265" ht="6.6" customHeight="1"/>
    <row r="266" ht="6.6" customHeight="1"/>
    <row r="267" ht="6.6" customHeight="1"/>
    <row r="268" ht="6.6" customHeight="1"/>
    <row r="269" ht="6.6" customHeight="1"/>
    <row r="270" ht="6.6" customHeight="1"/>
    <row r="271" ht="6.6" customHeight="1"/>
    <row r="272" ht="6.6" customHeight="1"/>
    <row r="273" ht="6.6" customHeight="1"/>
    <row r="274" ht="6.6" customHeight="1"/>
    <row r="275" ht="6.6" customHeight="1"/>
    <row r="276" ht="6.6" customHeight="1"/>
    <row r="277" ht="6.6" customHeight="1"/>
    <row r="278" ht="6.6" customHeight="1"/>
    <row r="279" ht="6.6" customHeight="1"/>
    <row r="280" ht="6.6" customHeight="1"/>
    <row r="281" ht="6.6" customHeight="1"/>
    <row r="282" ht="6.6" customHeight="1"/>
    <row r="283" ht="6.6" customHeight="1"/>
    <row r="284" ht="6.6" customHeight="1"/>
    <row r="285" ht="6.6" customHeight="1"/>
    <row r="286" ht="6.6" customHeight="1"/>
    <row r="287" ht="6.6" customHeight="1"/>
    <row r="288" ht="6.6" customHeight="1"/>
    <row r="289" ht="6.6" customHeight="1"/>
    <row r="290" ht="6.6" customHeight="1"/>
    <row r="291" ht="6.6" customHeight="1"/>
    <row r="292" ht="6.6" customHeight="1"/>
    <row r="293" ht="6.6" customHeight="1"/>
    <row r="294" ht="6.6" customHeight="1"/>
    <row r="295" ht="6.6" customHeight="1"/>
    <row r="296" ht="6.6" customHeight="1"/>
    <row r="297" ht="6.6" customHeight="1"/>
    <row r="298" ht="6.6" customHeight="1"/>
    <row r="299" ht="6.6" customHeight="1"/>
    <row r="300" ht="6.6" customHeight="1"/>
    <row r="301" ht="6.6" customHeight="1"/>
    <row r="302" ht="6.6" customHeight="1"/>
    <row r="303" ht="6.6" customHeight="1"/>
    <row r="304" ht="6.6" customHeight="1"/>
    <row r="305" ht="6.6" customHeight="1"/>
    <row r="306" ht="6.6" customHeight="1"/>
    <row r="307" ht="6.6" customHeight="1"/>
    <row r="308" ht="6.6" customHeight="1"/>
    <row r="309" ht="6.6" customHeight="1"/>
    <row r="310" ht="6.6" customHeight="1"/>
    <row r="311" ht="6.6" customHeight="1"/>
    <row r="312" ht="6.6" customHeight="1"/>
    <row r="313" ht="6.6" customHeight="1"/>
    <row r="314" ht="6.6" customHeight="1"/>
    <row r="315" ht="6.6" customHeight="1"/>
    <row r="316" ht="6.6" customHeight="1"/>
    <row r="317" ht="6.6" customHeight="1"/>
    <row r="318" ht="6.6" customHeight="1"/>
    <row r="319" ht="6.6" customHeight="1"/>
    <row r="320" ht="6.6" customHeight="1"/>
    <row r="321" ht="6.6" customHeight="1"/>
    <row r="322" ht="6.6" customHeight="1"/>
    <row r="323" ht="6.6" customHeight="1"/>
    <row r="324" ht="6.6" customHeight="1"/>
    <row r="325" ht="6.6" customHeight="1"/>
    <row r="326" ht="6.6" customHeight="1"/>
    <row r="327" ht="6.6" customHeight="1"/>
    <row r="328" ht="6.6" customHeight="1"/>
    <row r="329" ht="6.6" customHeight="1"/>
    <row r="330" ht="6.6" customHeight="1"/>
    <row r="331" ht="6.6" customHeight="1"/>
    <row r="332" ht="6.6" customHeight="1"/>
    <row r="333" ht="6.6" customHeight="1"/>
    <row r="334" ht="6.6" customHeight="1"/>
    <row r="335" ht="6.6" customHeight="1"/>
    <row r="336" ht="6.6" customHeight="1"/>
    <row r="337" ht="6.6" customHeight="1"/>
    <row r="338" ht="6.6" customHeight="1"/>
    <row r="339" ht="6.6" customHeight="1"/>
    <row r="340" ht="6.6" customHeight="1"/>
    <row r="341" ht="6.6" customHeight="1"/>
    <row r="342" ht="6.6" customHeight="1"/>
    <row r="343" ht="6.6" customHeight="1"/>
    <row r="344" ht="6.6" customHeight="1"/>
    <row r="345" ht="6.6" customHeight="1"/>
    <row r="346" ht="6.6" customHeight="1"/>
    <row r="347" ht="6.6" customHeight="1"/>
    <row r="348" ht="6.6" customHeight="1"/>
    <row r="349" ht="6.6" customHeight="1"/>
    <row r="350" ht="6.6" customHeight="1"/>
    <row r="351" ht="6.6" customHeight="1"/>
    <row r="352" ht="6.6" customHeight="1"/>
    <row r="353" ht="6.6" customHeight="1"/>
    <row r="354" ht="6.6" customHeight="1"/>
    <row r="355" ht="6.6" customHeight="1"/>
    <row r="356" ht="6.6" customHeight="1"/>
    <row r="357" ht="6.6" customHeight="1"/>
    <row r="358" ht="6.6" customHeight="1"/>
    <row r="359" ht="6.6" customHeight="1"/>
    <row r="360" ht="6.6" customHeight="1"/>
    <row r="361" ht="6.6" customHeight="1"/>
    <row r="362" ht="6.6" customHeight="1"/>
    <row r="363" ht="6.6" customHeight="1"/>
    <row r="364" ht="6.6" customHeight="1"/>
    <row r="365" ht="6.6" customHeight="1"/>
    <row r="366" ht="6.6" customHeight="1"/>
    <row r="367" ht="6.6" customHeight="1"/>
    <row r="368" ht="6.6" customHeight="1"/>
    <row r="369" ht="6.6" customHeight="1"/>
    <row r="370" ht="6.6" customHeight="1"/>
    <row r="371" ht="6.6" customHeight="1"/>
    <row r="372" ht="6.6" customHeight="1"/>
    <row r="373" ht="6.6" customHeight="1"/>
    <row r="374" ht="6.6" customHeight="1"/>
    <row r="375" ht="6.6" customHeight="1"/>
    <row r="376" ht="6.6" customHeight="1"/>
    <row r="377" ht="6.6" customHeight="1"/>
    <row r="378" ht="6.6" customHeight="1"/>
    <row r="379" ht="6.6" customHeight="1"/>
    <row r="380" ht="6.6" customHeight="1"/>
    <row r="381" ht="6.6" customHeight="1"/>
    <row r="382" ht="6.6" customHeight="1"/>
    <row r="383" ht="6.6" customHeight="1"/>
    <row r="384" ht="6.6" customHeight="1"/>
    <row r="385" ht="6.6" customHeight="1"/>
    <row r="386" ht="6.6" customHeight="1"/>
    <row r="387" ht="6.6" customHeight="1"/>
    <row r="388" ht="6.6" customHeight="1"/>
    <row r="389" ht="6.6" customHeight="1"/>
    <row r="390" ht="6.6" customHeight="1"/>
    <row r="391" ht="6.6" customHeight="1"/>
    <row r="392" ht="6.6" customHeight="1"/>
    <row r="393" ht="6.6" customHeight="1"/>
    <row r="394" ht="6.6" customHeight="1"/>
    <row r="395" ht="6.6" customHeight="1"/>
    <row r="396" ht="6.6" customHeight="1"/>
    <row r="397" ht="6.6" customHeight="1"/>
    <row r="398" ht="6.6" customHeight="1"/>
    <row r="399" ht="6.6" customHeight="1"/>
    <row r="400" ht="6.6" customHeight="1"/>
    <row r="401" ht="6.6" customHeight="1"/>
    <row r="402" ht="6.6" customHeight="1"/>
    <row r="403" ht="6.6" customHeight="1"/>
    <row r="404" ht="6.6" customHeight="1"/>
    <row r="405" ht="6.6" customHeight="1"/>
    <row r="406" ht="6.6" customHeight="1"/>
    <row r="407" ht="6.6" customHeight="1"/>
    <row r="408" ht="6.6" customHeight="1"/>
    <row r="409" ht="6.6" customHeight="1"/>
    <row r="410" ht="6.6" customHeight="1"/>
    <row r="411" ht="6.6" customHeight="1"/>
    <row r="412" ht="6.6" customHeight="1"/>
    <row r="413" ht="6.6" customHeight="1"/>
    <row r="414" ht="6.6" customHeight="1"/>
    <row r="415" ht="6.6" customHeight="1"/>
    <row r="416" ht="6.6" customHeight="1"/>
    <row r="417" ht="6.6" customHeight="1"/>
    <row r="418" ht="6.6" customHeight="1"/>
    <row r="419" ht="6.6" customHeight="1"/>
    <row r="420" ht="6.6" customHeight="1"/>
    <row r="421" ht="6.6" customHeight="1"/>
    <row r="422" ht="6.6" customHeight="1"/>
    <row r="423" ht="6.6" customHeight="1"/>
    <row r="424" ht="6.6" customHeight="1"/>
    <row r="425" ht="6.6" customHeight="1"/>
    <row r="426" ht="6.6" customHeight="1"/>
    <row r="427" ht="6.6" customHeight="1"/>
    <row r="428" ht="6.6" customHeight="1"/>
    <row r="429" ht="6.6" customHeight="1"/>
    <row r="430" ht="6.6" customHeight="1"/>
    <row r="431" ht="6.6" customHeight="1"/>
    <row r="432" ht="6.6" customHeight="1"/>
    <row r="433" ht="6.6" customHeight="1"/>
    <row r="434" ht="6.6" customHeight="1"/>
    <row r="435" ht="6.6" customHeight="1"/>
    <row r="436" ht="6.6" customHeight="1"/>
    <row r="437" ht="6.6" customHeight="1"/>
    <row r="438" ht="6.6" customHeight="1"/>
    <row r="439" ht="6.6" customHeight="1"/>
    <row r="440" ht="6.6" customHeight="1"/>
    <row r="441" ht="6.6" customHeight="1"/>
    <row r="442" ht="6.6" customHeight="1"/>
    <row r="443" ht="6.6" customHeight="1"/>
    <row r="444" ht="6.6" customHeight="1"/>
    <row r="445" ht="6.6" customHeight="1"/>
    <row r="446" ht="6.6" customHeight="1"/>
    <row r="447" ht="6.6" customHeight="1"/>
    <row r="448" ht="6.6" customHeight="1"/>
    <row r="449" ht="6.6" customHeight="1"/>
    <row r="450" ht="6.6" customHeight="1"/>
    <row r="451" ht="6.6" customHeight="1"/>
    <row r="452" ht="6.6" customHeight="1"/>
    <row r="453" ht="6.6" customHeight="1"/>
    <row r="454" ht="6.6" customHeight="1"/>
    <row r="455" ht="6.6" customHeight="1"/>
    <row r="456" ht="6.6" customHeight="1"/>
    <row r="457" ht="6.6" customHeight="1"/>
    <row r="458" ht="6.6" customHeight="1"/>
    <row r="459" ht="6.6" customHeight="1"/>
    <row r="460" ht="6.6" customHeight="1"/>
    <row r="461" ht="6.6" customHeight="1"/>
    <row r="462" ht="6.6" customHeight="1"/>
    <row r="463" ht="6.6" customHeight="1"/>
    <row r="464" ht="6.6" customHeight="1"/>
    <row r="465" ht="6.6" customHeight="1"/>
    <row r="466" ht="6.6" customHeight="1"/>
    <row r="467" ht="6.6" customHeight="1"/>
    <row r="468" ht="6.6" customHeight="1"/>
    <row r="469" ht="6.6" customHeight="1"/>
    <row r="470" ht="6.6" customHeight="1"/>
    <row r="471" ht="6.6" customHeight="1"/>
    <row r="472" ht="6.6" customHeight="1"/>
    <row r="473" ht="6.6" customHeight="1"/>
    <row r="474" ht="6.6" customHeight="1"/>
    <row r="475" ht="6.6" customHeight="1"/>
    <row r="476" ht="6.6" customHeight="1"/>
    <row r="477" ht="6.6" customHeight="1"/>
    <row r="478" ht="6.6" customHeight="1"/>
    <row r="479" ht="6.6" customHeight="1"/>
    <row r="480" ht="6.6" customHeight="1"/>
    <row r="481" ht="6.6" customHeight="1"/>
    <row r="482" ht="6.6" customHeight="1"/>
    <row r="483" ht="6.6" customHeight="1"/>
    <row r="484" ht="6.6" customHeight="1"/>
    <row r="485" ht="6.6" customHeight="1"/>
    <row r="486" ht="6.6" customHeight="1"/>
    <row r="487" ht="6.6" customHeight="1"/>
    <row r="488" ht="6.6" customHeight="1"/>
    <row r="489" ht="6.6" customHeight="1"/>
    <row r="490" ht="6.6" customHeight="1"/>
    <row r="491" ht="6.6" customHeight="1"/>
    <row r="492" ht="6.6" customHeight="1"/>
    <row r="493" ht="6.6" customHeight="1"/>
    <row r="494" ht="6.6" customHeight="1"/>
    <row r="495" ht="6.6" customHeight="1"/>
    <row r="496" ht="6.6" customHeight="1"/>
    <row r="497" ht="6.6" customHeight="1"/>
    <row r="498" ht="6.6" customHeight="1"/>
    <row r="499" ht="6.6" customHeight="1"/>
    <row r="500" ht="6.6" customHeight="1"/>
    <row r="501" ht="6.6" customHeight="1"/>
    <row r="502" ht="6.6" customHeight="1"/>
    <row r="503" ht="6.6" customHeight="1"/>
    <row r="504" ht="6.6" customHeight="1"/>
    <row r="505" ht="6.6" customHeight="1"/>
    <row r="506" ht="6.6" customHeight="1"/>
    <row r="507" ht="6.6" customHeight="1"/>
    <row r="508" ht="6.6" customHeight="1"/>
    <row r="509" ht="6.6" customHeight="1"/>
    <row r="510" ht="6.6" customHeight="1"/>
    <row r="511" ht="6.6" customHeight="1"/>
    <row r="512" ht="6.6" customHeight="1"/>
    <row r="513" ht="6.6" customHeight="1"/>
    <row r="514" ht="6.6" customHeight="1"/>
    <row r="515" ht="6.6" customHeight="1"/>
    <row r="516" ht="6.6" customHeight="1"/>
    <row r="517" ht="6.6" customHeight="1"/>
    <row r="518" ht="6.6" customHeight="1"/>
    <row r="519" ht="6.6" customHeight="1"/>
    <row r="520" ht="6.6" customHeight="1"/>
    <row r="521" ht="6.6" customHeight="1"/>
    <row r="522" ht="6.6" customHeight="1"/>
    <row r="523" ht="6.6" customHeight="1"/>
    <row r="524" ht="6.6" customHeight="1"/>
    <row r="525" ht="6.6" customHeight="1"/>
    <row r="526" ht="6.6" customHeight="1"/>
    <row r="527" ht="6.6" customHeight="1"/>
    <row r="528" ht="6.6" customHeight="1"/>
    <row r="529" ht="6.6" customHeight="1"/>
    <row r="530" ht="6.6" customHeight="1"/>
    <row r="531" ht="6.6" customHeight="1"/>
    <row r="532" ht="6.6" customHeight="1"/>
    <row r="533" ht="6.6" customHeight="1"/>
    <row r="534" ht="6.6" customHeight="1"/>
    <row r="535" ht="6.6" customHeight="1"/>
    <row r="536" ht="6.6" customHeight="1"/>
    <row r="537" ht="6.6" customHeight="1"/>
    <row r="538" ht="6.6" customHeight="1"/>
    <row r="539" ht="6.6" customHeight="1"/>
    <row r="540" ht="6.6" customHeight="1"/>
    <row r="541" ht="6.6" customHeight="1"/>
    <row r="542" ht="6.6" customHeight="1"/>
    <row r="543" ht="6.6" customHeight="1"/>
    <row r="544" ht="6.6" customHeight="1"/>
    <row r="545" ht="6.6" customHeight="1"/>
    <row r="546" ht="6.6" customHeight="1"/>
    <row r="547" ht="6.6" customHeight="1"/>
    <row r="548" ht="6.6" customHeight="1"/>
    <row r="549" ht="6.6" customHeight="1"/>
    <row r="550" ht="6.6" customHeight="1"/>
    <row r="551" ht="6.6" customHeight="1"/>
    <row r="552" ht="6.6" customHeight="1"/>
    <row r="553" ht="6.6" customHeight="1"/>
    <row r="554" ht="6.6" customHeight="1"/>
    <row r="555" ht="6.6" customHeight="1"/>
    <row r="556" ht="6.6" customHeight="1"/>
    <row r="557" ht="6.6" customHeight="1"/>
    <row r="558" ht="6.6" customHeight="1"/>
    <row r="559" ht="6.6" customHeight="1"/>
    <row r="560" ht="6.6" customHeight="1"/>
    <row r="561" ht="6.6" customHeight="1"/>
    <row r="562" ht="6.6" customHeight="1"/>
    <row r="563" ht="6.6" customHeight="1"/>
    <row r="564" ht="6.6" customHeight="1"/>
    <row r="565" ht="6.6" customHeight="1"/>
    <row r="566" ht="6.6" customHeight="1"/>
    <row r="567" ht="6.6" customHeight="1"/>
    <row r="568" ht="6.6" customHeight="1"/>
    <row r="569" ht="6.6" customHeight="1"/>
    <row r="570" ht="6.6" customHeight="1"/>
    <row r="571" ht="6.6" customHeight="1"/>
    <row r="572" ht="6.6" customHeight="1"/>
    <row r="573" ht="6.6" customHeight="1"/>
    <row r="574" ht="6.6" customHeight="1"/>
    <row r="575" ht="6.6" customHeight="1"/>
    <row r="576" ht="6.6" customHeight="1"/>
    <row r="577" ht="6.6" customHeight="1"/>
    <row r="578" ht="6.6" customHeight="1"/>
    <row r="579" ht="6.6" customHeight="1"/>
    <row r="580" ht="6.6" customHeight="1"/>
    <row r="581" ht="6.6" customHeight="1"/>
    <row r="582" ht="6.6" customHeight="1"/>
    <row r="583" ht="6.6" customHeight="1"/>
    <row r="584" ht="6.6" customHeight="1"/>
    <row r="585" ht="6.6" customHeight="1"/>
    <row r="586" ht="6.6" customHeight="1"/>
    <row r="587" ht="6.6" customHeight="1"/>
    <row r="588" ht="6.6" customHeight="1"/>
    <row r="589" ht="6.6" customHeight="1"/>
    <row r="590" ht="6.6" customHeight="1"/>
    <row r="591" ht="6.6" customHeight="1"/>
    <row r="592" ht="6.6" customHeight="1"/>
    <row r="593" ht="6.6" customHeight="1"/>
    <row r="594" ht="6.6" customHeight="1"/>
    <row r="595" ht="6.6" customHeight="1"/>
    <row r="596" ht="6.6" customHeight="1"/>
    <row r="597" ht="6.6" customHeight="1"/>
    <row r="598" ht="6.6" customHeight="1"/>
    <row r="599" ht="6.6" customHeight="1"/>
    <row r="600" ht="6.6" customHeight="1"/>
    <row r="601" ht="6.6" customHeight="1"/>
    <row r="602" ht="6.6" customHeight="1"/>
    <row r="603" ht="6.6" customHeight="1"/>
    <row r="604" ht="6.6" customHeight="1"/>
    <row r="605" ht="6.6" customHeight="1"/>
    <row r="606" ht="6.6" customHeight="1"/>
    <row r="607" ht="6.6" customHeight="1"/>
    <row r="608" ht="6.6" customHeight="1"/>
    <row r="609" ht="6.6" customHeight="1"/>
    <row r="610" ht="6.6" customHeight="1"/>
    <row r="611" ht="6.6" customHeight="1"/>
    <row r="612" ht="6.6" customHeight="1"/>
    <row r="613" ht="6.6" customHeight="1"/>
    <row r="614" ht="6.6" customHeight="1"/>
    <row r="615" ht="6.6" customHeight="1"/>
    <row r="616" ht="6.6" customHeight="1"/>
    <row r="617" ht="6.6" customHeight="1"/>
    <row r="618" ht="6.6" customHeight="1"/>
    <row r="619" ht="6.6" customHeight="1"/>
    <row r="620" ht="6.6" customHeight="1"/>
    <row r="621" ht="6.6" customHeight="1"/>
    <row r="622" ht="6.6" customHeight="1"/>
    <row r="623" ht="6.6" customHeight="1"/>
    <row r="624" ht="6.6" customHeight="1"/>
    <row r="625" ht="6.6" customHeight="1"/>
    <row r="626" ht="6.6" customHeight="1"/>
    <row r="627" ht="6.6" customHeight="1"/>
    <row r="628" ht="6.6" customHeight="1"/>
    <row r="629" ht="6.6" customHeight="1"/>
    <row r="630" ht="6.6" customHeight="1"/>
    <row r="631" ht="6.6" customHeight="1"/>
    <row r="632" ht="6.6" customHeight="1"/>
    <row r="633" ht="6.6" customHeight="1"/>
    <row r="634" ht="6.6" customHeight="1"/>
    <row r="635" ht="6.6" customHeight="1"/>
    <row r="636" ht="6.6" customHeight="1"/>
    <row r="637" ht="6.6" customHeight="1"/>
    <row r="638" ht="6.6" customHeight="1"/>
    <row r="639" ht="6.6" customHeight="1"/>
    <row r="640" ht="6.6" customHeight="1"/>
    <row r="641" ht="6.6" customHeight="1"/>
    <row r="642" ht="6.6" customHeight="1"/>
    <row r="643" ht="6.6" customHeight="1"/>
    <row r="644" ht="6.6" customHeight="1"/>
    <row r="645" ht="6.6" customHeight="1"/>
    <row r="646" ht="6.6" customHeight="1"/>
    <row r="647" ht="6.6" customHeight="1"/>
    <row r="648" ht="6.6" customHeight="1"/>
    <row r="649" ht="6.6" customHeight="1"/>
    <row r="650" ht="6.6" customHeight="1"/>
    <row r="651" ht="6.6" customHeight="1"/>
    <row r="652" ht="6.6" customHeight="1"/>
    <row r="653" ht="6.6" customHeight="1"/>
    <row r="654" ht="6.6" customHeight="1"/>
    <row r="655" ht="6.6" customHeight="1"/>
    <row r="656" ht="6.6" customHeight="1"/>
    <row r="657" ht="6.6" customHeight="1"/>
    <row r="658" ht="6.6" customHeight="1"/>
    <row r="659" ht="6.6" customHeight="1"/>
    <row r="660" ht="6.6" customHeight="1"/>
    <row r="661" ht="6.6" customHeight="1"/>
    <row r="662" ht="6.6" customHeight="1"/>
    <row r="663" ht="6.6" customHeight="1"/>
    <row r="664" ht="6.6" customHeight="1"/>
    <row r="665" ht="6.6" customHeight="1"/>
    <row r="666" ht="6.6" customHeight="1"/>
    <row r="667" ht="6.6" customHeight="1"/>
    <row r="668" ht="6.6" customHeight="1"/>
    <row r="669" ht="6.6" customHeight="1"/>
    <row r="670" ht="6.6" customHeight="1"/>
    <row r="671" ht="6.6" customHeight="1"/>
    <row r="672" ht="6.6" customHeight="1"/>
    <row r="673" ht="6.6" customHeight="1"/>
    <row r="674" ht="6.6" customHeight="1"/>
    <row r="675" ht="6.6" customHeight="1"/>
    <row r="676" ht="6.6" customHeight="1"/>
    <row r="677" ht="6.6" customHeight="1"/>
    <row r="678" ht="6.6" customHeight="1"/>
    <row r="679" ht="6.6" customHeight="1"/>
    <row r="680" ht="6.6" customHeight="1"/>
    <row r="681" ht="6.6" customHeight="1"/>
    <row r="682" ht="6.6" customHeight="1"/>
    <row r="683" ht="6.6" customHeight="1"/>
    <row r="684" ht="6.6" customHeight="1"/>
    <row r="685" ht="6.6" customHeight="1"/>
  </sheetData>
  <mergeCells count="8">
    <mergeCell ref="B8:B65"/>
    <mergeCell ref="K4:K6"/>
    <mergeCell ref="E5:F5"/>
    <mergeCell ref="E6:F6"/>
    <mergeCell ref="C2:C6"/>
    <mergeCell ref="E2:F2"/>
    <mergeCell ref="E3:F3"/>
    <mergeCell ref="E4:F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2220-8CD2-4DEA-ADB1-27373A052450}">
  <dimension ref="B2:K685"/>
  <sheetViews>
    <sheetView zoomScale="130" zoomScaleNormal="130" workbookViewId="0">
      <selection activeCell="N11" sqref="N11"/>
    </sheetView>
  </sheetViews>
  <sheetFormatPr defaultRowHeight="13.2"/>
  <cols>
    <col min="1" max="1" width="4.109375" style="65" customWidth="1"/>
    <col min="2" max="2" width="5.77734375" style="65" customWidth="1"/>
    <col min="3" max="3" width="21.21875" style="65" bestFit="1" customWidth="1"/>
    <col min="4" max="4" width="6.6640625" style="65" customWidth="1"/>
    <col min="5" max="5" width="17.6640625" style="65" customWidth="1"/>
    <col min="6" max="6" width="4.6640625" style="65" customWidth="1"/>
    <col min="7" max="7" width="12.21875" style="66" customWidth="1"/>
    <col min="8" max="10" width="12.21875" style="65" customWidth="1"/>
    <col min="11" max="11" width="3.6640625" style="65" customWidth="1"/>
    <col min="12" max="16384" width="8.88671875" style="65"/>
  </cols>
  <sheetData>
    <row r="2" spans="2:11" ht="6.75" customHeight="1">
      <c r="C2" s="291"/>
      <c r="D2" s="107"/>
      <c r="E2" s="292" t="s">
        <v>233</v>
      </c>
      <c r="F2" s="292"/>
      <c r="G2" s="97" t="s">
        <v>663</v>
      </c>
      <c r="H2" s="97" t="s">
        <v>667</v>
      </c>
      <c r="I2" s="97" t="s">
        <v>671</v>
      </c>
      <c r="J2" s="97" t="s">
        <v>675</v>
      </c>
      <c r="K2" s="87"/>
    </row>
    <row r="3" spans="2:11" ht="6.75" customHeight="1">
      <c r="C3" s="291"/>
      <c r="D3" s="107"/>
      <c r="E3" s="292" t="s">
        <v>230</v>
      </c>
      <c r="F3" s="292"/>
      <c r="G3" s="98" t="s">
        <v>239</v>
      </c>
      <c r="H3" s="98" t="s">
        <v>239</v>
      </c>
      <c r="I3" s="98" t="s">
        <v>239</v>
      </c>
      <c r="J3" s="98" t="s">
        <v>239</v>
      </c>
      <c r="K3" s="87"/>
    </row>
    <row r="4" spans="2:11" ht="6.75" customHeight="1">
      <c r="C4" s="291"/>
      <c r="D4" s="107"/>
      <c r="E4" s="292" t="s">
        <v>238</v>
      </c>
      <c r="F4" s="292"/>
      <c r="G4" s="99" t="s">
        <v>229</v>
      </c>
      <c r="H4" s="99" t="s">
        <v>229</v>
      </c>
      <c r="I4" s="99" t="s">
        <v>229</v>
      </c>
      <c r="J4" s="99" t="s">
        <v>229</v>
      </c>
      <c r="K4" s="291"/>
    </row>
    <row r="5" spans="2:11" ht="6.75" customHeight="1">
      <c r="C5" s="291"/>
      <c r="D5" s="107"/>
      <c r="E5" s="292" t="s">
        <v>236</v>
      </c>
      <c r="F5" s="292"/>
      <c r="G5" s="100">
        <v>45316</v>
      </c>
      <c r="H5" s="100">
        <v>45453</v>
      </c>
      <c r="I5" s="100">
        <v>45547</v>
      </c>
      <c r="J5" s="100">
        <v>45643</v>
      </c>
      <c r="K5" s="291"/>
    </row>
    <row r="6" spans="2:11" ht="13.5" customHeight="1">
      <c r="C6" s="291"/>
      <c r="D6" s="107"/>
      <c r="E6" s="292" t="s">
        <v>237</v>
      </c>
      <c r="F6" s="292"/>
      <c r="G6" s="101" t="s">
        <v>234</v>
      </c>
      <c r="H6" s="101" t="s">
        <v>234</v>
      </c>
      <c r="I6" s="101" t="s">
        <v>234</v>
      </c>
      <c r="J6" s="101" t="s">
        <v>234</v>
      </c>
      <c r="K6" s="291"/>
    </row>
    <row r="7" spans="2:11" ht="6.75" customHeight="1">
      <c r="B7" s="89" t="s">
        <v>230</v>
      </c>
      <c r="C7" s="119" t="s">
        <v>228</v>
      </c>
      <c r="D7" s="122" t="s">
        <v>66</v>
      </c>
      <c r="E7" s="120" t="s">
        <v>227</v>
      </c>
      <c r="F7" s="96" t="s">
        <v>226</v>
      </c>
      <c r="G7" s="102" t="s">
        <v>76</v>
      </c>
      <c r="H7" s="102" t="s">
        <v>76</v>
      </c>
      <c r="I7" s="102" t="s">
        <v>76</v>
      </c>
      <c r="J7" s="102" t="s">
        <v>76</v>
      </c>
      <c r="K7" s="86" t="s">
        <v>225</v>
      </c>
    </row>
    <row r="8" spans="2:11" ht="6.75" customHeight="1">
      <c r="B8" s="288" t="s">
        <v>239</v>
      </c>
      <c r="C8" s="88" t="s">
        <v>224</v>
      </c>
      <c r="D8" s="121" t="s">
        <v>232</v>
      </c>
      <c r="E8" s="71" t="s">
        <v>223</v>
      </c>
      <c r="F8" s="70" t="s">
        <v>222</v>
      </c>
      <c r="G8" s="76">
        <v>7</v>
      </c>
      <c r="H8" s="76" t="s">
        <v>353</v>
      </c>
      <c r="I8" s="76" t="s">
        <v>361</v>
      </c>
      <c r="J8" s="76" t="s">
        <v>370</v>
      </c>
      <c r="K8" s="75"/>
    </row>
    <row r="9" spans="2:11" ht="6.75" customHeight="1">
      <c r="B9" s="289"/>
      <c r="C9" s="88" t="s">
        <v>220</v>
      </c>
      <c r="D9" s="88" t="s">
        <v>232</v>
      </c>
      <c r="E9" s="71" t="s">
        <v>219</v>
      </c>
      <c r="F9" s="70" t="s">
        <v>218</v>
      </c>
      <c r="G9" s="80">
        <v>640</v>
      </c>
      <c r="H9" s="80" t="s">
        <v>354</v>
      </c>
      <c r="I9" s="80" t="s">
        <v>362</v>
      </c>
      <c r="J9" s="80" t="s">
        <v>371</v>
      </c>
      <c r="K9" s="75"/>
    </row>
    <row r="10" spans="2:11" ht="6.75" customHeight="1">
      <c r="B10" s="289"/>
      <c r="C10" s="88" t="s">
        <v>216</v>
      </c>
      <c r="D10" s="88" t="s">
        <v>232</v>
      </c>
      <c r="E10" s="71" t="s">
        <v>189</v>
      </c>
      <c r="F10" s="70" t="s">
        <v>126</v>
      </c>
      <c r="G10" s="69">
        <v>11</v>
      </c>
      <c r="H10" s="69" t="s">
        <v>261</v>
      </c>
      <c r="I10" s="69" t="s">
        <v>363</v>
      </c>
      <c r="J10" s="69" t="s">
        <v>372</v>
      </c>
      <c r="K10" s="67">
        <v>200</v>
      </c>
    </row>
    <row r="11" spans="2:11" ht="6.75" customHeight="1">
      <c r="B11" s="289"/>
      <c r="C11" s="88" t="s">
        <v>214</v>
      </c>
      <c r="D11" s="88" t="s">
        <v>232</v>
      </c>
      <c r="E11" s="71" t="s">
        <v>189</v>
      </c>
      <c r="F11" s="70" t="s">
        <v>126</v>
      </c>
      <c r="G11" s="69">
        <v>0.61199999999999999</v>
      </c>
      <c r="H11" s="69" t="s">
        <v>196</v>
      </c>
      <c r="I11" s="69" t="s">
        <v>196</v>
      </c>
      <c r="J11" s="69" t="s">
        <v>196</v>
      </c>
      <c r="K11" s="67">
        <v>5</v>
      </c>
    </row>
    <row r="12" spans="2:11" ht="6.75" customHeight="1">
      <c r="B12" s="289"/>
      <c r="C12" s="88" t="s">
        <v>212</v>
      </c>
      <c r="D12" s="88" t="s">
        <v>232</v>
      </c>
      <c r="E12" s="71" t="s">
        <v>189</v>
      </c>
      <c r="F12" s="70" t="s">
        <v>126</v>
      </c>
      <c r="G12" s="103">
        <v>10</v>
      </c>
      <c r="H12" s="155" t="s">
        <v>355</v>
      </c>
      <c r="I12" s="155" t="s">
        <v>364</v>
      </c>
      <c r="J12" s="155" t="s">
        <v>373</v>
      </c>
      <c r="K12" s="67">
        <v>10</v>
      </c>
    </row>
    <row r="13" spans="2:11" ht="6.75" customHeight="1">
      <c r="B13" s="289"/>
      <c r="C13" s="88" t="s">
        <v>210</v>
      </c>
      <c r="D13" s="88" t="s">
        <v>232</v>
      </c>
      <c r="E13" s="71" t="s">
        <v>189</v>
      </c>
      <c r="F13" s="70" t="s">
        <v>126</v>
      </c>
      <c r="G13" s="68" t="s">
        <v>209</v>
      </c>
      <c r="H13" s="68" t="s">
        <v>208</v>
      </c>
      <c r="I13" s="68" t="s">
        <v>208</v>
      </c>
      <c r="J13" s="68" t="s">
        <v>208</v>
      </c>
      <c r="K13" s="67">
        <v>5</v>
      </c>
    </row>
    <row r="14" spans="2:11" ht="6.75" customHeight="1">
      <c r="B14" s="289"/>
      <c r="C14" s="88" t="s">
        <v>207</v>
      </c>
      <c r="D14" s="88" t="s">
        <v>232</v>
      </c>
      <c r="E14" s="71" t="s">
        <v>189</v>
      </c>
      <c r="F14" s="70" t="s">
        <v>126</v>
      </c>
      <c r="G14" s="68" t="s">
        <v>185</v>
      </c>
      <c r="H14" s="68" t="s">
        <v>193</v>
      </c>
      <c r="I14" s="68" t="s">
        <v>193</v>
      </c>
      <c r="J14" s="68" t="s">
        <v>193</v>
      </c>
      <c r="K14" s="67">
        <v>50</v>
      </c>
    </row>
    <row r="15" spans="2:11" ht="6.75" customHeight="1">
      <c r="B15" s="289"/>
      <c r="C15" s="88" t="s">
        <v>206</v>
      </c>
      <c r="D15" s="88" t="s">
        <v>232</v>
      </c>
      <c r="E15" s="71" t="s">
        <v>205</v>
      </c>
      <c r="F15" s="70" t="s">
        <v>126</v>
      </c>
      <c r="G15" s="68" t="s">
        <v>132</v>
      </c>
      <c r="H15" s="68" t="s">
        <v>196</v>
      </c>
      <c r="I15" s="68" t="s">
        <v>196</v>
      </c>
      <c r="J15" s="68" t="s">
        <v>196</v>
      </c>
      <c r="K15" s="67">
        <v>5</v>
      </c>
    </row>
    <row r="16" spans="2:11" ht="6.75" customHeight="1">
      <c r="B16" s="289"/>
      <c r="C16" s="88" t="s">
        <v>204</v>
      </c>
      <c r="D16" s="88" t="s">
        <v>232</v>
      </c>
      <c r="E16" s="71" t="s">
        <v>203</v>
      </c>
      <c r="F16" s="70" t="s">
        <v>126</v>
      </c>
      <c r="G16" s="95">
        <v>3046</v>
      </c>
      <c r="H16" s="104" t="s">
        <v>356</v>
      </c>
      <c r="I16" s="104" t="s">
        <v>365</v>
      </c>
      <c r="J16" s="104" t="s">
        <v>374</v>
      </c>
      <c r="K16" s="67">
        <v>200</v>
      </c>
    </row>
    <row r="17" spans="2:11" ht="6.75" customHeight="1">
      <c r="B17" s="289"/>
      <c r="C17" s="88" t="s">
        <v>201</v>
      </c>
      <c r="D17" s="88" t="s">
        <v>232</v>
      </c>
      <c r="E17" s="71" t="s">
        <v>189</v>
      </c>
      <c r="F17" s="70" t="s">
        <v>126</v>
      </c>
      <c r="G17" s="84">
        <v>4.8500000000000001E-2</v>
      </c>
      <c r="H17" s="82" t="s">
        <v>199</v>
      </c>
      <c r="I17" s="68" t="s">
        <v>199</v>
      </c>
      <c r="J17" s="68" t="s">
        <v>199</v>
      </c>
      <c r="K17" s="67">
        <v>1</v>
      </c>
    </row>
    <row r="18" spans="2:11" ht="6.75" customHeight="1">
      <c r="B18" s="289"/>
      <c r="C18" s="88" t="s">
        <v>198</v>
      </c>
      <c r="D18" s="88" t="s">
        <v>232</v>
      </c>
      <c r="E18" s="71" t="s">
        <v>189</v>
      </c>
      <c r="F18" s="70" t="s">
        <v>126</v>
      </c>
      <c r="G18" s="83" t="s">
        <v>185</v>
      </c>
      <c r="H18" s="82" t="s">
        <v>193</v>
      </c>
      <c r="I18" s="68" t="s">
        <v>193</v>
      </c>
      <c r="J18" s="68" t="s">
        <v>193</v>
      </c>
      <c r="K18" s="67">
        <v>20</v>
      </c>
    </row>
    <row r="19" spans="2:11" ht="6.75" customHeight="1">
      <c r="B19" s="289"/>
      <c r="C19" s="88" t="s">
        <v>197</v>
      </c>
      <c r="D19" s="88" t="s">
        <v>232</v>
      </c>
      <c r="E19" s="71" t="s">
        <v>189</v>
      </c>
      <c r="F19" s="70" t="s">
        <v>126</v>
      </c>
      <c r="G19" s="81" t="s">
        <v>185</v>
      </c>
      <c r="H19" s="68" t="s">
        <v>196</v>
      </c>
      <c r="I19" s="68" t="s">
        <v>196</v>
      </c>
      <c r="J19" s="68" t="s">
        <v>196</v>
      </c>
      <c r="K19" s="67">
        <v>10</v>
      </c>
    </row>
    <row r="20" spans="2:11" ht="6.75" customHeight="1">
      <c r="B20" s="289"/>
      <c r="C20" s="88" t="s">
        <v>195</v>
      </c>
      <c r="D20" s="88" t="s">
        <v>232</v>
      </c>
      <c r="E20" s="71" t="s">
        <v>189</v>
      </c>
      <c r="F20" s="70" t="s">
        <v>126</v>
      </c>
      <c r="G20" s="68" t="s">
        <v>186</v>
      </c>
      <c r="H20" s="68" t="s">
        <v>193</v>
      </c>
      <c r="I20" s="68" t="s">
        <v>193</v>
      </c>
      <c r="J20" s="68" t="s">
        <v>193</v>
      </c>
      <c r="K20" s="67">
        <v>1000</v>
      </c>
    </row>
    <row r="21" spans="2:11" ht="6.75" customHeight="1">
      <c r="B21" s="289"/>
      <c r="C21" s="88" t="s">
        <v>194</v>
      </c>
      <c r="D21" s="88" t="s">
        <v>232</v>
      </c>
      <c r="E21" s="71" t="s">
        <v>189</v>
      </c>
      <c r="F21" s="70" t="s">
        <v>126</v>
      </c>
      <c r="G21" s="68" t="s">
        <v>185</v>
      </c>
      <c r="H21" s="68" t="s">
        <v>193</v>
      </c>
      <c r="I21" s="68" t="s">
        <v>193</v>
      </c>
      <c r="J21" s="68" t="s">
        <v>193</v>
      </c>
      <c r="K21" s="67">
        <v>10</v>
      </c>
    </row>
    <row r="22" spans="2:11" ht="6.75" customHeight="1">
      <c r="B22" s="289"/>
      <c r="C22" s="88" t="s">
        <v>192</v>
      </c>
      <c r="D22" s="88" t="s">
        <v>232</v>
      </c>
      <c r="E22" s="71" t="s">
        <v>189</v>
      </c>
      <c r="F22" s="70" t="s">
        <v>126</v>
      </c>
      <c r="G22" s="104">
        <v>1080</v>
      </c>
      <c r="H22" s="104" t="s">
        <v>357</v>
      </c>
      <c r="I22" s="104" t="s">
        <v>366</v>
      </c>
      <c r="J22" s="104" t="s">
        <v>270</v>
      </c>
      <c r="K22" s="67">
        <v>50</v>
      </c>
    </row>
    <row r="23" spans="2:11" ht="6.75" customHeight="1">
      <c r="B23" s="289"/>
      <c r="C23" s="88" t="s">
        <v>191</v>
      </c>
      <c r="D23" s="88" t="s">
        <v>232</v>
      </c>
      <c r="E23" s="71" t="s">
        <v>189</v>
      </c>
      <c r="F23" s="70" t="s">
        <v>126</v>
      </c>
      <c r="G23" s="68">
        <v>6.7</v>
      </c>
      <c r="H23" s="68" t="s">
        <v>358</v>
      </c>
      <c r="I23" s="68" t="s">
        <v>251</v>
      </c>
      <c r="J23" s="68" t="s">
        <v>251</v>
      </c>
      <c r="K23" s="67">
        <v>3000</v>
      </c>
    </row>
    <row r="24" spans="2:11" ht="6.75" customHeight="1">
      <c r="B24" s="289"/>
      <c r="C24" s="88" t="s">
        <v>190</v>
      </c>
      <c r="D24" s="88" t="s">
        <v>232</v>
      </c>
      <c r="E24" s="71" t="s">
        <v>189</v>
      </c>
      <c r="F24" s="70" t="s">
        <v>126</v>
      </c>
      <c r="G24" s="105">
        <v>535</v>
      </c>
      <c r="H24" s="79" t="s">
        <v>359</v>
      </c>
      <c r="I24" s="79" t="s">
        <v>367</v>
      </c>
      <c r="J24" s="79" t="s">
        <v>375</v>
      </c>
      <c r="K24" s="67">
        <v>1000</v>
      </c>
    </row>
    <row r="25" spans="2:11" ht="6.75" customHeight="1">
      <c r="B25" s="289"/>
      <c r="C25" s="88" t="s">
        <v>188</v>
      </c>
      <c r="D25" s="88" t="s">
        <v>232</v>
      </c>
      <c r="E25" s="71" t="s">
        <v>187</v>
      </c>
      <c r="F25" s="70" t="s">
        <v>126</v>
      </c>
      <c r="G25" s="68" t="s">
        <v>186</v>
      </c>
      <c r="H25" s="68" t="s">
        <v>193</v>
      </c>
      <c r="I25" s="68" t="s">
        <v>193</v>
      </c>
      <c r="J25" s="68" t="s">
        <v>193</v>
      </c>
      <c r="K25" s="67">
        <v>50</v>
      </c>
    </row>
    <row r="26" spans="2:11" ht="6.75" customHeight="1">
      <c r="B26" s="289"/>
      <c r="C26" s="88" t="s">
        <v>184</v>
      </c>
      <c r="D26" s="88" t="s">
        <v>232</v>
      </c>
      <c r="E26" s="71" t="s">
        <v>183</v>
      </c>
      <c r="F26" s="70" t="s">
        <v>126</v>
      </c>
      <c r="G26" s="77">
        <v>0.92</v>
      </c>
      <c r="H26" s="79" t="s">
        <v>360</v>
      </c>
      <c r="I26" s="79" t="s">
        <v>368</v>
      </c>
      <c r="J26" s="79" t="s">
        <v>376</v>
      </c>
      <c r="K26" s="67">
        <v>1500</v>
      </c>
    </row>
    <row r="27" spans="2:11" ht="6.75" customHeight="1">
      <c r="B27" s="289"/>
      <c r="C27" s="88" t="s">
        <v>182</v>
      </c>
      <c r="D27" s="88" t="s">
        <v>232</v>
      </c>
      <c r="E27" s="71" t="s">
        <v>138</v>
      </c>
      <c r="F27" s="70" t="s">
        <v>126</v>
      </c>
      <c r="G27" s="78" t="s">
        <v>53</v>
      </c>
      <c r="H27" s="78" t="s">
        <v>53</v>
      </c>
      <c r="I27" s="78" t="s">
        <v>150</v>
      </c>
      <c r="J27" s="78" t="s">
        <v>53</v>
      </c>
      <c r="K27" s="67">
        <v>1</v>
      </c>
    </row>
    <row r="28" spans="2:11" ht="6.75" customHeight="1">
      <c r="B28" s="289"/>
      <c r="C28" s="88" t="s">
        <v>181</v>
      </c>
      <c r="D28" s="88" t="s">
        <v>232</v>
      </c>
      <c r="E28" s="71" t="s">
        <v>130</v>
      </c>
      <c r="F28" s="70" t="s">
        <v>126</v>
      </c>
      <c r="G28" s="68" t="s">
        <v>142</v>
      </c>
      <c r="H28" s="68" t="s">
        <v>137</v>
      </c>
      <c r="I28" s="68" t="s">
        <v>137</v>
      </c>
      <c r="J28" s="68" t="s">
        <v>137</v>
      </c>
      <c r="K28" s="72">
        <v>0.1</v>
      </c>
    </row>
    <row r="29" spans="2:11" ht="6.75" customHeight="1">
      <c r="B29" s="289"/>
      <c r="C29" s="88" t="s">
        <v>180</v>
      </c>
      <c r="D29" s="88" t="s">
        <v>232</v>
      </c>
      <c r="E29" s="71" t="s">
        <v>130</v>
      </c>
      <c r="F29" s="70" t="s">
        <v>126</v>
      </c>
      <c r="G29" s="68" t="s">
        <v>142</v>
      </c>
      <c r="H29" s="68" t="s">
        <v>142</v>
      </c>
      <c r="I29" s="68" t="s">
        <v>142</v>
      </c>
      <c r="J29" s="68" t="s">
        <v>142</v>
      </c>
      <c r="K29" s="73">
        <v>0.01</v>
      </c>
    </row>
    <row r="30" spans="2:11" ht="6.75" customHeight="1">
      <c r="B30" s="289"/>
      <c r="C30" s="88" t="s">
        <v>179</v>
      </c>
      <c r="D30" s="88" t="s">
        <v>232</v>
      </c>
      <c r="E30" s="71" t="s">
        <v>130</v>
      </c>
      <c r="F30" s="70" t="s">
        <v>126</v>
      </c>
      <c r="G30" s="68" t="s">
        <v>142</v>
      </c>
      <c r="H30" s="68" t="s">
        <v>173</v>
      </c>
      <c r="I30" s="68" t="s">
        <v>173</v>
      </c>
      <c r="J30" s="68" t="s">
        <v>173</v>
      </c>
      <c r="K30" s="72">
        <v>0.1</v>
      </c>
    </row>
    <row r="31" spans="2:11" ht="6.75" customHeight="1">
      <c r="B31" s="289"/>
      <c r="C31" s="88" t="s">
        <v>178</v>
      </c>
      <c r="D31" s="88" t="s">
        <v>232</v>
      </c>
      <c r="E31" s="71" t="s">
        <v>130</v>
      </c>
      <c r="F31" s="70" t="s">
        <v>126</v>
      </c>
      <c r="G31" s="68" t="s">
        <v>142</v>
      </c>
      <c r="H31" s="68" t="s">
        <v>173</v>
      </c>
      <c r="I31" s="68" t="s">
        <v>173</v>
      </c>
      <c r="J31" s="68" t="s">
        <v>173</v>
      </c>
      <c r="K31" s="73">
        <v>0.05</v>
      </c>
    </row>
    <row r="32" spans="2:11" ht="6.75" customHeight="1">
      <c r="B32" s="289"/>
      <c r="C32" s="88" t="s">
        <v>177</v>
      </c>
      <c r="D32" s="88" t="s">
        <v>232</v>
      </c>
      <c r="E32" s="71" t="s">
        <v>130</v>
      </c>
      <c r="F32" s="70" t="s">
        <v>126</v>
      </c>
      <c r="G32" s="68" t="s">
        <v>142</v>
      </c>
      <c r="H32" s="68" t="s">
        <v>173</v>
      </c>
      <c r="I32" s="68" t="s">
        <v>173</v>
      </c>
      <c r="J32" s="68" t="s">
        <v>173</v>
      </c>
      <c r="K32" s="73">
        <v>0.01</v>
      </c>
    </row>
    <row r="33" spans="2:11" ht="6.75" customHeight="1">
      <c r="B33" s="289"/>
      <c r="C33" s="88" t="s">
        <v>176</v>
      </c>
      <c r="D33" s="88" t="s">
        <v>232</v>
      </c>
      <c r="E33" s="71" t="s">
        <v>130</v>
      </c>
      <c r="F33" s="70" t="s">
        <v>126</v>
      </c>
      <c r="G33" s="68" t="s">
        <v>142</v>
      </c>
      <c r="H33" s="68" t="s">
        <v>132</v>
      </c>
      <c r="I33" s="68" t="s">
        <v>132</v>
      </c>
      <c r="J33" s="68" t="s">
        <v>132</v>
      </c>
      <c r="K33" s="67">
        <v>5</v>
      </c>
    </row>
    <row r="34" spans="2:11" ht="6.75" customHeight="1">
      <c r="B34" s="289"/>
      <c r="C34" s="88" t="s">
        <v>175</v>
      </c>
      <c r="D34" s="88" t="s">
        <v>232</v>
      </c>
      <c r="E34" s="71" t="s">
        <v>130</v>
      </c>
      <c r="F34" s="70" t="s">
        <v>126</v>
      </c>
      <c r="G34" s="68" t="s">
        <v>142</v>
      </c>
      <c r="H34" s="68" t="s">
        <v>142</v>
      </c>
      <c r="I34" s="68" t="s">
        <v>142</v>
      </c>
      <c r="J34" s="68" t="s">
        <v>142</v>
      </c>
      <c r="K34" s="73">
        <v>0.01</v>
      </c>
    </row>
    <row r="35" spans="2:11" ht="6.75" customHeight="1">
      <c r="B35" s="289"/>
      <c r="C35" s="88" t="s">
        <v>174</v>
      </c>
      <c r="D35" s="88" t="s">
        <v>232</v>
      </c>
      <c r="E35" s="71" t="s">
        <v>130</v>
      </c>
      <c r="F35" s="70" t="s">
        <v>126</v>
      </c>
      <c r="G35" s="68" t="s">
        <v>142</v>
      </c>
      <c r="H35" s="68" t="s">
        <v>173</v>
      </c>
      <c r="I35" s="68" t="s">
        <v>173</v>
      </c>
      <c r="J35" s="68" t="s">
        <v>173</v>
      </c>
      <c r="K35" s="72">
        <v>0.1</v>
      </c>
    </row>
    <row r="36" spans="2:11" ht="6.75" customHeight="1">
      <c r="B36" s="289"/>
      <c r="C36" s="88" t="s">
        <v>172</v>
      </c>
      <c r="D36" s="88" t="s">
        <v>232</v>
      </c>
      <c r="E36" s="71" t="s">
        <v>130</v>
      </c>
      <c r="F36" s="70" t="s">
        <v>126</v>
      </c>
      <c r="G36" s="77" t="s">
        <v>142</v>
      </c>
      <c r="H36" s="77" t="s">
        <v>132</v>
      </c>
      <c r="I36" s="77" t="s">
        <v>132</v>
      </c>
      <c r="J36" s="77" t="s">
        <v>132</v>
      </c>
      <c r="K36" s="67">
        <v>50</v>
      </c>
    </row>
    <row r="37" spans="2:11" ht="6.75" customHeight="1">
      <c r="B37" s="289"/>
      <c r="C37" s="88" t="s">
        <v>171</v>
      </c>
      <c r="D37" s="88" t="s">
        <v>232</v>
      </c>
      <c r="E37" s="71" t="s">
        <v>130</v>
      </c>
      <c r="F37" s="70" t="s">
        <v>126</v>
      </c>
      <c r="G37" s="68" t="s">
        <v>142</v>
      </c>
      <c r="H37" s="68" t="s">
        <v>170</v>
      </c>
      <c r="I37" s="68" t="s">
        <v>272</v>
      </c>
      <c r="J37" s="68" t="s">
        <v>170</v>
      </c>
      <c r="K37" s="72">
        <v>0.1</v>
      </c>
    </row>
    <row r="38" spans="2:11" ht="6.75" customHeight="1">
      <c r="B38" s="289"/>
      <c r="C38" s="88" t="s">
        <v>169</v>
      </c>
      <c r="D38" s="88" t="s">
        <v>232</v>
      </c>
      <c r="E38" s="71" t="s">
        <v>138</v>
      </c>
      <c r="F38" s="70" t="s">
        <v>126</v>
      </c>
      <c r="G38" s="68" t="s">
        <v>53</v>
      </c>
      <c r="H38" s="68" t="s">
        <v>254</v>
      </c>
      <c r="I38" s="68" t="s">
        <v>272</v>
      </c>
      <c r="J38" s="68" t="s">
        <v>254</v>
      </c>
      <c r="K38" s="72">
        <v>1.5</v>
      </c>
    </row>
    <row r="39" spans="2:11" ht="6.75" customHeight="1">
      <c r="B39" s="289"/>
      <c r="C39" s="88" t="s">
        <v>167</v>
      </c>
      <c r="D39" s="88" t="s">
        <v>232</v>
      </c>
      <c r="E39" s="71" t="s">
        <v>138</v>
      </c>
      <c r="F39" s="70" t="s">
        <v>126</v>
      </c>
      <c r="G39" s="68" t="s">
        <v>137</v>
      </c>
      <c r="H39" s="68" t="s">
        <v>166</v>
      </c>
      <c r="I39" s="68" t="s">
        <v>150</v>
      </c>
      <c r="J39" s="68" t="s">
        <v>166</v>
      </c>
      <c r="K39" s="73">
        <v>0.15</v>
      </c>
    </row>
    <row r="40" spans="2:11" ht="6.75" customHeight="1">
      <c r="B40" s="289"/>
      <c r="C40" s="88" t="s">
        <v>165</v>
      </c>
      <c r="D40" s="88" t="s">
        <v>232</v>
      </c>
      <c r="E40" s="71" t="s">
        <v>138</v>
      </c>
      <c r="F40" s="70" t="s">
        <v>126</v>
      </c>
      <c r="G40" s="68" t="s">
        <v>53</v>
      </c>
      <c r="H40" s="68" t="s">
        <v>52</v>
      </c>
      <c r="I40" s="68" t="s">
        <v>150</v>
      </c>
      <c r="J40" s="68" t="s">
        <v>52</v>
      </c>
      <c r="K40" s="72">
        <v>0.5</v>
      </c>
    </row>
    <row r="41" spans="2:11" ht="6.75" customHeight="1">
      <c r="B41" s="289"/>
      <c r="C41" s="88" t="s">
        <v>164</v>
      </c>
      <c r="D41" s="88" t="s">
        <v>232</v>
      </c>
      <c r="E41" s="71" t="s">
        <v>138</v>
      </c>
      <c r="F41" s="70" t="s">
        <v>126</v>
      </c>
      <c r="G41" s="68" t="s">
        <v>53</v>
      </c>
      <c r="H41" s="68" t="s">
        <v>256</v>
      </c>
      <c r="I41" s="68" t="s">
        <v>279</v>
      </c>
      <c r="J41" s="68" t="s">
        <v>256</v>
      </c>
      <c r="K41" s="67">
        <v>3</v>
      </c>
    </row>
    <row r="42" spans="2:11" ht="6.75" customHeight="1">
      <c r="B42" s="289"/>
      <c r="C42" s="88" t="s">
        <v>163</v>
      </c>
      <c r="D42" s="88" t="s">
        <v>232</v>
      </c>
      <c r="E42" s="71" t="s">
        <v>138</v>
      </c>
      <c r="F42" s="70" t="s">
        <v>126</v>
      </c>
      <c r="G42" s="68" t="s">
        <v>129</v>
      </c>
      <c r="H42" s="68" t="s">
        <v>162</v>
      </c>
      <c r="I42" s="68" t="s">
        <v>279</v>
      </c>
      <c r="J42" s="68" t="s">
        <v>162</v>
      </c>
      <c r="K42" s="73">
        <v>0.05</v>
      </c>
    </row>
    <row r="43" spans="2:11" ht="6.75" customHeight="1">
      <c r="B43" s="289"/>
      <c r="C43" s="88" t="s">
        <v>161</v>
      </c>
      <c r="D43" s="88" t="s">
        <v>232</v>
      </c>
      <c r="E43" s="71" t="s">
        <v>138</v>
      </c>
      <c r="F43" s="70" t="s">
        <v>126</v>
      </c>
      <c r="G43" s="68" t="s">
        <v>53</v>
      </c>
      <c r="H43" s="68" t="s">
        <v>256</v>
      </c>
      <c r="I43" s="68" t="s">
        <v>150</v>
      </c>
      <c r="J43" s="68" t="s">
        <v>256</v>
      </c>
      <c r="K43" s="72">
        <v>1.5</v>
      </c>
    </row>
    <row r="44" spans="2:11" ht="6.75" customHeight="1">
      <c r="B44" s="289"/>
      <c r="C44" s="88" t="s">
        <v>160</v>
      </c>
      <c r="D44" s="88" t="s">
        <v>232</v>
      </c>
      <c r="E44" s="71" t="s">
        <v>138</v>
      </c>
      <c r="F44" s="70" t="s">
        <v>126</v>
      </c>
      <c r="G44" s="68" t="s">
        <v>53</v>
      </c>
      <c r="H44" s="68" t="s">
        <v>52</v>
      </c>
      <c r="I44" s="68" t="s">
        <v>150</v>
      </c>
      <c r="J44" s="68" t="s">
        <v>52</v>
      </c>
      <c r="K44" s="72">
        <v>1.1000000000000001</v>
      </c>
    </row>
    <row r="45" spans="2:11" ht="6.75" customHeight="1">
      <c r="B45" s="289"/>
      <c r="C45" s="88" t="s">
        <v>159</v>
      </c>
      <c r="D45" s="88" t="s">
        <v>232</v>
      </c>
      <c r="E45" s="71" t="s">
        <v>138</v>
      </c>
      <c r="F45" s="70" t="s">
        <v>126</v>
      </c>
      <c r="G45" s="68" t="s">
        <v>137</v>
      </c>
      <c r="H45" s="68" t="s">
        <v>166</v>
      </c>
      <c r="I45" s="68" t="s">
        <v>150</v>
      </c>
      <c r="J45" s="68" t="s">
        <v>166</v>
      </c>
      <c r="K45" s="73">
        <v>0.15</v>
      </c>
    </row>
    <row r="46" spans="2:11" ht="6.75" customHeight="1">
      <c r="B46" s="289"/>
      <c r="C46" s="88" t="s">
        <v>158</v>
      </c>
      <c r="D46" s="88" t="s">
        <v>232</v>
      </c>
      <c r="E46" s="71" t="s">
        <v>138</v>
      </c>
      <c r="F46" s="70" t="s">
        <v>126</v>
      </c>
      <c r="G46" s="68" t="s">
        <v>137</v>
      </c>
      <c r="H46" s="68" t="s">
        <v>325</v>
      </c>
      <c r="I46" s="68" t="s">
        <v>170</v>
      </c>
      <c r="J46" s="68" t="s">
        <v>325</v>
      </c>
      <c r="K46" s="67">
        <v>10</v>
      </c>
    </row>
    <row r="47" spans="2:11" ht="6.75" customHeight="1">
      <c r="B47" s="289"/>
      <c r="C47" s="88" t="s">
        <v>157</v>
      </c>
      <c r="D47" s="88" t="s">
        <v>232</v>
      </c>
      <c r="E47" s="71" t="s">
        <v>138</v>
      </c>
      <c r="F47" s="70" t="s">
        <v>126</v>
      </c>
      <c r="G47" s="68" t="s">
        <v>53</v>
      </c>
      <c r="H47" s="68" t="s">
        <v>156</v>
      </c>
      <c r="I47" s="68" t="s">
        <v>150</v>
      </c>
      <c r="J47" s="68" t="s">
        <v>156</v>
      </c>
      <c r="K47" s="67">
        <v>810</v>
      </c>
    </row>
    <row r="48" spans="2:11" ht="6.75" customHeight="1">
      <c r="B48" s="289"/>
      <c r="C48" s="88" t="s">
        <v>155</v>
      </c>
      <c r="D48" s="88" t="s">
        <v>232</v>
      </c>
      <c r="E48" s="71" t="s">
        <v>138</v>
      </c>
      <c r="F48" s="70" t="s">
        <v>126</v>
      </c>
      <c r="G48" s="68" t="s">
        <v>74</v>
      </c>
      <c r="H48" s="68" t="s">
        <v>168</v>
      </c>
      <c r="I48" s="68" t="s">
        <v>74</v>
      </c>
      <c r="J48" s="68" t="s">
        <v>168</v>
      </c>
      <c r="K48" s="67">
        <v>60</v>
      </c>
    </row>
    <row r="49" spans="2:11" ht="6.75" customHeight="1">
      <c r="B49" s="289"/>
      <c r="C49" s="88" t="s">
        <v>154</v>
      </c>
      <c r="D49" s="88" t="s">
        <v>232</v>
      </c>
      <c r="E49" s="71" t="s">
        <v>138</v>
      </c>
      <c r="F49" s="70" t="s">
        <v>126</v>
      </c>
      <c r="G49" s="68" t="s">
        <v>53</v>
      </c>
      <c r="H49" s="68" t="s">
        <v>256</v>
      </c>
      <c r="I49" s="68" t="s">
        <v>150</v>
      </c>
      <c r="J49" s="68" t="s">
        <v>256</v>
      </c>
      <c r="K49" s="67">
        <v>60</v>
      </c>
    </row>
    <row r="50" spans="2:11" ht="6.75" customHeight="1">
      <c r="B50" s="289"/>
      <c r="C50" s="88" t="s">
        <v>152</v>
      </c>
      <c r="D50" s="88" t="s">
        <v>232</v>
      </c>
      <c r="E50" s="71" t="s">
        <v>138</v>
      </c>
      <c r="F50" s="70" t="s">
        <v>126</v>
      </c>
      <c r="G50" s="68" t="s">
        <v>53</v>
      </c>
      <c r="H50" s="68" t="s">
        <v>52</v>
      </c>
      <c r="I50" s="68" t="s">
        <v>279</v>
      </c>
      <c r="J50" s="68" t="s">
        <v>52</v>
      </c>
      <c r="K50" s="67">
        <v>60</v>
      </c>
    </row>
    <row r="51" spans="2:11" ht="6.75" customHeight="1">
      <c r="B51" s="289"/>
      <c r="C51" s="88" t="s">
        <v>151</v>
      </c>
      <c r="D51" s="88" t="s">
        <v>232</v>
      </c>
      <c r="E51" s="71" t="s">
        <v>138</v>
      </c>
      <c r="F51" s="70" t="s">
        <v>126</v>
      </c>
      <c r="G51" s="68" t="s">
        <v>137</v>
      </c>
      <c r="H51" s="68" t="s">
        <v>150</v>
      </c>
      <c r="I51" s="68" t="s">
        <v>369</v>
      </c>
      <c r="J51" s="68" t="s">
        <v>150</v>
      </c>
      <c r="K51" s="73">
        <v>0.15</v>
      </c>
    </row>
    <row r="52" spans="2:11" ht="6.75" customHeight="1">
      <c r="B52" s="289"/>
      <c r="C52" s="88" t="s">
        <v>149</v>
      </c>
      <c r="D52" s="88" t="s">
        <v>232</v>
      </c>
      <c r="E52" s="71" t="s">
        <v>138</v>
      </c>
      <c r="F52" s="70" t="s">
        <v>126</v>
      </c>
      <c r="G52" s="68" t="s">
        <v>129</v>
      </c>
      <c r="H52" s="68" t="s">
        <v>129</v>
      </c>
      <c r="I52" s="68" t="s">
        <v>279</v>
      </c>
      <c r="J52" s="68" t="s">
        <v>129</v>
      </c>
      <c r="K52" s="72">
        <v>0.2</v>
      </c>
    </row>
    <row r="53" spans="2:11" ht="6.75" customHeight="1">
      <c r="B53" s="289"/>
      <c r="C53" s="88" t="s">
        <v>147</v>
      </c>
      <c r="D53" s="88" t="s">
        <v>232</v>
      </c>
      <c r="E53" s="71" t="s">
        <v>138</v>
      </c>
      <c r="F53" s="70" t="s">
        <v>126</v>
      </c>
      <c r="G53" s="68" t="s">
        <v>137</v>
      </c>
      <c r="H53" s="68" t="s">
        <v>148</v>
      </c>
      <c r="I53" s="68" t="s">
        <v>150</v>
      </c>
      <c r="J53" s="68" t="s">
        <v>148</v>
      </c>
      <c r="K53" s="74">
        <v>1E-3</v>
      </c>
    </row>
    <row r="54" spans="2:11" ht="6.75" customHeight="1">
      <c r="B54" s="289"/>
      <c r="C54" s="88" t="s">
        <v>146</v>
      </c>
      <c r="D54" s="88" t="s">
        <v>232</v>
      </c>
      <c r="E54" s="71" t="s">
        <v>138</v>
      </c>
      <c r="F54" s="70" t="s">
        <v>126</v>
      </c>
      <c r="G54" s="68" t="s">
        <v>245</v>
      </c>
      <c r="H54" s="68" t="s">
        <v>173</v>
      </c>
      <c r="I54" s="68" t="s">
        <v>281</v>
      </c>
      <c r="J54" s="68" t="s">
        <v>173</v>
      </c>
      <c r="K54" s="73">
        <v>0.05</v>
      </c>
    </row>
    <row r="55" spans="2:11" ht="6.75" customHeight="1">
      <c r="B55" s="289"/>
      <c r="C55" s="88" t="s">
        <v>145</v>
      </c>
      <c r="D55" s="88" t="s">
        <v>232</v>
      </c>
      <c r="E55" s="71" t="s">
        <v>138</v>
      </c>
      <c r="F55" s="70" t="s">
        <v>126</v>
      </c>
      <c r="G55" s="68" t="s">
        <v>137</v>
      </c>
      <c r="H55" s="68" t="s">
        <v>153</v>
      </c>
      <c r="I55" s="68" t="s">
        <v>279</v>
      </c>
      <c r="J55" s="68" t="s">
        <v>153</v>
      </c>
      <c r="K55" s="72">
        <v>0.3</v>
      </c>
    </row>
    <row r="56" spans="2:11" ht="6.75" customHeight="1">
      <c r="B56" s="289"/>
      <c r="C56" s="88" t="s">
        <v>144</v>
      </c>
      <c r="D56" s="88" t="s">
        <v>232</v>
      </c>
      <c r="E56" s="71" t="s">
        <v>138</v>
      </c>
      <c r="F56" s="70" t="s">
        <v>126</v>
      </c>
      <c r="G56" s="68" t="s">
        <v>143</v>
      </c>
      <c r="H56" s="68" t="s">
        <v>142</v>
      </c>
      <c r="I56" s="68" t="s">
        <v>281</v>
      </c>
      <c r="J56" s="68" t="s">
        <v>142</v>
      </c>
      <c r="K56" s="74">
        <v>1E-3</v>
      </c>
    </row>
    <row r="57" spans="2:11" ht="6.75" customHeight="1">
      <c r="B57" s="289"/>
      <c r="C57" s="88" t="s">
        <v>141</v>
      </c>
      <c r="D57" s="88" t="s">
        <v>232</v>
      </c>
      <c r="E57" s="71" t="s">
        <v>138</v>
      </c>
      <c r="F57" s="70" t="s">
        <v>126</v>
      </c>
      <c r="G57" s="68" t="s">
        <v>137</v>
      </c>
      <c r="H57" s="68" t="s">
        <v>140</v>
      </c>
      <c r="I57" s="68" t="s">
        <v>150</v>
      </c>
      <c r="J57" s="68" t="s">
        <v>140</v>
      </c>
      <c r="K57" s="73">
        <v>0.13</v>
      </c>
    </row>
    <row r="58" spans="2:11" ht="6.75" customHeight="1">
      <c r="B58" s="289"/>
      <c r="C58" s="88" t="s">
        <v>139</v>
      </c>
      <c r="D58" s="88" t="s">
        <v>232</v>
      </c>
      <c r="E58" s="71" t="s">
        <v>138</v>
      </c>
      <c r="F58" s="70" t="s">
        <v>126</v>
      </c>
      <c r="G58" s="68" t="s">
        <v>137</v>
      </c>
      <c r="H58" s="68" t="s">
        <v>136</v>
      </c>
      <c r="I58" s="68" t="s">
        <v>150</v>
      </c>
      <c r="J58" s="68" t="s">
        <v>136</v>
      </c>
      <c r="K58" s="73">
        <v>0.17</v>
      </c>
    </row>
    <row r="59" spans="2:11" ht="6.75" customHeight="1">
      <c r="B59" s="289"/>
      <c r="C59" s="88" t="s">
        <v>135</v>
      </c>
      <c r="D59" s="88" t="s">
        <v>232</v>
      </c>
      <c r="E59" s="71" t="s">
        <v>130</v>
      </c>
      <c r="F59" s="70" t="s">
        <v>126</v>
      </c>
      <c r="G59" s="68" t="s">
        <v>129</v>
      </c>
      <c r="H59" s="68" t="s">
        <v>132</v>
      </c>
      <c r="I59" s="68" t="s">
        <v>132</v>
      </c>
      <c r="J59" s="68" t="s">
        <v>132</v>
      </c>
      <c r="K59" s="67">
        <v>180</v>
      </c>
    </row>
    <row r="60" spans="2:11" ht="6.75" customHeight="1">
      <c r="B60" s="289"/>
      <c r="C60" s="88" t="s">
        <v>134</v>
      </c>
      <c r="D60" s="88" t="s">
        <v>232</v>
      </c>
      <c r="E60" s="71" t="s">
        <v>130</v>
      </c>
      <c r="F60" s="70" t="s">
        <v>126</v>
      </c>
      <c r="G60" s="68" t="s">
        <v>129</v>
      </c>
      <c r="H60" s="68" t="s">
        <v>132</v>
      </c>
      <c r="I60" s="68" t="s">
        <v>132</v>
      </c>
      <c r="J60" s="68" t="s">
        <v>132</v>
      </c>
      <c r="K60" s="67">
        <v>110</v>
      </c>
    </row>
    <row r="61" spans="2:11" ht="6.75" customHeight="1">
      <c r="B61" s="289"/>
      <c r="C61" s="88" t="s">
        <v>133</v>
      </c>
      <c r="D61" s="88" t="s">
        <v>232</v>
      </c>
      <c r="E61" s="71" t="s">
        <v>130</v>
      </c>
      <c r="F61" s="70" t="s">
        <v>126</v>
      </c>
      <c r="G61" s="68" t="s">
        <v>129</v>
      </c>
      <c r="H61" s="68" t="s">
        <v>132</v>
      </c>
      <c r="I61" s="68" t="s">
        <v>132</v>
      </c>
      <c r="J61" s="68" t="s">
        <v>132</v>
      </c>
      <c r="K61" s="67">
        <v>5</v>
      </c>
    </row>
    <row r="62" spans="2:11" ht="6.75" customHeight="1">
      <c r="B62" s="289"/>
      <c r="C62" s="88" t="s">
        <v>131</v>
      </c>
      <c r="D62" s="88" t="s">
        <v>232</v>
      </c>
      <c r="E62" s="71" t="s">
        <v>130</v>
      </c>
      <c r="F62" s="70" t="s">
        <v>126</v>
      </c>
      <c r="G62" s="68" t="s">
        <v>129</v>
      </c>
      <c r="H62" s="68" t="s">
        <v>53</v>
      </c>
      <c r="I62" s="68" t="s">
        <v>53</v>
      </c>
      <c r="J62" s="68" t="s">
        <v>53</v>
      </c>
      <c r="K62" s="72">
        <v>0.5</v>
      </c>
    </row>
    <row r="63" spans="2:11" ht="6.75" customHeight="1">
      <c r="B63" s="289"/>
      <c r="C63" s="108" t="s">
        <v>128</v>
      </c>
      <c r="D63" s="108" t="s">
        <v>232</v>
      </c>
      <c r="E63" s="109" t="s">
        <v>127</v>
      </c>
      <c r="F63" s="110" t="s">
        <v>126</v>
      </c>
      <c r="G63" s="115" t="s">
        <v>125</v>
      </c>
      <c r="H63" s="115" t="s">
        <v>260</v>
      </c>
      <c r="I63" s="115" t="s">
        <v>260</v>
      </c>
      <c r="J63" s="115" t="s">
        <v>260</v>
      </c>
      <c r="K63" s="67">
        <v>350</v>
      </c>
    </row>
    <row r="64" spans="2:11" ht="6.6" customHeight="1">
      <c r="B64" s="290"/>
      <c r="C64" s="112" t="s">
        <v>246</v>
      </c>
      <c r="D64" s="112" t="s">
        <v>74</v>
      </c>
      <c r="E64" s="113" t="s">
        <v>248</v>
      </c>
      <c r="F64" s="114" t="s">
        <v>126</v>
      </c>
      <c r="G64" s="117" t="s">
        <v>125</v>
      </c>
      <c r="H64" s="117" t="s">
        <v>261</v>
      </c>
      <c r="I64" s="117" t="s">
        <v>261</v>
      </c>
      <c r="J64" s="117" t="s">
        <v>261</v>
      </c>
      <c r="K64" s="124" t="s">
        <v>74</v>
      </c>
    </row>
    <row r="65" spans="2:11" ht="6.6" customHeight="1">
      <c r="B65" s="290"/>
      <c r="C65" s="112" t="s">
        <v>247</v>
      </c>
      <c r="D65" s="112" t="s">
        <v>74</v>
      </c>
      <c r="E65" s="113" t="s">
        <v>249</v>
      </c>
      <c r="F65" s="114" t="s">
        <v>126</v>
      </c>
      <c r="G65" s="117" t="s">
        <v>125</v>
      </c>
      <c r="H65" s="117" t="s">
        <v>260</v>
      </c>
      <c r="I65" s="117" t="s">
        <v>260</v>
      </c>
      <c r="J65" s="117" t="s">
        <v>260</v>
      </c>
      <c r="K65" s="124" t="s">
        <v>74</v>
      </c>
    </row>
    <row r="66" spans="2:11" ht="6.6" customHeight="1"/>
    <row r="67" spans="2:11" ht="6.6" customHeight="1"/>
    <row r="68" spans="2:11" ht="6.6" customHeight="1"/>
    <row r="69" spans="2:11" ht="6.6" customHeight="1"/>
    <row r="70" spans="2:11" ht="6.6" customHeight="1"/>
    <row r="71" spans="2:11" ht="6.6" customHeight="1"/>
    <row r="72" spans="2:11" ht="6.6" customHeight="1"/>
    <row r="73" spans="2:11" ht="6.6" customHeight="1"/>
    <row r="74" spans="2:11" ht="6.6" customHeight="1"/>
    <row r="75" spans="2:11" ht="6.6" customHeight="1"/>
    <row r="76" spans="2:11" ht="6.6" customHeight="1"/>
    <row r="77" spans="2:11" ht="6.6" customHeight="1"/>
    <row r="78" spans="2:11" ht="6.6" customHeight="1"/>
    <row r="79" spans="2:11" ht="6.6" customHeight="1"/>
    <row r="80" spans="2:11" ht="6.6" customHeight="1"/>
    <row r="81" ht="6.6" customHeight="1"/>
    <row r="82" ht="6.6" customHeight="1"/>
    <row r="83" ht="6.6" customHeight="1"/>
    <row r="84" ht="6.6" customHeight="1"/>
    <row r="85" ht="6.6" customHeight="1"/>
    <row r="86" ht="6.6" customHeight="1"/>
    <row r="87" ht="6.6" customHeight="1"/>
    <row r="88" ht="6.6" customHeight="1"/>
    <row r="89" ht="6.6" customHeight="1"/>
    <row r="90" ht="6.6" customHeight="1"/>
    <row r="91" ht="6.6" customHeight="1"/>
    <row r="92" ht="6.6" customHeight="1"/>
    <row r="93" ht="6.6" customHeight="1"/>
    <row r="94" ht="6.6" customHeight="1"/>
    <row r="95" ht="6.6" customHeight="1"/>
    <row r="96" ht="6.6" customHeight="1"/>
    <row r="97" ht="6.6" customHeight="1"/>
    <row r="98" ht="6.6" customHeight="1"/>
    <row r="99" ht="6.6" customHeight="1"/>
    <row r="100" ht="6.6" customHeight="1"/>
    <row r="101" ht="6.6" customHeight="1"/>
    <row r="102" ht="6.6" customHeight="1"/>
    <row r="103" ht="6.6" customHeight="1"/>
    <row r="104" ht="6.6" customHeight="1"/>
    <row r="105" ht="6.6" customHeight="1"/>
    <row r="106" ht="6.6" customHeight="1"/>
    <row r="107" ht="6.6" customHeight="1"/>
    <row r="108" ht="6.6" customHeight="1"/>
    <row r="109" ht="6.6" customHeight="1"/>
    <row r="110" ht="6.6" customHeight="1"/>
    <row r="111" ht="6.6" customHeight="1"/>
    <row r="112" ht="6.6" customHeight="1"/>
    <row r="113" ht="6.6" customHeight="1"/>
    <row r="114" ht="6.6" customHeight="1"/>
    <row r="115" ht="6.6" customHeight="1"/>
    <row r="116" ht="6.6" customHeight="1"/>
    <row r="117" ht="6.6" customHeight="1"/>
    <row r="118" ht="6.6" customHeight="1"/>
    <row r="119" ht="6.6" customHeight="1"/>
    <row r="120" ht="6.6" customHeight="1"/>
    <row r="121" ht="6.6" customHeight="1"/>
    <row r="122" ht="6.6" customHeight="1"/>
    <row r="123" ht="6.6" customHeight="1"/>
    <row r="124" ht="6.6" customHeight="1"/>
    <row r="125" ht="6.6" customHeight="1"/>
    <row r="126" ht="6.6" customHeight="1"/>
    <row r="127" ht="6.6" customHeight="1"/>
    <row r="128" ht="6.6" customHeight="1"/>
    <row r="129" ht="6.6" customHeight="1"/>
    <row r="130" ht="6.6" customHeight="1"/>
    <row r="131" ht="6.6" customHeight="1"/>
    <row r="132" ht="6.6" customHeight="1"/>
    <row r="133" ht="6.6" customHeight="1"/>
    <row r="134" ht="6.6" customHeight="1"/>
    <row r="135" ht="6.6" customHeight="1"/>
    <row r="136" ht="6.6" customHeight="1"/>
    <row r="137" ht="6.6" customHeight="1"/>
    <row r="138" ht="6.6" customHeight="1"/>
    <row r="139" ht="6.6" customHeight="1"/>
    <row r="140" ht="6.6" customHeight="1"/>
    <row r="141" ht="6.6" customHeight="1"/>
    <row r="142" ht="6.6" customHeight="1"/>
    <row r="143" ht="6.6" customHeight="1"/>
    <row r="144" ht="6.6" customHeight="1"/>
    <row r="145" ht="6.6" customHeight="1"/>
    <row r="146" ht="6.6" customHeight="1"/>
    <row r="147" ht="6.6" customHeight="1"/>
    <row r="148" ht="6.6" customHeight="1"/>
    <row r="149" ht="6.6" customHeight="1"/>
    <row r="150" ht="6.6" customHeight="1"/>
    <row r="151" ht="6.6" customHeight="1"/>
    <row r="152" ht="6.6" customHeight="1"/>
    <row r="153" ht="6.6" customHeight="1"/>
    <row r="154" ht="6.6" customHeight="1"/>
    <row r="155" ht="6.6" customHeight="1"/>
    <row r="156" ht="6.6" customHeight="1"/>
    <row r="157" ht="6.6" customHeight="1"/>
    <row r="158" ht="6.6" customHeight="1"/>
    <row r="159" ht="6.6" customHeight="1"/>
    <row r="160" ht="6.6" customHeight="1"/>
    <row r="161" ht="6.6" customHeight="1"/>
    <row r="162" ht="6.6" customHeight="1"/>
    <row r="163" ht="6.6" customHeight="1"/>
    <row r="164" ht="6.6" customHeight="1"/>
    <row r="165" ht="6.6" customHeight="1"/>
    <row r="166" ht="6.6" customHeight="1"/>
    <row r="167" ht="6.6" customHeight="1"/>
    <row r="168" ht="6.6" customHeight="1"/>
    <row r="169" ht="6.6" customHeight="1"/>
    <row r="170" ht="6.6" customHeight="1"/>
    <row r="171" ht="6.6" customHeight="1"/>
    <row r="172" ht="6.6" customHeight="1"/>
    <row r="173" ht="6.6" customHeight="1"/>
    <row r="174" ht="6.6" customHeight="1"/>
    <row r="175" ht="6.6" customHeight="1"/>
    <row r="176" ht="6.6" customHeight="1"/>
    <row r="177" ht="6.6" customHeight="1"/>
    <row r="178" ht="6.6" customHeight="1"/>
    <row r="179" ht="6.6" customHeight="1"/>
    <row r="180" ht="6.6" customHeight="1"/>
    <row r="181" ht="6.6" customHeight="1"/>
    <row r="182" ht="6.6" customHeight="1"/>
    <row r="183" ht="6.6" customHeight="1"/>
    <row r="184" ht="6.6" customHeight="1"/>
    <row r="185" ht="6.6" customHeight="1"/>
    <row r="186" ht="6.6" customHeight="1"/>
    <row r="187" ht="6.6" customHeight="1"/>
    <row r="188" ht="6.6" customHeight="1"/>
    <row r="189" ht="6.6" customHeight="1"/>
    <row r="190" ht="6.6" customHeight="1"/>
    <row r="191" ht="6.6" customHeight="1"/>
    <row r="192" ht="6.6" customHeight="1"/>
    <row r="193" ht="6.6" customHeight="1"/>
    <row r="194" ht="6.6" customHeight="1"/>
    <row r="195" ht="6.6" customHeight="1"/>
    <row r="196" ht="6.6" customHeight="1"/>
    <row r="197" ht="6.6" customHeight="1"/>
    <row r="198" ht="6.6" customHeight="1"/>
    <row r="199" ht="6.6" customHeight="1"/>
    <row r="200" ht="6.6" customHeight="1"/>
    <row r="201" ht="6.6" customHeight="1"/>
    <row r="202" ht="6.6" customHeight="1"/>
    <row r="203" ht="6.6" customHeight="1"/>
    <row r="204" ht="6.6" customHeight="1"/>
    <row r="205" ht="6.6" customHeight="1"/>
    <row r="206" ht="6.6" customHeight="1"/>
    <row r="207" ht="6.6" customHeight="1"/>
    <row r="208" ht="6.6" customHeight="1"/>
    <row r="209" ht="6.6" customHeight="1"/>
    <row r="210" ht="6.6" customHeight="1"/>
    <row r="211" ht="6.6" customHeight="1"/>
    <row r="212" ht="6.6" customHeight="1"/>
    <row r="213" ht="6.6" customHeight="1"/>
    <row r="214" ht="6.6" customHeight="1"/>
    <row r="215" ht="6.6" customHeight="1"/>
    <row r="216" ht="6.6" customHeight="1"/>
    <row r="217" ht="6.6" customHeight="1"/>
    <row r="218" ht="6.6" customHeight="1"/>
    <row r="219" ht="6.6" customHeight="1"/>
    <row r="220" ht="6.6" customHeight="1"/>
    <row r="221" ht="6.6" customHeight="1"/>
    <row r="222" ht="6.6" customHeight="1"/>
    <row r="223" ht="6.6" customHeight="1"/>
    <row r="224" ht="6.6" customHeight="1"/>
    <row r="225" ht="6.6" customHeight="1"/>
    <row r="226" ht="6.6" customHeight="1"/>
    <row r="227" ht="6.6" customHeight="1"/>
    <row r="228" ht="6.6" customHeight="1"/>
    <row r="229" ht="6.6" customHeight="1"/>
    <row r="230" ht="6.6" customHeight="1"/>
    <row r="231" ht="6.6" customHeight="1"/>
    <row r="232" ht="6.6" customHeight="1"/>
    <row r="233" ht="6.6" customHeight="1"/>
    <row r="234" ht="6.6" customHeight="1"/>
    <row r="235" ht="6.6" customHeight="1"/>
    <row r="236" ht="6.6" customHeight="1"/>
    <row r="237" ht="6.6" customHeight="1"/>
    <row r="238" ht="6.6" customHeight="1"/>
    <row r="239" ht="6.6" customHeight="1"/>
    <row r="240" ht="6.6" customHeight="1"/>
    <row r="241" ht="6.6" customHeight="1"/>
    <row r="242" ht="6.6" customHeight="1"/>
    <row r="243" ht="6.6" customHeight="1"/>
    <row r="244" ht="6.6" customHeight="1"/>
    <row r="245" ht="6.6" customHeight="1"/>
    <row r="246" ht="6.6" customHeight="1"/>
    <row r="247" ht="6.6" customHeight="1"/>
    <row r="248" ht="6.6" customHeight="1"/>
    <row r="249" ht="6.6" customHeight="1"/>
    <row r="250" ht="6.6" customHeight="1"/>
    <row r="251" ht="6.6" customHeight="1"/>
    <row r="252" ht="6.6" customHeight="1"/>
    <row r="253" ht="6.6" customHeight="1"/>
    <row r="254" ht="6.6" customHeight="1"/>
    <row r="255" ht="6.6" customHeight="1"/>
    <row r="256" ht="6.6" customHeight="1"/>
    <row r="257" ht="6.6" customHeight="1"/>
    <row r="258" ht="6.6" customHeight="1"/>
    <row r="259" ht="6.6" customHeight="1"/>
    <row r="260" ht="6.6" customHeight="1"/>
    <row r="261" ht="6.6" customHeight="1"/>
    <row r="262" ht="6.6" customHeight="1"/>
    <row r="263" ht="6.6" customHeight="1"/>
    <row r="264" ht="6.6" customHeight="1"/>
    <row r="265" ht="6.6" customHeight="1"/>
    <row r="266" ht="6.6" customHeight="1"/>
    <row r="267" ht="6.6" customHeight="1"/>
    <row r="268" ht="6.6" customHeight="1"/>
    <row r="269" ht="6.6" customHeight="1"/>
    <row r="270" ht="6.6" customHeight="1"/>
    <row r="271" ht="6.6" customHeight="1"/>
    <row r="272" ht="6.6" customHeight="1"/>
    <row r="273" ht="6.6" customHeight="1"/>
    <row r="274" ht="6.6" customHeight="1"/>
    <row r="275" ht="6.6" customHeight="1"/>
    <row r="276" ht="6.6" customHeight="1"/>
    <row r="277" ht="6.6" customHeight="1"/>
    <row r="278" ht="6.6" customHeight="1"/>
    <row r="279" ht="6.6" customHeight="1"/>
    <row r="280" ht="6.6" customHeight="1"/>
    <row r="281" ht="6.6" customHeight="1"/>
    <row r="282" ht="6.6" customHeight="1"/>
    <row r="283" ht="6.6" customHeight="1"/>
    <row r="284" ht="6.6" customHeight="1"/>
    <row r="285" ht="6.6" customHeight="1"/>
    <row r="286" ht="6.6" customHeight="1"/>
    <row r="287" ht="6.6" customHeight="1"/>
    <row r="288" ht="6.6" customHeight="1"/>
    <row r="289" ht="6.6" customHeight="1"/>
    <row r="290" ht="6.6" customHeight="1"/>
    <row r="291" ht="6.6" customHeight="1"/>
    <row r="292" ht="6.6" customHeight="1"/>
    <row r="293" ht="6.6" customHeight="1"/>
    <row r="294" ht="6.6" customHeight="1"/>
    <row r="295" ht="6.6" customHeight="1"/>
    <row r="296" ht="6.6" customHeight="1"/>
    <row r="297" ht="6.6" customHeight="1"/>
    <row r="298" ht="6.6" customHeight="1"/>
    <row r="299" ht="6.6" customHeight="1"/>
    <row r="300" ht="6.6" customHeight="1"/>
    <row r="301" ht="6.6" customHeight="1"/>
    <row r="302" ht="6.6" customHeight="1"/>
    <row r="303" ht="6.6" customHeight="1"/>
    <row r="304" ht="6.6" customHeight="1"/>
    <row r="305" ht="6.6" customHeight="1"/>
    <row r="306" ht="6.6" customHeight="1"/>
    <row r="307" ht="6.6" customHeight="1"/>
    <row r="308" ht="6.6" customHeight="1"/>
    <row r="309" ht="6.6" customHeight="1"/>
    <row r="310" ht="6.6" customHeight="1"/>
    <row r="311" ht="6.6" customHeight="1"/>
    <row r="312" ht="6.6" customHeight="1"/>
    <row r="313" ht="6.6" customHeight="1"/>
    <row r="314" ht="6.6" customHeight="1"/>
    <row r="315" ht="6.6" customHeight="1"/>
    <row r="316" ht="6.6" customHeight="1"/>
    <row r="317" ht="6.6" customHeight="1"/>
    <row r="318" ht="6.6" customHeight="1"/>
    <row r="319" ht="6.6" customHeight="1"/>
    <row r="320" ht="6.6" customHeight="1"/>
    <row r="321" ht="6.6" customHeight="1"/>
    <row r="322" ht="6.6" customHeight="1"/>
    <row r="323" ht="6.6" customHeight="1"/>
    <row r="324" ht="6.6" customHeight="1"/>
    <row r="325" ht="6.6" customHeight="1"/>
    <row r="326" ht="6.6" customHeight="1"/>
    <row r="327" ht="6.6" customHeight="1"/>
    <row r="328" ht="6.6" customHeight="1"/>
    <row r="329" ht="6.6" customHeight="1"/>
    <row r="330" ht="6.6" customHeight="1"/>
    <row r="331" ht="6.6" customHeight="1"/>
    <row r="332" ht="6.6" customHeight="1"/>
    <row r="333" ht="6.6" customHeight="1"/>
    <row r="334" ht="6.6" customHeight="1"/>
    <row r="335" ht="6.6" customHeight="1"/>
    <row r="336" ht="6.6" customHeight="1"/>
    <row r="337" ht="6.6" customHeight="1"/>
    <row r="338" ht="6.6" customHeight="1"/>
    <row r="339" ht="6.6" customHeight="1"/>
    <row r="340" ht="6.6" customHeight="1"/>
    <row r="341" ht="6.6" customHeight="1"/>
    <row r="342" ht="6.6" customHeight="1"/>
    <row r="343" ht="6.6" customHeight="1"/>
    <row r="344" ht="6.6" customHeight="1"/>
    <row r="345" ht="6.6" customHeight="1"/>
    <row r="346" ht="6.6" customHeight="1"/>
    <row r="347" ht="6.6" customHeight="1"/>
    <row r="348" ht="6.6" customHeight="1"/>
    <row r="349" ht="6.6" customHeight="1"/>
    <row r="350" ht="6.6" customHeight="1"/>
    <row r="351" ht="6.6" customHeight="1"/>
    <row r="352" ht="6.6" customHeight="1"/>
    <row r="353" ht="6.6" customHeight="1"/>
    <row r="354" ht="6.6" customHeight="1"/>
    <row r="355" ht="6.6" customHeight="1"/>
    <row r="356" ht="6.6" customHeight="1"/>
    <row r="357" ht="6.6" customHeight="1"/>
    <row r="358" ht="6.6" customHeight="1"/>
    <row r="359" ht="6.6" customHeight="1"/>
    <row r="360" ht="6.6" customHeight="1"/>
    <row r="361" ht="6.6" customHeight="1"/>
    <row r="362" ht="6.6" customHeight="1"/>
    <row r="363" ht="6.6" customHeight="1"/>
    <row r="364" ht="6.6" customHeight="1"/>
    <row r="365" ht="6.6" customHeight="1"/>
    <row r="366" ht="6.6" customHeight="1"/>
    <row r="367" ht="6.6" customHeight="1"/>
    <row r="368" ht="6.6" customHeight="1"/>
    <row r="369" ht="6.6" customHeight="1"/>
    <row r="370" ht="6.6" customHeight="1"/>
    <row r="371" ht="6.6" customHeight="1"/>
    <row r="372" ht="6.6" customHeight="1"/>
    <row r="373" ht="6.6" customHeight="1"/>
    <row r="374" ht="6.6" customHeight="1"/>
    <row r="375" ht="6.6" customHeight="1"/>
    <row r="376" ht="6.6" customHeight="1"/>
    <row r="377" ht="6.6" customHeight="1"/>
    <row r="378" ht="6.6" customHeight="1"/>
    <row r="379" ht="6.6" customHeight="1"/>
    <row r="380" ht="6.6" customHeight="1"/>
    <row r="381" ht="6.6" customHeight="1"/>
    <row r="382" ht="6.6" customHeight="1"/>
    <row r="383" ht="6.6" customHeight="1"/>
    <row r="384" ht="6.6" customHeight="1"/>
    <row r="385" ht="6.6" customHeight="1"/>
    <row r="386" ht="6.6" customHeight="1"/>
    <row r="387" ht="6.6" customHeight="1"/>
    <row r="388" ht="6.6" customHeight="1"/>
    <row r="389" ht="6.6" customHeight="1"/>
    <row r="390" ht="6.6" customHeight="1"/>
    <row r="391" ht="6.6" customHeight="1"/>
    <row r="392" ht="6.6" customHeight="1"/>
    <row r="393" ht="6.6" customHeight="1"/>
    <row r="394" ht="6.6" customHeight="1"/>
    <row r="395" ht="6.6" customHeight="1"/>
    <row r="396" ht="6.6" customHeight="1"/>
    <row r="397" ht="6.6" customHeight="1"/>
    <row r="398" ht="6.6" customHeight="1"/>
    <row r="399" ht="6.6" customHeight="1"/>
    <row r="400" ht="6.6" customHeight="1"/>
    <row r="401" ht="6.6" customHeight="1"/>
    <row r="402" ht="6.6" customHeight="1"/>
    <row r="403" ht="6.6" customHeight="1"/>
    <row r="404" ht="6.6" customHeight="1"/>
    <row r="405" ht="6.6" customHeight="1"/>
    <row r="406" ht="6.6" customHeight="1"/>
    <row r="407" ht="6.6" customHeight="1"/>
    <row r="408" ht="6.6" customHeight="1"/>
    <row r="409" ht="6.6" customHeight="1"/>
    <row r="410" ht="6.6" customHeight="1"/>
    <row r="411" ht="6.6" customHeight="1"/>
    <row r="412" ht="6.6" customHeight="1"/>
    <row r="413" ht="6.6" customHeight="1"/>
    <row r="414" ht="6.6" customHeight="1"/>
    <row r="415" ht="6.6" customHeight="1"/>
    <row r="416" ht="6.6" customHeight="1"/>
    <row r="417" ht="6.6" customHeight="1"/>
    <row r="418" ht="6.6" customHeight="1"/>
    <row r="419" ht="6.6" customHeight="1"/>
    <row r="420" ht="6.6" customHeight="1"/>
    <row r="421" ht="6.6" customHeight="1"/>
    <row r="422" ht="6.6" customHeight="1"/>
    <row r="423" ht="6.6" customHeight="1"/>
    <row r="424" ht="6.6" customHeight="1"/>
    <row r="425" ht="6.6" customHeight="1"/>
    <row r="426" ht="6.6" customHeight="1"/>
    <row r="427" ht="6.6" customHeight="1"/>
    <row r="428" ht="6.6" customHeight="1"/>
    <row r="429" ht="6.6" customHeight="1"/>
    <row r="430" ht="6.6" customHeight="1"/>
    <row r="431" ht="6.6" customHeight="1"/>
    <row r="432" ht="6.6" customHeight="1"/>
    <row r="433" ht="6.6" customHeight="1"/>
    <row r="434" ht="6.6" customHeight="1"/>
    <row r="435" ht="6.6" customHeight="1"/>
    <row r="436" ht="6.6" customHeight="1"/>
    <row r="437" ht="6.6" customHeight="1"/>
    <row r="438" ht="6.6" customHeight="1"/>
    <row r="439" ht="6.6" customHeight="1"/>
    <row r="440" ht="6.6" customHeight="1"/>
    <row r="441" ht="6.6" customHeight="1"/>
    <row r="442" ht="6.6" customHeight="1"/>
    <row r="443" ht="6.6" customHeight="1"/>
    <row r="444" ht="6.6" customHeight="1"/>
    <row r="445" ht="6.6" customHeight="1"/>
    <row r="446" ht="6.6" customHeight="1"/>
    <row r="447" ht="6.6" customHeight="1"/>
    <row r="448" ht="6.6" customHeight="1"/>
    <row r="449" ht="6.6" customHeight="1"/>
    <row r="450" ht="6.6" customHeight="1"/>
    <row r="451" ht="6.6" customHeight="1"/>
    <row r="452" ht="6.6" customHeight="1"/>
    <row r="453" ht="6.6" customHeight="1"/>
    <row r="454" ht="6.6" customHeight="1"/>
    <row r="455" ht="6.6" customHeight="1"/>
    <row r="456" ht="6.6" customHeight="1"/>
    <row r="457" ht="6.6" customHeight="1"/>
    <row r="458" ht="6.6" customHeight="1"/>
    <row r="459" ht="6.6" customHeight="1"/>
    <row r="460" ht="6.6" customHeight="1"/>
    <row r="461" ht="6.6" customHeight="1"/>
    <row r="462" ht="6.6" customHeight="1"/>
    <row r="463" ht="6.6" customHeight="1"/>
    <row r="464" ht="6.6" customHeight="1"/>
    <row r="465" ht="6.6" customHeight="1"/>
    <row r="466" ht="6.6" customHeight="1"/>
    <row r="467" ht="6.6" customHeight="1"/>
    <row r="468" ht="6.6" customHeight="1"/>
    <row r="469" ht="6.6" customHeight="1"/>
    <row r="470" ht="6.6" customHeight="1"/>
    <row r="471" ht="6.6" customHeight="1"/>
    <row r="472" ht="6.6" customHeight="1"/>
    <row r="473" ht="6.6" customHeight="1"/>
    <row r="474" ht="6.6" customHeight="1"/>
    <row r="475" ht="6.6" customHeight="1"/>
    <row r="476" ht="6.6" customHeight="1"/>
    <row r="477" ht="6.6" customHeight="1"/>
    <row r="478" ht="6.6" customHeight="1"/>
    <row r="479" ht="6.6" customHeight="1"/>
    <row r="480" ht="6.6" customHeight="1"/>
    <row r="481" ht="6.6" customHeight="1"/>
    <row r="482" ht="6.6" customHeight="1"/>
    <row r="483" ht="6.6" customHeight="1"/>
    <row r="484" ht="6.6" customHeight="1"/>
    <row r="485" ht="6.6" customHeight="1"/>
    <row r="486" ht="6.6" customHeight="1"/>
    <row r="487" ht="6.6" customHeight="1"/>
    <row r="488" ht="6.6" customHeight="1"/>
    <row r="489" ht="6.6" customHeight="1"/>
    <row r="490" ht="6.6" customHeight="1"/>
    <row r="491" ht="6.6" customHeight="1"/>
    <row r="492" ht="6.6" customHeight="1"/>
    <row r="493" ht="6.6" customHeight="1"/>
    <row r="494" ht="6.6" customHeight="1"/>
    <row r="495" ht="6.6" customHeight="1"/>
    <row r="496" ht="6.6" customHeight="1"/>
    <row r="497" ht="6.6" customHeight="1"/>
    <row r="498" ht="6.6" customHeight="1"/>
    <row r="499" ht="6.6" customHeight="1"/>
    <row r="500" ht="6.6" customHeight="1"/>
    <row r="501" ht="6.6" customHeight="1"/>
    <row r="502" ht="6.6" customHeight="1"/>
    <row r="503" ht="6.6" customHeight="1"/>
    <row r="504" ht="6.6" customHeight="1"/>
    <row r="505" ht="6.6" customHeight="1"/>
    <row r="506" ht="6.6" customHeight="1"/>
    <row r="507" ht="6.6" customHeight="1"/>
    <row r="508" ht="6.6" customHeight="1"/>
    <row r="509" ht="6.6" customHeight="1"/>
    <row r="510" ht="6.6" customHeight="1"/>
    <row r="511" ht="6.6" customHeight="1"/>
    <row r="512" ht="6.6" customHeight="1"/>
    <row r="513" ht="6.6" customHeight="1"/>
    <row r="514" ht="6.6" customHeight="1"/>
    <row r="515" ht="6.6" customHeight="1"/>
    <row r="516" ht="6.6" customHeight="1"/>
    <row r="517" ht="6.6" customHeight="1"/>
    <row r="518" ht="6.6" customHeight="1"/>
    <row r="519" ht="6.6" customHeight="1"/>
    <row r="520" ht="6.6" customHeight="1"/>
    <row r="521" ht="6.6" customHeight="1"/>
    <row r="522" ht="6.6" customHeight="1"/>
    <row r="523" ht="6.6" customHeight="1"/>
    <row r="524" ht="6.6" customHeight="1"/>
    <row r="525" ht="6.6" customHeight="1"/>
    <row r="526" ht="6.6" customHeight="1"/>
    <row r="527" ht="6.6" customHeight="1"/>
    <row r="528" ht="6.6" customHeight="1"/>
    <row r="529" ht="6.6" customHeight="1"/>
    <row r="530" ht="6.6" customHeight="1"/>
    <row r="531" ht="6.6" customHeight="1"/>
    <row r="532" ht="6.6" customHeight="1"/>
    <row r="533" ht="6.6" customHeight="1"/>
    <row r="534" ht="6.6" customHeight="1"/>
    <row r="535" ht="6.6" customHeight="1"/>
    <row r="536" ht="6.6" customHeight="1"/>
    <row r="537" ht="6.6" customHeight="1"/>
    <row r="538" ht="6.6" customHeight="1"/>
    <row r="539" ht="6.6" customHeight="1"/>
    <row r="540" ht="6.6" customHeight="1"/>
    <row r="541" ht="6.6" customHeight="1"/>
    <row r="542" ht="6.6" customHeight="1"/>
    <row r="543" ht="6.6" customHeight="1"/>
    <row r="544" ht="6.6" customHeight="1"/>
    <row r="545" ht="6.6" customHeight="1"/>
    <row r="546" ht="6.6" customHeight="1"/>
    <row r="547" ht="6.6" customHeight="1"/>
    <row r="548" ht="6.6" customHeight="1"/>
    <row r="549" ht="6.6" customHeight="1"/>
    <row r="550" ht="6.6" customHeight="1"/>
    <row r="551" ht="6.6" customHeight="1"/>
    <row r="552" ht="6.6" customHeight="1"/>
    <row r="553" ht="6.6" customHeight="1"/>
    <row r="554" ht="6.6" customHeight="1"/>
    <row r="555" ht="6.6" customHeight="1"/>
    <row r="556" ht="6.6" customHeight="1"/>
    <row r="557" ht="6.6" customHeight="1"/>
    <row r="558" ht="6.6" customHeight="1"/>
    <row r="559" ht="6.6" customHeight="1"/>
    <row r="560" ht="6.6" customHeight="1"/>
    <row r="561" ht="6.6" customHeight="1"/>
    <row r="562" ht="6.6" customHeight="1"/>
    <row r="563" ht="6.6" customHeight="1"/>
    <row r="564" ht="6.6" customHeight="1"/>
    <row r="565" ht="6.6" customHeight="1"/>
    <row r="566" ht="6.6" customHeight="1"/>
    <row r="567" ht="6.6" customHeight="1"/>
    <row r="568" ht="6.6" customHeight="1"/>
    <row r="569" ht="6.6" customHeight="1"/>
    <row r="570" ht="6.6" customHeight="1"/>
    <row r="571" ht="6.6" customHeight="1"/>
    <row r="572" ht="6.6" customHeight="1"/>
    <row r="573" ht="6.6" customHeight="1"/>
    <row r="574" ht="6.6" customHeight="1"/>
    <row r="575" ht="6.6" customHeight="1"/>
    <row r="576" ht="6.6" customHeight="1"/>
    <row r="577" ht="6.6" customHeight="1"/>
    <row r="578" ht="6.6" customHeight="1"/>
    <row r="579" ht="6.6" customHeight="1"/>
    <row r="580" ht="6.6" customHeight="1"/>
    <row r="581" ht="6.6" customHeight="1"/>
    <row r="582" ht="6.6" customHeight="1"/>
    <row r="583" ht="6.6" customHeight="1"/>
    <row r="584" ht="6.6" customHeight="1"/>
    <row r="585" ht="6.6" customHeight="1"/>
    <row r="586" ht="6.6" customHeight="1"/>
    <row r="587" ht="6.6" customHeight="1"/>
    <row r="588" ht="6.6" customHeight="1"/>
    <row r="589" ht="6.6" customHeight="1"/>
    <row r="590" ht="6.6" customHeight="1"/>
    <row r="591" ht="6.6" customHeight="1"/>
    <row r="592" ht="6.6" customHeight="1"/>
    <row r="593" ht="6.6" customHeight="1"/>
    <row r="594" ht="6.6" customHeight="1"/>
    <row r="595" ht="6.6" customHeight="1"/>
    <row r="596" ht="6.6" customHeight="1"/>
    <row r="597" ht="6.6" customHeight="1"/>
    <row r="598" ht="6.6" customHeight="1"/>
    <row r="599" ht="6.6" customHeight="1"/>
    <row r="600" ht="6.6" customHeight="1"/>
    <row r="601" ht="6.6" customHeight="1"/>
    <row r="602" ht="6.6" customHeight="1"/>
    <row r="603" ht="6.6" customHeight="1"/>
    <row r="604" ht="6.6" customHeight="1"/>
    <row r="605" ht="6.6" customHeight="1"/>
    <row r="606" ht="6.6" customHeight="1"/>
    <row r="607" ht="6.6" customHeight="1"/>
    <row r="608" ht="6.6" customHeight="1"/>
    <row r="609" ht="6.6" customHeight="1"/>
    <row r="610" ht="6.6" customHeight="1"/>
    <row r="611" ht="6.6" customHeight="1"/>
    <row r="612" ht="6.6" customHeight="1"/>
    <row r="613" ht="6.6" customHeight="1"/>
    <row r="614" ht="6.6" customHeight="1"/>
    <row r="615" ht="6.6" customHeight="1"/>
    <row r="616" ht="6.6" customHeight="1"/>
    <row r="617" ht="6.6" customHeight="1"/>
    <row r="618" ht="6.6" customHeight="1"/>
    <row r="619" ht="6.6" customHeight="1"/>
    <row r="620" ht="6.6" customHeight="1"/>
    <row r="621" ht="6.6" customHeight="1"/>
    <row r="622" ht="6.6" customHeight="1"/>
    <row r="623" ht="6.6" customHeight="1"/>
    <row r="624" ht="6.6" customHeight="1"/>
    <row r="625" ht="6.6" customHeight="1"/>
    <row r="626" ht="6.6" customHeight="1"/>
    <row r="627" ht="6.6" customHeight="1"/>
    <row r="628" ht="6.6" customHeight="1"/>
    <row r="629" ht="6.6" customHeight="1"/>
    <row r="630" ht="6.6" customHeight="1"/>
    <row r="631" ht="6.6" customHeight="1"/>
    <row r="632" ht="6.6" customHeight="1"/>
    <row r="633" ht="6.6" customHeight="1"/>
    <row r="634" ht="6.6" customHeight="1"/>
    <row r="635" ht="6.6" customHeight="1"/>
    <row r="636" ht="6.6" customHeight="1"/>
    <row r="637" ht="6.6" customHeight="1"/>
    <row r="638" ht="6.6" customHeight="1"/>
    <row r="639" ht="6.6" customHeight="1"/>
    <row r="640" ht="6.6" customHeight="1"/>
    <row r="641" ht="6.6" customHeight="1"/>
    <row r="642" ht="6.6" customHeight="1"/>
    <row r="643" ht="6.6" customHeight="1"/>
    <row r="644" ht="6.6" customHeight="1"/>
    <row r="645" ht="6.6" customHeight="1"/>
    <row r="646" ht="6.6" customHeight="1"/>
    <row r="647" ht="6.6" customHeight="1"/>
    <row r="648" ht="6.6" customHeight="1"/>
    <row r="649" ht="6.6" customHeight="1"/>
    <row r="650" ht="6.6" customHeight="1"/>
    <row r="651" ht="6.6" customHeight="1"/>
    <row r="652" ht="6.6" customHeight="1"/>
    <row r="653" ht="6.6" customHeight="1"/>
    <row r="654" ht="6.6" customHeight="1"/>
    <row r="655" ht="6.6" customHeight="1"/>
    <row r="656" ht="6.6" customHeight="1"/>
    <row r="657" ht="6.6" customHeight="1"/>
    <row r="658" ht="6.6" customHeight="1"/>
    <row r="659" ht="6.6" customHeight="1"/>
    <row r="660" ht="6.6" customHeight="1"/>
    <row r="661" ht="6.6" customHeight="1"/>
    <row r="662" ht="6.6" customHeight="1"/>
    <row r="663" ht="6.6" customHeight="1"/>
    <row r="664" ht="6.6" customHeight="1"/>
    <row r="665" ht="6.6" customHeight="1"/>
    <row r="666" ht="6.6" customHeight="1"/>
    <row r="667" ht="6.6" customHeight="1"/>
    <row r="668" ht="6.6" customHeight="1"/>
    <row r="669" ht="6.6" customHeight="1"/>
    <row r="670" ht="6.6" customHeight="1"/>
    <row r="671" ht="6.6" customHeight="1"/>
    <row r="672" ht="6.6" customHeight="1"/>
    <row r="673" ht="6.6" customHeight="1"/>
    <row r="674" ht="6.6" customHeight="1"/>
    <row r="675" ht="6.6" customHeight="1"/>
    <row r="676" ht="6.6" customHeight="1"/>
    <row r="677" ht="6.6" customHeight="1"/>
    <row r="678" ht="6.6" customHeight="1"/>
    <row r="679" ht="6.6" customHeight="1"/>
    <row r="680" ht="6.6" customHeight="1"/>
    <row r="681" ht="6.6" customHeight="1"/>
    <row r="682" ht="6.6" customHeight="1"/>
    <row r="683" ht="6.6" customHeight="1"/>
    <row r="684" ht="6.6" customHeight="1"/>
    <row r="685" ht="6.6" customHeight="1"/>
  </sheetData>
  <mergeCells count="8">
    <mergeCell ref="B8:B65"/>
    <mergeCell ref="K4:K6"/>
    <mergeCell ref="E5:F5"/>
    <mergeCell ref="E6:F6"/>
    <mergeCell ref="C2:C6"/>
    <mergeCell ref="E2:F2"/>
    <mergeCell ref="E3:F3"/>
    <mergeCell ref="E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1EBD-C843-47A9-A420-CAF1994B829F}">
  <dimension ref="A1"/>
  <sheetViews>
    <sheetView workbookViewId="0">
      <selection activeCell="N26" sqref="N26"/>
    </sheetView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B92F-1332-4777-8ACA-254B7C91E15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1. Materie prime e prodotti</vt:lpstr>
      <vt:lpstr>2. Sistema idrico</vt:lpstr>
      <vt:lpstr>3. Scarichi idrici</vt:lpstr>
      <vt:lpstr>4. Sistema energetico</vt:lpstr>
      <vt:lpstr>5. Rifiuti prodotti</vt:lpstr>
      <vt:lpstr>6. Emissioni Atmosfera</vt:lpstr>
      <vt:lpstr>7. Emissioni sonore</vt:lpstr>
      <vt:lpstr>9. Monit. Ind. di Performances</vt:lpstr>
      <vt:lpstr>PZ1_Acque sotterranee</vt:lpstr>
      <vt:lpstr>PZ2_Acque sotterranee</vt:lpstr>
      <vt:lpstr>PZ3_Acque sotterranee</vt:lpstr>
      <vt:lpstr>PZ4_Acque sotterranee</vt:lpstr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Pasetto</dc:creator>
  <cp:lastModifiedBy>Mauro Pasetto</cp:lastModifiedBy>
  <cp:lastPrinted>2025-06-26T04:34:22Z</cp:lastPrinted>
  <dcterms:created xsi:type="dcterms:W3CDTF">2025-06-17T15:05:22Z</dcterms:created>
  <dcterms:modified xsi:type="dcterms:W3CDTF">2025-06-30T20:21:47Z</dcterms:modified>
</cp:coreProperties>
</file>